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ris\Documents\Github-repository\data-consultation-2026\scrp-baseline\data\"/>
    </mc:Choice>
  </mc:AlternateContent>
  <xr:revisionPtr revIDLastSave="0" documentId="13_ncr:1_{15556C2C-CBEF-45B1-9517-12E89E8DD69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ohol" sheetId="1" r:id="rId1"/>
    <sheet name="Hilongos" sheetId="2" r:id="rId2"/>
    <sheet name="Combi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RVY32CqwJXDToVHnhvrqHEHCv16iBNil3OAQdVF8nD4="/>
    </ext>
  </extLst>
</workbook>
</file>

<file path=xl/calcChain.xml><?xml version="1.0" encoding="utf-8"?>
<calcChain xmlns="http://schemas.openxmlformats.org/spreadsheetml/2006/main">
  <c r="T13" i="3" l="1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28" i="3"/>
  <c r="T2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2" i="3"/>
  <c r="T11" i="3"/>
  <c r="T10" i="3"/>
  <c r="T9" i="3"/>
  <c r="T8" i="3"/>
  <c r="T7" i="3"/>
  <c r="T6" i="3"/>
  <c r="T5" i="3"/>
  <c r="T4" i="3"/>
  <c r="T3" i="3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</calcChain>
</file>

<file path=xl/sharedStrings.xml><?xml version="1.0" encoding="utf-8"?>
<sst xmlns="http://schemas.openxmlformats.org/spreadsheetml/2006/main" count="397" uniqueCount="135">
  <si>
    <t xml:space="preserve">Res. No. </t>
  </si>
  <si>
    <t>Name</t>
  </si>
  <si>
    <t>Age</t>
  </si>
  <si>
    <t>Gender (0-male; 1-female)</t>
  </si>
  <si>
    <t>Contact Number</t>
  </si>
  <si>
    <t>Civil Status (0-single; 1-married; 2-live-in;  3-widow/widower)</t>
  </si>
  <si>
    <t>Address</t>
  </si>
  <si>
    <t>Educational Attainment (0-elementary level; 1-elementary graduate; 2-hs level; 3-hs graduate; 4-college level; 5-vocational; 6-college graduate; 7-graduate studies)</t>
  </si>
  <si>
    <t>HH size</t>
  </si>
  <si>
    <t>HH Head (0-husband; 1-wife)</t>
  </si>
  <si>
    <t>Farm size (ha)</t>
  </si>
  <si>
    <t>years in rice farming</t>
  </si>
  <si>
    <t>Tenurial status (0-tenant; 1-owned; 2-rented; 3-mortgaged; 4-free used; 5-commonal)</t>
  </si>
  <si>
    <t>no. of harvest(s) per year</t>
  </si>
  <si>
    <t>average yield per cropping (sack)</t>
  </si>
  <si>
    <t>is the harvest sold? 0-no; 1-yes</t>
  </si>
  <si>
    <t>how many kgs. per sack?</t>
  </si>
  <si>
    <t>how much if sold per kilo</t>
  </si>
  <si>
    <t>total production amount in a year (gross income)</t>
  </si>
  <si>
    <t>member of org.? 0-no; 1-yes</t>
  </si>
  <si>
    <t>if yes, name of org.</t>
  </si>
  <si>
    <t>knowledge in CRA rice farming? (0-no; 1-yes)</t>
  </si>
  <si>
    <t>if yes, what CRA practice(s)?</t>
  </si>
  <si>
    <t>A. Knowledgeable and expert on the subject matter</t>
  </si>
  <si>
    <t>A.1 The topic is relevant, simplified and suited to the learners</t>
  </si>
  <si>
    <t>A.1.1 Covers all substantive areas</t>
  </si>
  <si>
    <t>A.2 Explains clearly and used effective teaching methods.</t>
  </si>
  <si>
    <t>A.2.1 Arouses the interest of the audience.</t>
  </si>
  <si>
    <t>A.2.2 The time allotted for the training was sufficient.</t>
  </si>
  <si>
    <t>A.3 Uses relevant teaching technology appropriately</t>
  </si>
  <si>
    <t>B.1 The information for the training stated the goals clearly &amp; I was given enough time and information to prepare for the training.</t>
  </si>
  <si>
    <t>B.2 The Objectives of the training were clearly defined.</t>
  </si>
  <si>
    <t>B.2.1 The topics covered in the training were relevant.</t>
  </si>
  <si>
    <t>B.2.2 Participation and interaction during the training were encouraged.</t>
  </si>
  <si>
    <t>B.2.3 The training content was well organized and easy to follow.</t>
  </si>
  <si>
    <t>B.2.4 The training materials distributed were helpful.</t>
  </si>
  <si>
    <t>B.3 Training Objectives were met.</t>
  </si>
  <si>
    <t>B.3.1 This training was relevant to my needs.</t>
  </si>
  <si>
    <t>B.3.2 I am generally satisfied with the training.</t>
  </si>
  <si>
    <t>B.3.3 I will recommend this training to others with similar needs.</t>
  </si>
  <si>
    <t>B.4 The facilitators were well prepared for the training.</t>
  </si>
  <si>
    <t>B.4.1 The training staff were well organized and attentive to the trainees’ needs.</t>
  </si>
  <si>
    <t>C. Facilities, Accommodations and Food</t>
  </si>
  <si>
    <t>D. Venue</t>
  </si>
  <si>
    <t>Comments and Suggestions</t>
  </si>
  <si>
    <t>Remarks</t>
  </si>
  <si>
    <t>Jose G. Labonite</t>
  </si>
  <si>
    <t>Purok 3, Brgy. San Isidro, Pilar, Bohol</t>
  </si>
  <si>
    <t>key check system</t>
  </si>
  <si>
    <t>it’s a good research project</t>
  </si>
  <si>
    <t>Marina A. Labonite</t>
  </si>
  <si>
    <t>spouse of respondent no.1, did not put the amount of harvest since they are couple</t>
  </si>
  <si>
    <t>Roseta T. Miraveles</t>
  </si>
  <si>
    <t>Ilijan Norte, Tubigon, Bohol</t>
  </si>
  <si>
    <t>Ilijan Norte, Tubigon Irrigators Association</t>
  </si>
  <si>
    <t>choosing the right variety of rice</t>
  </si>
  <si>
    <t>okay kaayo ang pagpasabot, klaro ug tin-aw, nindot magpasabot ug ang speaker maayo ug buotan</t>
  </si>
  <si>
    <t>Marivic C. Culibar</t>
  </si>
  <si>
    <t>Nakahatag ug daghang kaalam sama nato nga first timer sa maong semina ug ato gyud nga iapply para makab-ot nako ang maayo ug daghan pa nga abot sa akon pagpanguma.</t>
  </si>
  <si>
    <t>Renato Aguama</t>
  </si>
  <si>
    <t>NA</t>
  </si>
  <si>
    <t>Manuel P. Vallente</t>
  </si>
  <si>
    <t>Pinayagan Sur, Tubigon, Bohol</t>
  </si>
  <si>
    <t>Very good</t>
  </si>
  <si>
    <t>Bonifacio Cañete</t>
  </si>
  <si>
    <t>Gina R. Bulilan</t>
  </si>
  <si>
    <t>Dennis C. Batistis</t>
  </si>
  <si>
    <t>Buenos Aires, Tubion, Bohol</t>
  </si>
  <si>
    <t>LFT Tubigon</t>
  </si>
  <si>
    <t>Teresita Rizaldo</t>
  </si>
  <si>
    <t>Rosalio Buligan Jr.</t>
  </si>
  <si>
    <t>Cahayag, Tubigon, Bohol</t>
  </si>
  <si>
    <t>Olaro Albasin</t>
  </si>
  <si>
    <t>kinaraan</t>
  </si>
  <si>
    <t>Maayo nga pamaagi sa pag improve sa pag uma.</t>
  </si>
  <si>
    <t>Eulogio Loresca</t>
  </si>
  <si>
    <t>Pamaytayom, Tubigon, Bohol</t>
  </si>
  <si>
    <t>We were lucky enough having this training with most knowledgeable resource speaker</t>
  </si>
  <si>
    <t>Arnold Leopardas Lerin</t>
  </si>
  <si>
    <t>Nestor Z. Algusar</t>
  </si>
  <si>
    <t>Alejandro M. Asperin</t>
  </si>
  <si>
    <t>HGM</t>
  </si>
  <si>
    <t>Harrison Cosgafa</t>
  </si>
  <si>
    <t>Remedios Cabusao</t>
  </si>
  <si>
    <t>Niño Vincent S. Lumayog</t>
  </si>
  <si>
    <t>Angeline Nuñez</t>
  </si>
  <si>
    <t>Maayo ug hapsay paminawon ang training</t>
  </si>
  <si>
    <t>Adonis B. Ricafort</t>
  </si>
  <si>
    <t>Bandilio L. Cartoneros</t>
  </si>
  <si>
    <t>Maritesia C. Inson</t>
  </si>
  <si>
    <t>the right way of planting, what is the right variety either inbreed or hybrid</t>
  </si>
  <si>
    <t>Cleto Aquanza</t>
  </si>
  <si>
    <t>Eufrasia Caluria</t>
  </si>
  <si>
    <t>Eufrasina Aplacador</t>
  </si>
  <si>
    <t>Educational Attainment (0-elementary level; 1-elementary graduate; 2-hs level; 3-hs graduate; 4-college level; 5-vocational; 6-college graduate; 7-graduate studies; 8-ALS)</t>
  </si>
  <si>
    <t>HH Head (0-no; 1-yes)</t>
  </si>
  <si>
    <t>If sold how much per SACK</t>
  </si>
  <si>
    <t>1. Use the 3-Day Weather Rule</t>
  </si>
  <si>
    <t>2. Alternate Wetting and Drying (AWD) Water Management</t>
  </si>
  <si>
    <t>3. Early Land Preparation Before Rainy Season</t>
  </si>
  <si>
    <t>4. Adjust Planting Calendar</t>
  </si>
  <si>
    <t>5. Use Weather-Based Pest Monitoring</t>
  </si>
  <si>
    <t>6. Proper Fertilizer Timing</t>
  </si>
  <si>
    <t>7. Rice Straw Mulching</t>
  </si>
  <si>
    <t>8. Plant windbreaks Around Rice Fields</t>
  </si>
  <si>
    <t>9. Monitor Field Drainage Before Heavy Rain</t>
  </si>
  <si>
    <t>10. Weather-Based Harvest Planning</t>
  </si>
  <si>
    <t>Jover D. Rola</t>
  </si>
  <si>
    <t>Brgy. Tuguipa Hilongos, Leyte</t>
  </si>
  <si>
    <t>Artemio C. Antolihao</t>
  </si>
  <si>
    <t>Brgy. Kanghaas</t>
  </si>
  <si>
    <t>Sto. Niño Irrigators Agricultural Coop</t>
  </si>
  <si>
    <t>Virginia Belarmino</t>
  </si>
  <si>
    <t>Brgy. Tabunok</t>
  </si>
  <si>
    <t>Elisa L. Antolihao</t>
  </si>
  <si>
    <t>Fortunato Palmero</t>
  </si>
  <si>
    <t>Rudolfo Inguito</t>
  </si>
  <si>
    <t>Victorino Ruales Jr.</t>
  </si>
  <si>
    <t>Tabunok Multi-Purpose Coop</t>
  </si>
  <si>
    <t>Using Weather Outlook</t>
  </si>
  <si>
    <t>Elizabeth Tantuan</t>
  </si>
  <si>
    <t>Bernarda Ceniza</t>
  </si>
  <si>
    <t>Maximiliana Onlao</t>
  </si>
  <si>
    <t>Tuguipa Farmers Association</t>
  </si>
  <si>
    <t>Adelaida Adaron</t>
  </si>
  <si>
    <t>Estrella Saporas</t>
  </si>
  <si>
    <t>Anacleta R. Capal</t>
  </si>
  <si>
    <t>Socrates L. Patosa Jr.</t>
  </si>
  <si>
    <t>Western Poblacion</t>
  </si>
  <si>
    <t>Armando N. Rola</t>
  </si>
  <si>
    <t>Emerita Nemis</t>
  </si>
  <si>
    <t>Jacinta Masendo</t>
  </si>
  <si>
    <t>Antonia Salido</t>
  </si>
  <si>
    <t>Philiza Mae Solis</t>
  </si>
  <si>
    <t>Womens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</si>
</sst>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-;\-* #,##0.00_-;_-* &quot;-&quot;??_-;_-@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4" fontId="2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164" fontId="2" fillId="2" borderId="1" xfId="0" applyNumberFormat="1" applyFont="1" applyFill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4" fillId="2" borderId="1" xfId="0" applyFont="1" applyFill="1" applyBorder="1"/>
    <xf numFmtId="43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"/>
  <sheetViews>
    <sheetView workbookViewId="0">
      <pane ySplit="1" topLeftCell="A2" activePane="bottomLeft" state="frozen"/>
      <selection pane="bottomLeft" activeCell="X1" sqref="X1"/>
    </sheetView>
  </sheetViews>
  <sheetFormatPr defaultColWidth="14.44140625" defaultRowHeight="15" customHeight="1" x14ac:dyDescent="0.3"/>
  <cols>
    <col min="1" max="1" width="8.88671875" customWidth="1"/>
    <col min="2" max="2" width="27.44140625" customWidth="1"/>
    <col min="3" max="4" width="8.6640625" customWidth="1"/>
    <col min="5" max="5" width="18.44140625" customWidth="1"/>
    <col min="6" max="17" width="8.6640625" customWidth="1"/>
    <col min="18" max="18" width="13.33203125" customWidth="1"/>
    <col min="19" max="19" width="15.44140625" customWidth="1"/>
    <col min="20" max="22" width="8.6640625" customWidth="1"/>
    <col min="23" max="23" width="16.44140625" customWidth="1"/>
    <col min="24" max="24" width="16.88671875" customWidth="1"/>
    <col min="25" max="26" width="18.109375" customWidth="1"/>
    <col min="27" max="27" width="18.33203125" customWidth="1"/>
    <col min="28" max="28" width="18.109375" customWidth="1"/>
    <col min="29" max="36" width="18.33203125" customWidth="1"/>
    <col min="37" max="37" width="18.44140625" customWidth="1"/>
    <col min="38" max="39" width="18.33203125" customWidth="1"/>
    <col min="40" max="41" width="18.44140625" customWidth="1"/>
    <col min="42" max="42" width="18.109375" customWidth="1"/>
    <col min="43" max="43" width="18.33203125" customWidth="1"/>
    <col min="44" max="44" width="18.44140625" customWidth="1"/>
    <col min="45" max="45" width="25.109375" customWidth="1"/>
    <col min="46" max="46" width="18.33203125" customWidth="1"/>
  </cols>
  <sheetData>
    <row r="1" spans="1:46" ht="60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ht="14.25" customHeight="1" x14ac:dyDescent="0.3">
      <c r="A2" s="1">
        <v>1</v>
      </c>
      <c r="B2" s="1" t="s">
        <v>46</v>
      </c>
      <c r="C2" s="1">
        <v>70</v>
      </c>
      <c r="D2" s="1">
        <v>0</v>
      </c>
      <c r="E2" s="1">
        <v>9366559827</v>
      </c>
      <c r="F2" s="1">
        <v>1</v>
      </c>
      <c r="G2" s="1" t="s">
        <v>47</v>
      </c>
      <c r="H2" s="1">
        <v>7</v>
      </c>
      <c r="I2" s="1">
        <v>3</v>
      </c>
      <c r="J2" s="1">
        <v>0</v>
      </c>
      <c r="K2" s="1">
        <v>19</v>
      </c>
      <c r="L2" s="1">
        <v>20</v>
      </c>
      <c r="M2" s="1">
        <v>1</v>
      </c>
      <c r="N2" s="1">
        <v>2</v>
      </c>
      <c r="O2" s="1">
        <v>1900</v>
      </c>
      <c r="P2" s="1">
        <v>1</v>
      </c>
      <c r="Q2" s="1">
        <v>30</v>
      </c>
      <c r="R2" s="4">
        <v>44</v>
      </c>
      <c r="S2" s="5"/>
      <c r="T2" s="1">
        <v>1</v>
      </c>
      <c r="V2" s="1">
        <v>1</v>
      </c>
      <c r="W2" s="1" t="s">
        <v>48</v>
      </c>
      <c r="X2" s="1">
        <v>3</v>
      </c>
      <c r="Y2" s="1">
        <v>3</v>
      </c>
      <c r="Z2" s="1">
        <v>3</v>
      </c>
      <c r="AA2" s="1">
        <v>3</v>
      </c>
      <c r="AB2" s="1">
        <v>3</v>
      </c>
      <c r="AC2" s="1">
        <v>3</v>
      </c>
      <c r="AD2" s="1">
        <v>3</v>
      </c>
      <c r="AE2" s="1">
        <v>3</v>
      </c>
      <c r="AF2" s="1">
        <v>3</v>
      </c>
      <c r="AG2" s="1">
        <v>3</v>
      </c>
      <c r="AH2" s="1">
        <v>3</v>
      </c>
      <c r="AI2" s="1">
        <v>3</v>
      </c>
      <c r="AJ2" s="1">
        <v>3</v>
      </c>
      <c r="AK2" s="1">
        <v>3</v>
      </c>
      <c r="AL2" s="1">
        <v>3</v>
      </c>
      <c r="AM2" s="1">
        <v>3</v>
      </c>
      <c r="AN2" s="1">
        <v>3</v>
      </c>
      <c r="AO2" s="1">
        <v>3</v>
      </c>
      <c r="AP2" s="1">
        <v>3</v>
      </c>
      <c r="AQ2" s="1">
        <v>3</v>
      </c>
      <c r="AR2" s="1">
        <v>3</v>
      </c>
      <c r="AS2" s="1" t="s">
        <v>49</v>
      </c>
    </row>
    <row r="3" spans="1:46" ht="14.25" customHeight="1" x14ac:dyDescent="0.3">
      <c r="A3" s="1">
        <v>2</v>
      </c>
      <c r="B3" s="1" t="s">
        <v>50</v>
      </c>
      <c r="C3" s="1">
        <v>68</v>
      </c>
      <c r="D3" s="1">
        <v>1</v>
      </c>
      <c r="E3" s="1">
        <v>9273364466</v>
      </c>
      <c r="F3" s="1">
        <v>1</v>
      </c>
      <c r="G3" s="1" t="s">
        <v>47</v>
      </c>
      <c r="H3" s="1">
        <v>7</v>
      </c>
      <c r="I3" s="1">
        <v>3</v>
      </c>
      <c r="J3" s="1">
        <v>0</v>
      </c>
      <c r="K3" s="1">
        <v>19</v>
      </c>
      <c r="L3" s="1">
        <v>20</v>
      </c>
      <c r="M3" s="1">
        <v>1</v>
      </c>
      <c r="N3" s="1">
        <v>2</v>
      </c>
      <c r="O3" s="1">
        <v>1900</v>
      </c>
      <c r="P3" s="1">
        <v>1</v>
      </c>
      <c r="Q3" s="1">
        <v>30</v>
      </c>
      <c r="R3" s="4">
        <v>44</v>
      </c>
      <c r="S3" s="5"/>
      <c r="T3" s="1">
        <v>0</v>
      </c>
      <c r="V3" s="1">
        <v>1</v>
      </c>
      <c r="W3" s="1" t="s">
        <v>48</v>
      </c>
      <c r="X3" s="1">
        <v>3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  <c r="AE3" s="1">
        <v>3</v>
      </c>
      <c r="AF3" s="1">
        <v>3</v>
      </c>
      <c r="AG3" s="1">
        <v>3</v>
      </c>
      <c r="AH3" s="1">
        <v>3</v>
      </c>
      <c r="AI3" s="1">
        <v>3</v>
      </c>
      <c r="AJ3" s="1">
        <v>3</v>
      </c>
      <c r="AK3" s="1">
        <v>3</v>
      </c>
      <c r="AL3" s="1">
        <v>3</v>
      </c>
      <c r="AM3" s="1">
        <v>3</v>
      </c>
      <c r="AN3" s="1">
        <v>3</v>
      </c>
      <c r="AO3" s="1">
        <v>3</v>
      </c>
      <c r="AP3" s="1">
        <v>3</v>
      </c>
      <c r="AQ3" s="1">
        <v>3</v>
      </c>
      <c r="AR3" s="1">
        <v>3</v>
      </c>
      <c r="AT3" s="1" t="s">
        <v>51</v>
      </c>
    </row>
    <row r="4" spans="1:46" ht="14.25" customHeight="1" x14ac:dyDescent="0.3">
      <c r="A4" s="1">
        <v>3</v>
      </c>
      <c r="B4" s="1" t="s">
        <v>52</v>
      </c>
      <c r="C4" s="1">
        <v>65</v>
      </c>
      <c r="D4" s="1">
        <v>1</v>
      </c>
      <c r="E4" s="1">
        <v>9976843138</v>
      </c>
      <c r="F4" s="1">
        <v>1</v>
      </c>
      <c r="G4" s="1" t="s">
        <v>53</v>
      </c>
      <c r="H4" s="1">
        <v>3</v>
      </c>
      <c r="K4" s="1">
        <v>0.4</v>
      </c>
      <c r="L4" s="1">
        <v>24</v>
      </c>
      <c r="M4" s="1">
        <v>0</v>
      </c>
      <c r="N4" s="1">
        <v>2</v>
      </c>
      <c r="O4" s="1">
        <v>36</v>
      </c>
      <c r="P4" s="1">
        <v>1</v>
      </c>
      <c r="Q4" s="1">
        <v>37</v>
      </c>
      <c r="R4" s="4">
        <v>25</v>
      </c>
      <c r="S4" s="5"/>
      <c r="T4" s="1">
        <v>1</v>
      </c>
      <c r="U4" s="1" t="s">
        <v>54</v>
      </c>
      <c r="V4" s="1">
        <v>1</v>
      </c>
      <c r="W4" s="1" t="s">
        <v>55</v>
      </c>
      <c r="X4" s="1">
        <v>3</v>
      </c>
      <c r="Y4" s="1">
        <v>3</v>
      </c>
      <c r="Z4" s="1">
        <v>3</v>
      </c>
      <c r="AA4" s="1">
        <v>3</v>
      </c>
      <c r="AB4" s="1">
        <v>3</v>
      </c>
      <c r="AC4" s="1">
        <v>3</v>
      </c>
      <c r="AD4" s="1">
        <v>3</v>
      </c>
      <c r="AE4" s="1">
        <v>3</v>
      </c>
      <c r="AF4" s="1">
        <v>3</v>
      </c>
      <c r="AG4" s="1">
        <v>3</v>
      </c>
      <c r="AH4" s="1">
        <v>2</v>
      </c>
      <c r="AI4" s="1">
        <v>3</v>
      </c>
      <c r="AJ4" s="1">
        <v>3</v>
      </c>
      <c r="AK4" s="1">
        <v>3</v>
      </c>
      <c r="AL4" s="1">
        <v>3</v>
      </c>
      <c r="AM4" s="1">
        <v>3</v>
      </c>
      <c r="AN4" s="1">
        <v>3</v>
      </c>
      <c r="AO4" s="1">
        <v>2</v>
      </c>
      <c r="AP4" s="1">
        <v>3</v>
      </c>
      <c r="AQ4" s="1">
        <v>3</v>
      </c>
      <c r="AR4" s="1">
        <v>3</v>
      </c>
      <c r="AS4" s="1" t="s">
        <v>56</v>
      </c>
    </row>
    <row r="5" spans="1:46" ht="14.25" customHeight="1" x14ac:dyDescent="0.3">
      <c r="A5" s="1">
        <v>4</v>
      </c>
      <c r="B5" s="1" t="s">
        <v>57</v>
      </c>
      <c r="C5" s="1">
        <v>43</v>
      </c>
      <c r="D5" s="1">
        <v>1</v>
      </c>
      <c r="E5" s="1">
        <v>9858359126</v>
      </c>
      <c r="F5" s="1">
        <v>1</v>
      </c>
      <c r="G5" s="1" t="s">
        <v>53</v>
      </c>
      <c r="H5" s="1">
        <v>2</v>
      </c>
      <c r="I5" s="1">
        <v>5</v>
      </c>
      <c r="J5" s="1">
        <v>0</v>
      </c>
      <c r="K5" s="1">
        <v>0.25</v>
      </c>
      <c r="L5" s="1">
        <v>15</v>
      </c>
      <c r="M5" s="1">
        <v>0</v>
      </c>
      <c r="N5" s="1">
        <v>2</v>
      </c>
      <c r="O5" s="1">
        <v>27</v>
      </c>
      <c r="P5" s="1">
        <v>0</v>
      </c>
      <c r="Q5" s="1">
        <v>33</v>
      </c>
      <c r="R5" s="4"/>
      <c r="S5" s="5"/>
      <c r="T5" s="1">
        <v>1</v>
      </c>
      <c r="U5" s="1" t="s">
        <v>54</v>
      </c>
      <c r="V5" s="1">
        <v>0</v>
      </c>
      <c r="X5" s="1">
        <v>3</v>
      </c>
      <c r="Y5" s="1">
        <v>3</v>
      </c>
      <c r="Z5" s="1">
        <v>3</v>
      </c>
      <c r="AA5" s="1">
        <v>3</v>
      </c>
      <c r="AB5" s="1">
        <v>3</v>
      </c>
      <c r="AC5" s="1">
        <v>3</v>
      </c>
      <c r="AD5" s="1">
        <v>3</v>
      </c>
      <c r="AE5" s="1">
        <v>3</v>
      </c>
      <c r="AF5" s="1">
        <v>3</v>
      </c>
      <c r="AG5" s="1">
        <v>3</v>
      </c>
      <c r="AH5" s="1">
        <v>3</v>
      </c>
      <c r="AI5" s="1">
        <v>3</v>
      </c>
      <c r="AJ5" s="1">
        <v>3</v>
      </c>
      <c r="AK5" s="1">
        <v>2</v>
      </c>
      <c r="AL5" s="1">
        <v>3</v>
      </c>
      <c r="AM5" s="1">
        <v>3</v>
      </c>
      <c r="AN5" s="1">
        <v>3</v>
      </c>
      <c r="AO5" s="1">
        <v>3</v>
      </c>
      <c r="AP5" s="1">
        <v>3</v>
      </c>
      <c r="AQ5" s="1">
        <v>3</v>
      </c>
      <c r="AR5" s="1">
        <v>3</v>
      </c>
      <c r="AS5" s="1" t="s">
        <v>58</v>
      </c>
    </row>
    <row r="6" spans="1:46" ht="14.25" customHeight="1" x14ac:dyDescent="0.3">
      <c r="A6" s="1">
        <v>5</v>
      </c>
      <c r="B6" s="1" t="s">
        <v>59</v>
      </c>
      <c r="C6" s="1">
        <v>61</v>
      </c>
      <c r="D6" s="1">
        <v>0</v>
      </c>
      <c r="E6" s="6" t="s">
        <v>60</v>
      </c>
      <c r="G6" s="1" t="s">
        <v>53</v>
      </c>
      <c r="H6" s="1">
        <v>2</v>
      </c>
      <c r="K6" s="1">
        <v>2.4</v>
      </c>
      <c r="L6" s="1">
        <v>20</v>
      </c>
      <c r="N6" s="1">
        <v>2</v>
      </c>
      <c r="O6" s="1">
        <v>251</v>
      </c>
      <c r="P6" s="1">
        <v>1</v>
      </c>
      <c r="R6" s="4"/>
      <c r="S6" s="5"/>
      <c r="T6" s="1">
        <v>1</v>
      </c>
      <c r="U6" s="1" t="s">
        <v>54</v>
      </c>
      <c r="V6" s="1">
        <v>0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</row>
    <row r="7" spans="1:46" ht="14.25" customHeight="1" x14ac:dyDescent="0.3">
      <c r="A7" s="1">
        <v>6</v>
      </c>
      <c r="B7" s="1" t="s">
        <v>61</v>
      </c>
      <c r="C7" s="1">
        <v>61</v>
      </c>
      <c r="D7" s="1">
        <v>0</v>
      </c>
      <c r="E7" s="1">
        <v>9359787564</v>
      </c>
      <c r="F7" s="1">
        <v>3</v>
      </c>
      <c r="G7" s="1" t="s">
        <v>62</v>
      </c>
      <c r="H7" s="1">
        <v>3</v>
      </c>
      <c r="I7" s="1">
        <v>1</v>
      </c>
      <c r="J7" s="1">
        <v>0</v>
      </c>
      <c r="K7" s="1">
        <v>1</v>
      </c>
      <c r="L7" s="1">
        <v>2</v>
      </c>
      <c r="M7" s="1">
        <v>5</v>
      </c>
      <c r="N7" s="1">
        <v>2</v>
      </c>
      <c r="O7" s="1">
        <v>60</v>
      </c>
      <c r="P7" s="1">
        <v>1</v>
      </c>
      <c r="Q7" s="1">
        <v>30</v>
      </c>
      <c r="R7" s="4">
        <v>30</v>
      </c>
      <c r="S7" s="5"/>
      <c r="T7" s="1">
        <v>1</v>
      </c>
      <c r="U7" s="1" t="s">
        <v>54</v>
      </c>
      <c r="V7" s="1">
        <v>1</v>
      </c>
      <c r="X7" s="1">
        <v>2</v>
      </c>
      <c r="Y7" s="1">
        <v>3</v>
      </c>
      <c r="Z7" s="1">
        <v>3</v>
      </c>
      <c r="AA7" s="1">
        <v>3</v>
      </c>
      <c r="AB7" s="1">
        <v>3</v>
      </c>
      <c r="AC7" s="1">
        <v>3</v>
      </c>
      <c r="AD7" s="1">
        <v>3</v>
      </c>
      <c r="AE7" s="1">
        <v>3</v>
      </c>
      <c r="AF7" s="1">
        <v>3</v>
      </c>
      <c r="AG7" s="1">
        <v>3</v>
      </c>
      <c r="AH7" s="1">
        <v>3</v>
      </c>
      <c r="AI7" s="1">
        <v>3</v>
      </c>
      <c r="AJ7" s="1">
        <v>3</v>
      </c>
      <c r="AK7" s="1">
        <v>3</v>
      </c>
      <c r="AL7" s="1">
        <v>3</v>
      </c>
      <c r="AM7" s="1">
        <v>3</v>
      </c>
      <c r="AN7" s="1">
        <v>3</v>
      </c>
      <c r="AO7" s="1">
        <v>3</v>
      </c>
      <c r="AP7" s="1">
        <v>3</v>
      </c>
      <c r="AQ7" s="1">
        <v>3</v>
      </c>
      <c r="AR7" s="1">
        <v>3</v>
      </c>
      <c r="AS7" s="1" t="s">
        <v>63</v>
      </c>
    </row>
    <row r="8" spans="1:46" ht="14.25" customHeight="1" x14ac:dyDescent="0.3">
      <c r="A8" s="1">
        <v>7</v>
      </c>
      <c r="B8" s="1" t="s">
        <v>64</v>
      </c>
      <c r="C8" s="1">
        <v>68</v>
      </c>
      <c r="D8" s="1">
        <v>0</v>
      </c>
      <c r="E8" s="6" t="s">
        <v>60</v>
      </c>
      <c r="F8" s="1">
        <v>1</v>
      </c>
      <c r="G8" s="1" t="s">
        <v>53</v>
      </c>
      <c r="H8" s="1">
        <v>0</v>
      </c>
      <c r="I8" s="1">
        <v>4</v>
      </c>
      <c r="J8" s="1">
        <v>0</v>
      </c>
      <c r="K8" s="1">
        <v>1</v>
      </c>
      <c r="L8" s="1">
        <v>13</v>
      </c>
      <c r="M8" s="1">
        <v>2</v>
      </c>
      <c r="N8" s="1">
        <v>2</v>
      </c>
      <c r="O8" s="1">
        <v>60</v>
      </c>
      <c r="P8" s="1">
        <v>1</v>
      </c>
      <c r="R8" s="4">
        <v>25</v>
      </c>
      <c r="S8" s="5"/>
      <c r="T8" s="1">
        <v>1</v>
      </c>
      <c r="U8" s="1" t="s">
        <v>54</v>
      </c>
      <c r="V8" s="1">
        <v>0</v>
      </c>
      <c r="X8" s="1">
        <v>3</v>
      </c>
      <c r="Y8" s="1">
        <v>3</v>
      </c>
      <c r="Z8" s="1">
        <v>3</v>
      </c>
      <c r="AA8" s="1">
        <v>3</v>
      </c>
      <c r="AB8" s="1">
        <v>3</v>
      </c>
      <c r="AC8" s="1">
        <v>3</v>
      </c>
      <c r="AD8" s="1">
        <v>3</v>
      </c>
      <c r="AE8" s="1">
        <v>3</v>
      </c>
      <c r="AF8" s="1">
        <v>3</v>
      </c>
      <c r="AG8" s="1">
        <v>3</v>
      </c>
      <c r="AH8" s="1">
        <v>3</v>
      </c>
      <c r="AI8" s="1">
        <v>3</v>
      </c>
      <c r="AJ8" s="1">
        <v>3</v>
      </c>
      <c r="AK8" s="1">
        <v>3</v>
      </c>
      <c r="AL8" s="1">
        <v>3</v>
      </c>
      <c r="AM8" s="1">
        <v>3</v>
      </c>
      <c r="AN8" s="1">
        <v>3</v>
      </c>
      <c r="AO8" s="1">
        <v>3</v>
      </c>
      <c r="AP8" s="1">
        <v>3</v>
      </c>
      <c r="AQ8" s="1">
        <v>3</v>
      </c>
      <c r="AR8" s="1">
        <v>3</v>
      </c>
    </row>
    <row r="9" spans="1:46" ht="14.25" customHeight="1" x14ac:dyDescent="0.3">
      <c r="A9" s="1">
        <v>8</v>
      </c>
      <c r="B9" s="1" t="s">
        <v>65</v>
      </c>
      <c r="C9" s="1">
        <v>55</v>
      </c>
      <c r="D9" s="1">
        <v>1</v>
      </c>
      <c r="E9" s="1">
        <v>9939353350</v>
      </c>
      <c r="F9" s="1">
        <v>1</v>
      </c>
      <c r="G9" s="1" t="s">
        <v>53</v>
      </c>
      <c r="H9" s="1">
        <v>6</v>
      </c>
      <c r="L9" s="1">
        <v>25</v>
      </c>
      <c r="N9" s="1">
        <v>2</v>
      </c>
      <c r="O9" s="1">
        <v>80</v>
      </c>
      <c r="P9" s="1">
        <v>1</v>
      </c>
      <c r="R9" s="4">
        <v>25</v>
      </c>
      <c r="S9" s="5"/>
      <c r="T9" s="1">
        <v>1</v>
      </c>
      <c r="U9" s="1" t="s">
        <v>54</v>
      </c>
      <c r="X9" s="1">
        <v>3</v>
      </c>
      <c r="Y9" s="1">
        <v>3</v>
      </c>
      <c r="Z9" s="1">
        <v>3</v>
      </c>
      <c r="AA9" s="1">
        <v>3</v>
      </c>
      <c r="AB9" s="1">
        <v>3</v>
      </c>
      <c r="AC9" s="1">
        <v>3</v>
      </c>
      <c r="AD9" s="1">
        <v>3</v>
      </c>
      <c r="AE9" s="1">
        <v>3</v>
      </c>
      <c r="AF9" s="1">
        <v>3</v>
      </c>
      <c r="AG9" s="1">
        <v>3</v>
      </c>
      <c r="AH9" s="1">
        <v>3</v>
      </c>
      <c r="AI9" s="1">
        <v>3</v>
      </c>
      <c r="AJ9" s="1">
        <v>3</v>
      </c>
      <c r="AK9" s="1">
        <v>3</v>
      </c>
      <c r="AL9" s="1">
        <v>3</v>
      </c>
      <c r="AM9" s="1">
        <v>3</v>
      </c>
      <c r="AN9" s="1">
        <v>3</v>
      </c>
      <c r="AO9" s="1">
        <v>3</v>
      </c>
      <c r="AP9" s="1">
        <v>3</v>
      </c>
      <c r="AQ9" s="1">
        <v>3</v>
      </c>
      <c r="AR9" s="1">
        <v>3</v>
      </c>
    </row>
    <row r="10" spans="1:46" ht="14.25" customHeight="1" x14ac:dyDescent="0.3">
      <c r="A10" s="1">
        <v>9</v>
      </c>
      <c r="B10" s="1" t="s">
        <v>66</v>
      </c>
      <c r="C10" s="1">
        <v>44</v>
      </c>
      <c r="D10" s="1">
        <v>0</v>
      </c>
      <c r="F10" s="1">
        <v>1</v>
      </c>
      <c r="G10" s="1" t="s">
        <v>67</v>
      </c>
      <c r="H10" s="1">
        <v>3</v>
      </c>
      <c r="I10" s="1">
        <v>4</v>
      </c>
      <c r="J10" s="1">
        <v>0</v>
      </c>
      <c r="K10" s="1">
        <v>0.5</v>
      </c>
      <c r="L10" s="1">
        <v>10</v>
      </c>
      <c r="M10" s="1">
        <v>0</v>
      </c>
      <c r="N10" s="1">
        <v>2</v>
      </c>
      <c r="O10" s="1">
        <v>20</v>
      </c>
      <c r="P10" s="1">
        <v>1</v>
      </c>
      <c r="R10" s="4">
        <v>30</v>
      </c>
      <c r="S10" s="5"/>
      <c r="T10" s="1">
        <v>1</v>
      </c>
      <c r="U10" s="1" t="s">
        <v>68</v>
      </c>
      <c r="V10" s="1">
        <v>0</v>
      </c>
      <c r="X10" s="1">
        <v>3</v>
      </c>
      <c r="Y10" s="1">
        <v>3</v>
      </c>
      <c r="Z10" s="1">
        <v>3</v>
      </c>
      <c r="AA10" s="1">
        <v>3</v>
      </c>
      <c r="AB10" s="1">
        <v>3</v>
      </c>
      <c r="AC10" s="1">
        <v>3</v>
      </c>
      <c r="AD10" s="1">
        <v>3</v>
      </c>
      <c r="AE10" s="1">
        <v>3</v>
      </c>
      <c r="AF10" s="1">
        <v>3</v>
      </c>
      <c r="AG10" s="1">
        <v>3</v>
      </c>
      <c r="AH10" s="1">
        <v>3</v>
      </c>
      <c r="AI10" s="1">
        <v>3</v>
      </c>
      <c r="AJ10" s="1">
        <v>3</v>
      </c>
      <c r="AK10" s="1">
        <v>3</v>
      </c>
      <c r="AL10" s="1">
        <v>3</v>
      </c>
      <c r="AM10" s="1">
        <v>3</v>
      </c>
      <c r="AN10" s="1">
        <v>3</v>
      </c>
      <c r="AO10" s="1">
        <v>3</v>
      </c>
      <c r="AP10" s="1">
        <v>3</v>
      </c>
      <c r="AQ10" s="1">
        <v>3</v>
      </c>
      <c r="AR10" s="1">
        <v>3</v>
      </c>
    </row>
    <row r="11" spans="1:46" ht="14.25" customHeight="1" x14ac:dyDescent="0.3">
      <c r="A11" s="1">
        <v>10</v>
      </c>
      <c r="B11" s="1" t="s">
        <v>69</v>
      </c>
      <c r="C11" s="1">
        <v>72</v>
      </c>
      <c r="D11" s="1">
        <v>1</v>
      </c>
      <c r="E11" s="1">
        <v>9758392562</v>
      </c>
      <c r="F11" s="1">
        <v>1</v>
      </c>
      <c r="H11" s="1">
        <v>0</v>
      </c>
      <c r="I11" s="1">
        <v>3</v>
      </c>
      <c r="J11" s="1">
        <v>0</v>
      </c>
      <c r="K11" s="1">
        <v>0.22</v>
      </c>
      <c r="L11" s="1">
        <v>55</v>
      </c>
      <c r="M11" s="1">
        <v>0</v>
      </c>
      <c r="N11" s="1">
        <v>2</v>
      </c>
      <c r="O11" s="1">
        <v>17</v>
      </c>
      <c r="P11" s="1">
        <v>1</v>
      </c>
      <c r="Q11" s="1">
        <v>33.5</v>
      </c>
      <c r="R11" s="4"/>
      <c r="S11" s="5"/>
      <c r="T11" s="1">
        <v>1</v>
      </c>
      <c r="U11" s="1" t="s">
        <v>54</v>
      </c>
      <c r="V11" s="1">
        <v>0</v>
      </c>
      <c r="X11" s="1">
        <v>3</v>
      </c>
      <c r="Y11" s="1">
        <v>2</v>
      </c>
      <c r="Z11" s="1">
        <v>3</v>
      </c>
      <c r="AA11" s="1">
        <v>3</v>
      </c>
      <c r="AB11" s="1">
        <v>3</v>
      </c>
      <c r="AC11" s="1">
        <v>2</v>
      </c>
      <c r="AD11" s="1">
        <v>3</v>
      </c>
      <c r="AE11" s="1">
        <v>3</v>
      </c>
      <c r="AF11" s="1">
        <v>3</v>
      </c>
      <c r="AG11" s="1">
        <v>3</v>
      </c>
      <c r="AH11" s="1">
        <v>2</v>
      </c>
      <c r="AI11" s="1">
        <v>3</v>
      </c>
      <c r="AJ11" s="1">
        <v>3</v>
      </c>
      <c r="AK11" s="1">
        <v>3</v>
      </c>
      <c r="AL11" s="1">
        <v>3</v>
      </c>
      <c r="AM11" s="1">
        <v>2</v>
      </c>
      <c r="AN11" s="1">
        <v>3</v>
      </c>
      <c r="AO11" s="1">
        <v>3</v>
      </c>
      <c r="AP11" s="1">
        <v>3</v>
      </c>
      <c r="AQ11" s="1">
        <v>3</v>
      </c>
      <c r="AR11" s="1">
        <v>3</v>
      </c>
    </row>
    <row r="12" spans="1:46" ht="14.25" customHeight="1" x14ac:dyDescent="0.3">
      <c r="A12" s="1">
        <v>11</v>
      </c>
      <c r="B12" s="1" t="s">
        <v>70</v>
      </c>
      <c r="C12" s="1">
        <v>44</v>
      </c>
      <c r="D12" s="1">
        <v>0</v>
      </c>
      <c r="E12" s="1">
        <v>9285809836</v>
      </c>
      <c r="F12" s="1">
        <v>1</v>
      </c>
      <c r="G12" s="1" t="s">
        <v>71</v>
      </c>
      <c r="H12" s="1">
        <v>3</v>
      </c>
      <c r="I12" s="1">
        <v>5</v>
      </c>
      <c r="J12" s="1">
        <v>0</v>
      </c>
      <c r="K12" s="1">
        <v>1</v>
      </c>
      <c r="L12" s="1">
        <v>15</v>
      </c>
      <c r="M12" s="1">
        <v>0</v>
      </c>
      <c r="N12" s="1">
        <v>2</v>
      </c>
      <c r="O12" s="1">
        <v>22</v>
      </c>
      <c r="P12" s="7">
        <v>0</v>
      </c>
      <c r="Q12" s="1">
        <v>50</v>
      </c>
      <c r="R12" s="4"/>
      <c r="S12" s="5"/>
      <c r="T12" s="1">
        <v>1</v>
      </c>
      <c r="U12" s="1" t="s">
        <v>54</v>
      </c>
      <c r="V12" s="1">
        <v>0</v>
      </c>
      <c r="X12" s="1">
        <v>3</v>
      </c>
      <c r="Y12" s="1">
        <v>3</v>
      </c>
      <c r="Z12" s="1">
        <v>2</v>
      </c>
      <c r="AA12" s="1">
        <v>3</v>
      </c>
      <c r="AB12" s="1">
        <v>3</v>
      </c>
      <c r="AC12" s="1">
        <v>2</v>
      </c>
      <c r="AD12" s="1">
        <v>2</v>
      </c>
      <c r="AE12" s="1">
        <v>2</v>
      </c>
      <c r="AF12" s="1">
        <v>3</v>
      </c>
      <c r="AG12" s="1">
        <v>3</v>
      </c>
      <c r="AH12" s="1">
        <v>3</v>
      </c>
      <c r="AI12" s="1">
        <v>3</v>
      </c>
      <c r="AJ12" s="1">
        <v>3</v>
      </c>
      <c r="AK12" s="1">
        <v>3</v>
      </c>
      <c r="AL12" s="1">
        <v>3</v>
      </c>
      <c r="AM12" s="1">
        <v>2</v>
      </c>
      <c r="AN12" s="1">
        <v>3</v>
      </c>
      <c r="AO12" s="1">
        <v>3</v>
      </c>
      <c r="AP12" s="1">
        <v>3</v>
      </c>
      <c r="AQ12" s="1">
        <v>3</v>
      </c>
      <c r="AR12" s="1">
        <v>3</v>
      </c>
    </row>
    <row r="13" spans="1:46" ht="14.25" customHeight="1" x14ac:dyDescent="0.3">
      <c r="A13" s="1">
        <v>12</v>
      </c>
      <c r="B13" s="1" t="s">
        <v>72</v>
      </c>
      <c r="C13" s="1">
        <v>62</v>
      </c>
      <c r="D13" s="1">
        <v>0</v>
      </c>
      <c r="F13" s="1">
        <v>1</v>
      </c>
      <c r="G13" s="1" t="s">
        <v>62</v>
      </c>
      <c r="H13" s="1">
        <v>2</v>
      </c>
      <c r="I13" s="1">
        <v>4</v>
      </c>
      <c r="J13" s="1">
        <v>0</v>
      </c>
      <c r="K13" s="1">
        <v>0.8</v>
      </c>
      <c r="L13" s="1">
        <v>48</v>
      </c>
      <c r="N13" s="1">
        <v>2</v>
      </c>
      <c r="O13" s="1">
        <v>2</v>
      </c>
      <c r="P13" s="1">
        <v>1</v>
      </c>
      <c r="Q13" s="1">
        <v>20</v>
      </c>
      <c r="R13" s="4">
        <v>26</v>
      </c>
      <c r="S13" s="5"/>
      <c r="T13" s="1">
        <v>1</v>
      </c>
      <c r="U13" s="1" t="s">
        <v>54</v>
      </c>
      <c r="V13" s="1">
        <v>1</v>
      </c>
      <c r="W13" s="1" t="s">
        <v>73</v>
      </c>
      <c r="X13" s="1">
        <v>2</v>
      </c>
      <c r="Y13" s="1">
        <v>2</v>
      </c>
      <c r="Z13" s="1">
        <v>3</v>
      </c>
      <c r="AA13" s="1">
        <v>3</v>
      </c>
      <c r="AB13" s="1">
        <v>3</v>
      </c>
      <c r="AC13" s="1">
        <v>2</v>
      </c>
      <c r="AD13" s="1">
        <v>2</v>
      </c>
      <c r="AE13" s="1">
        <v>2</v>
      </c>
      <c r="AF13" s="1">
        <v>3</v>
      </c>
      <c r="AG13" s="1">
        <v>3</v>
      </c>
      <c r="AH13" s="1">
        <v>2</v>
      </c>
      <c r="AI13" s="1">
        <v>3</v>
      </c>
      <c r="AJ13" s="1">
        <v>2</v>
      </c>
      <c r="AK13" s="1">
        <v>2</v>
      </c>
      <c r="AL13" s="1">
        <v>3</v>
      </c>
      <c r="AM13" s="1">
        <v>3</v>
      </c>
      <c r="AN13" s="1">
        <v>2</v>
      </c>
      <c r="AO13" s="1">
        <v>3</v>
      </c>
      <c r="AP13" s="1">
        <v>3</v>
      </c>
      <c r="AQ13" s="1">
        <v>2</v>
      </c>
      <c r="AR13" s="1">
        <v>2</v>
      </c>
      <c r="AS13" s="1" t="s">
        <v>74</v>
      </c>
    </row>
    <row r="14" spans="1:46" ht="14.25" customHeight="1" x14ac:dyDescent="0.3">
      <c r="A14" s="1">
        <v>13</v>
      </c>
      <c r="B14" s="1" t="s">
        <v>75</v>
      </c>
      <c r="C14" s="1">
        <v>68</v>
      </c>
      <c r="D14" s="1">
        <v>0</v>
      </c>
      <c r="E14" s="1">
        <v>9505203888</v>
      </c>
      <c r="F14" s="1">
        <v>1</v>
      </c>
      <c r="G14" s="1" t="s">
        <v>76</v>
      </c>
      <c r="H14" s="1">
        <v>6</v>
      </c>
      <c r="I14" s="1">
        <v>4</v>
      </c>
      <c r="J14" s="1">
        <v>0</v>
      </c>
      <c r="K14" s="1">
        <v>0.25</v>
      </c>
      <c r="L14" s="1">
        <v>68</v>
      </c>
      <c r="M14" s="1">
        <v>1</v>
      </c>
      <c r="N14" s="1">
        <v>2</v>
      </c>
      <c r="O14" s="1">
        <v>32</v>
      </c>
      <c r="P14" s="1">
        <v>0</v>
      </c>
      <c r="Q14" s="1">
        <v>35</v>
      </c>
      <c r="R14" s="4"/>
      <c r="S14" s="5"/>
      <c r="T14" s="1">
        <v>1</v>
      </c>
      <c r="U14" s="1" t="s">
        <v>54</v>
      </c>
      <c r="V14" s="1">
        <v>1</v>
      </c>
      <c r="X14" s="1">
        <v>3</v>
      </c>
      <c r="Y14" s="1">
        <v>2</v>
      </c>
      <c r="Z14" s="1">
        <v>3</v>
      </c>
      <c r="AA14" s="1">
        <v>3</v>
      </c>
      <c r="AB14" s="1">
        <v>3</v>
      </c>
      <c r="AC14" s="1">
        <v>2</v>
      </c>
      <c r="AD14" s="1">
        <v>2</v>
      </c>
      <c r="AE14" s="1">
        <v>3</v>
      </c>
      <c r="AF14" s="1">
        <v>3</v>
      </c>
      <c r="AG14" s="1">
        <v>3</v>
      </c>
      <c r="AH14" s="1">
        <v>3</v>
      </c>
      <c r="AI14" s="1">
        <v>3</v>
      </c>
      <c r="AJ14" s="1">
        <v>3</v>
      </c>
      <c r="AK14" s="1">
        <v>3</v>
      </c>
      <c r="AL14" s="1">
        <v>3</v>
      </c>
      <c r="AM14" s="1">
        <v>3</v>
      </c>
      <c r="AN14" s="1">
        <v>3</v>
      </c>
      <c r="AO14" s="1">
        <v>3</v>
      </c>
      <c r="AP14" s="1">
        <v>3</v>
      </c>
      <c r="AQ14" s="1">
        <v>3</v>
      </c>
      <c r="AR14" s="1">
        <v>3</v>
      </c>
      <c r="AS14" s="1" t="s">
        <v>77</v>
      </c>
    </row>
    <row r="15" spans="1:46" ht="14.25" customHeight="1" x14ac:dyDescent="0.3">
      <c r="A15" s="1">
        <v>14</v>
      </c>
      <c r="B15" s="1" t="s">
        <v>78</v>
      </c>
      <c r="C15" s="1">
        <v>47</v>
      </c>
      <c r="D15" s="1">
        <v>0</v>
      </c>
      <c r="E15" s="1">
        <v>9460345616</v>
      </c>
      <c r="F15" s="1">
        <v>1</v>
      </c>
      <c r="G15" s="1" t="s">
        <v>53</v>
      </c>
      <c r="H15" s="1">
        <v>2</v>
      </c>
      <c r="I15" s="1">
        <v>4</v>
      </c>
      <c r="J15" s="1">
        <v>0</v>
      </c>
      <c r="K15" s="1">
        <v>0.75</v>
      </c>
      <c r="L15" s="1">
        <v>15</v>
      </c>
      <c r="M15" s="1">
        <v>0</v>
      </c>
      <c r="N15" s="1">
        <v>2</v>
      </c>
      <c r="O15" s="1">
        <v>100</v>
      </c>
      <c r="P15" s="1">
        <v>1</v>
      </c>
      <c r="Q15" s="1">
        <v>35</v>
      </c>
      <c r="R15" s="4">
        <v>25</v>
      </c>
      <c r="S15" s="5"/>
      <c r="T15" s="1">
        <v>1</v>
      </c>
      <c r="U15" s="1" t="s">
        <v>54</v>
      </c>
      <c r="V15" s="1">
        <v>0</v>
      </c>
      <c r="X15" s="1">
        <v>3</v>
      </c>
      <c r="Y15" s="1">
        <v>3</v>
      </c>
      <c r="Z15" s="1">
        <v>3</v>
      </c>
      <c r="AA15" s="1">
        <v>3</v>
      </c>
      <c r="AB15" s="1">
        <v>3</v>
      </c>
      <c r="AC15" s="1">
        <v>3</v>
      </c>
      <c r="AD15" s="1">
        <v>3</v>
      </c>
      <c r="AE15" s="1">
        <v>3</v>
      </c>
      <c r="AF15" s="1">
        <v>3</v>
      </c>
      <c r="AG15" s="1">
        <v>3</v>
      </c>
      <c r="AH15" s="1">
        <v>3</v>
      </c>
      <c r="AI15" s="1">
        <v>3</v>
      </c>
      <c r="AJ15" s="1">
        <v>3</v>
      </c>
      <c r="AK15" s="1">
        <v>3</v>
      </c>
      <c r="AL15" s="1">
        <v>3</v>
      </c>
      <c r="AM15" s="1">
        <v>3</v>
      </c>
      <c r="AN15" s="1">
        <v>3</v>
      </c>
      <c r="AO15" s="1">
        <v>3</v>
      </c>
      <c r="AP15" s="1">
        <v>3</v>
      </c>
      <c r="AQ15" s="1">
        <v>3</v>
      </c>
      <c r="AR15" s="1">
        <v>3</v>
      </c>
    </row>
    <row r="16" spans="1:46" ht="14.25" customHeight="1" x14ac:dyDescent="0.3">
      <c r="A16" s="1">
        <v>15</v>
      </c>
      <c r="B16" s="1" t="s">
        <v>79</v>
      </c>
      <c r="C16" s="1">
        <v>65</v>
      </c>
      <c r="D16" s="1">
        <v>0</v>
      </c>
      <c r="F16" s="1">
        <v>1</v>
      </c>
      <c r="G16" s="1" t="s">
        <v>53</v>
      </c>
      <c r="H16" s="1">
        <v>2</v>
      </c>
      <c r="I16" s="1">
        <v>6</v>
      </c>
      <c r="J16" s="1">
        <v>0</v>
      </c>
      <c r="K16" s="1">
        <v>1</v>
      </c>
      <c r="L16" s="7">
        <v>44</v>
      </c>
      <c r="M16" s="1">
        <v>0</v>
      </c>
      <c r="N16" s="1">
        <v>2</v>
      </c>
      <c r="O16" s="1">
        <v>40</v>
      </c>
      <c r="P16" s="8"/>
      <c r="R16" s="4"/>
      <c r="S16" s="5"/>
      <c r="T16" s="1">
        <v>1</v>
      </c>
      <c r="U16" s="1" t="s">
        <v>54</v>
      </c>
      <c r="V16" s="1">
        <v>1</v>
      </c>
      <c r="X16" s="1">
        <v>2</v>
      </c>
      <c r="Y16" s="1">
        <v>3</v>
      </c>
      <c r="Z16" s="1">
        <v>2</v>
      </c>
      <c r="AA16" s="1">
        <v>3</v>
      </c>
      <c r="AB16" s="1">
        <v>3</v>
      </c>
      <c r="AC16" s="1">
        <v>2</v>
      </c>
      <c r="AD16" s="1">
        <v>3</v>
      </c>
      <c r="AE16" s="1">
        <v>2</v>
      </c>
      <c r="AF16" s="1">
        <v>2</v>
      </c>
      <c r="AG16" s="1">
        <v>3</v>
      </c>
      <c r="AH16" s="1">
        <v>2</v>
      </c>
      <c r="AI16" s="1">
        <v>3</v>
      </c>
      <c r="AJ16" s="1">
        <v>3</v>
      </c>
      <c r="AK16" s="1">
        <v>2</v>
      </c>
      <c r="AL16" s="1">
        <v>3</v>
      </c>
      <c r="AM16" s="1">
        <v>3</v>
      </c>
      <c r="AN16" s="1">
        <v>3</v>
      </c>
      <c r="AO16" s="1">
        <v>3</v>
      </c>
      <c r="AP16" s="1">
        <v>3</v>
      </c>
      <c r="AQ16" s="1">
        <v>3</v>
      </c>
      <c r="AR16" s="1">
        <v>3</v>
      </c>
    </row>
    <row r="17" spans="1:45" ht="14.25" customHeight="1" x14ac:dyDescent="0.3">
      <c r="A17" s="1">
        <v>16</v>
      </c>
      <c r="B17" s="1" t="s">
        <v>80</v>
      </c>
      <c r="C17" s="1">
        <v>60</v>
      </c>
      <c r="D17" s="1">
        <v>0</v>
      </c>
      <c r="E17" s="1">
        <v>9482012596</v>
      </c>
      <c r="G17" s="1" t="s">
        <v>62</v>
      </c>
      <c r="H17" s="1">
        <v>2</v>
      </c>
      <c r="I17" s="1">
        <v>5</v>
      </c>
      <c r="J17" s="1">
        <v>0</v>
      </c>
      <c r="K17" s="1">
        <v>0.8</v>
      </c>
      <c r="L17" s="1">
        <v>12</v>
      </c>
      <c r="M17" s="1">
        <v>0</v>
      </c>
      <c r="N17" s="1">
        <v>2</v>
      </c>
      <c r="O17" s="1">
        <v>110</v>
      </c>
      <c r="R17" s="4"/>
      <c r="S17" s="4"/>
      <c r="T17" s="1">
        <v>1</v>
      </c>
      <c r="U17" s="1" t="s">
        <v>81</v>
      </c>
      <c r="V17" s="1">
        <v>1</v>
      </c>
      <c r="X17" s="1">
        <v>2</v>
      </c>
      <c r="Y17" s="1">
        <v>3</v>
      </c>
      <c r="Z17" s="1">
        <v>3</v>
      </c>
      <c r="AA17" s="1">
        <v>2</v>
      </c>
      <c r="AB17" s="1">
        <v>2</v>
      </c>
      <c r="AC17" s="1">
        <v>3</v>
      </c>
      <c r="AD17" s="1">
        <v>2</v>
      </c>
      <c r="AE17" s="1">
        <v>2</v>
      </c>
      <c r="AF17" s="1">
        <v>3</v>
      </c>
      <c r="AG17" s="1">
        <v>2</v>
      </c>
      <c r="AH17" s="1">
        <v>3</v>
      </c>
      <c r="AI17" s="1">
        <v>2</v>
      </c>
      <c r="AJ17" s="1">
        <v>2</v>
      </c>
      <c r="AK17" s="1">
        <v>3</v>
      </c>
      <c r="AL17" s="1">
        <v>2</v>
      </c>
      <c r="AM17" s="1">
        <v>3</v>
      </c>
      <c r="AN17" s="1">
        <v>2</v>
      </c>
      <c r="AO17" s="1">
        <v>2</v>
      </c>
      <c r="AP17" s="1">
        <v>3</v>
      </c>
      <c r="AQ17" s="1">
        <v>3</v>
      </c>
      <c r="AR17" s="1">
        <v>3</v>
      </c>
    </row>
    <row r="18" spans="1:45" ht="14.25" customHeight="1" x14ac:dyDescent="0.3">
      <c r="A18" s="1">
        <v>17</v>
      </c>
      <c r="B18" s="1" t="s">
        <v>82</v>
      </c>
      <c r="C18" s="1">
        <v>45</v>
      </c>
      <c r="D18" s="1">
        <v>0</v>
      </c>
      <c r="E18" s="1">
        <v>9369471664</v>
      </c>
      <c r="F18" s="1">
        <v>1</v>
      </c>
      <c r="G18" s="1" t="s">
        <v>62</v>
      </c>
      <c r="H18" s="1">
        <v>5</v>
      </c>
      <c r="I18" s="1">
        <v>5</v>
      </c>
      <c r="J18" s="1">
        <v>0</v>
      </c>
      <c r="K18" s="1">
        <v>0.4</v>
      </c>
      <c r="L18" s="1">
        <v>5</v>
      </c>
      <c r="M18" s="1">
        <v>0</v>
      </c>
      <c r="N18" s="1">
        <v>2</v>
      </c>
      <c r="O18" s="1">
        <v>35</v>
      </c>
      <c r="P18" s="1">
        <v>1</v>
      </c>
      <c r="Q18" s="1">
        <v>37</v>
      </c>
      <c r="R18" s="4">
        <v>26</v>
      </c>
      <c r="S18" s="4"/>
      <c r="T18" s="1">
        <v>1</v>
      </c>
      <c r="U18" s="1" t="s">
        <v>54</v>
      </c>
      <c r="V18" s="1">
        <v>0</v>
      </c>
      <c r="X18" s="1">
        <v>2</v>
      </c>
      <c r="Y18" s="1">
        <v>3</v>
      </c>
      <c r="Z18" s="1">
        <v>2</v>
      </c>
      <c r="AA18" s="1">
        <v>3</v>
      </c>
      <c r="AB18" s="1">
        <v>3</v>
      </c>
      <c r="AC18" s="1">
        <v>3</v>
      </c>
      <c r="AD18" s="1">
        <v>2</v>
      </c>
      <c r="AE18" s="1">
        <v>2</v>
      </c>
      <c r="AF18" s="1">
        <v>3</v>
      </c>
      <c r="AG18" s="1">
        <v>3</v>
      </c>
      <c r="AH18" s="1">
        <v>3</v>
      </c>
      <c r="AI18" s="1">
        <v>3</v>
      </c>
      <c r="AJ18" s="1">
        <v>1</v>
      </c>
      <c r="AK18" s="1">
        <v>2</v>
      </c>
      <c r="AL18" s="1">
        <v>3</v>
      </c>
      <c r="AM18" s="1">
        <v>3</v>
      </c>
      <c r="AN18" s="1">
        <v>2</v>
      </c>
      <c r="AO18" s="1">
        <v>2</v>
      </c>
      <c r="AP18" s="1">
        <v>2</v>
      </c>
      <c r="AQ18" s="1">
        <v>3</v>
      </c>
      <c r="AR18" s="1">
        <v>3</v>
      </c>
    </row>
    <row r="19" spans="1:45" ht="14.25" customHeight="1" x14ac:dyDescent="0.3">
      <c r="A19" s="1">
        <v>18</v>
      </c>
      <c r="B19" s="1" t="s">
        <v>83</v>
      </c>
      <c r="D19" s="1">
        <v>1</v>
      </c>
      <c r="F19" s="1">
        <v>1</v>
      </c>
      <c r="H19" s="1">
        <v>2</v>
      </c>
      <c r="I19" s="1">
        <v>4</v>
      </c>
      <c r="J19" s="1">
        <v>0</v>
      </c>
      <c r="K19" s="1">
        <v>0.5</v>
      </c>
      <c r="N19" s="1">
        <v>2</v>
      </c>
      <c r="O19" s="1">
        <v>60</v>
      </c>
      <c r="P19" s="1">
        <v>1</v>
      </c>
      <c r="Q19" s="1">
        <v>35</v>
      </c>
      <c r="R19" s="4">
        <v>25</v>
      </c>
      <c r="S19" s="4"/>
      <c r="T19" s="1">
        <v>1</v>
      </c>
      <c r="U19" s="1" t="s">
        <v>54</v>
      </c>
      <c r="V19" s="1">
        <v>0</v>
      </c>
      <c r="X19" s="1">
        <v>3</v>
      </c>
      <c r="Y19" s="1">
        <v>3</v>
      </c>
      <c r="Z19" s="1">
        <v>3</v>
      </c>
      <c r="AA19" s="1">
        <v>3</v>
      </c>
      <c r="AB19" s="1">
        <v>3</v>
      </c>
      <c r="AC19" s="1">
        <v>3</v>
      </c>
      <c r="AD19" s="1">
        <v>3</v>
      </c>
      <c r="AE19" s="1">
        <v>3</v>
      </c>
      <c r="AF19" s="1">
        <v>3</v>
      </c>
      <c r="AG19" s="1">
        <v>3</v>
      </c>
      <c r="AH19" s="1">
        <v>3</v>
      </c>
      <c r="AI19" s="1">
        <v>3</v>
      </c>
      <c r="AJ19" s="1">
        <v>3</v>
      </c>
      <c r="AK19" s="1">
        <v>3</v>
      </c>
      <c r="AL19" s="1">
        <v>3</v>
      </c>
      <c r="AM19" s="1">
        <v>3</v>
      </c>
      <c r="AN19" s="1">
        <v>3</v>
      </c>
      <c r="AO19" s="1">
        <v>3</v>
      </c>
      <c r="AP19" s="1">
        <v>3</v>
      </c>
      <c r="AQ19" s="1">
        <v>3</v>
      </c>
      <c r="AR19" s="1">
        <v>3</v>
      </c>
    </row>
    <row r="20" spans="1:45" ht="14.25" customHeight="1" x14ac:dyDescent="0.3">
      <c r="A20" s="1">
        <v>19</v>
      </c>
      <c r="B20" s="1" t="s">
        <v>84</v>
      </c>
      <c r="C20" s="1">
        <v>23</v>
      </c>
      <c r="D20" s="1">
        <v>0</v>
      </c>
      <c r="E20" s="1">
        <v>9531724421</v>
      </c>
      <c r="F20" s="1">
        <v>0</v>
      </c>
      <c r="G20" s="1" t="s">
        <v>62</v>
      </c>
      <c r="H20" s="1">
        <v>6</v>
      </c>
      <c r="I20" s="1">
        <v>5</v>
      </c>
      <c r="J20" s="1">
        <v>0</v>
      </c>
      <c r="K20" s="1">
        <v>0.5</v>
      </c>
      <c r="L20" s="1">
        <v>15</v>
      </c>
      <c r="M20" s="1">
        <v>1</v>
      </c>
      <c r="N20" s="1">
        <v>2</v>
      </c>
      <c r="O20" s="1">
        <v>15</v>
      </c>
      <c r="P20" s="1">
        <v>1</v>
      </c>
      <c r="Q20" s="1">
        <v>30</v>
      </c>
      <c r="R20" s="4">
        <v>500</v>
      </c>
      <c r="S20" s="4"/>
      <c r="T20" s="1">
        <v>1</v>
      </c>
      <c r="U20" s="1" t="s">
        <v>54</v>
      </c>
      <c r="V20" s="1">
        <v>0</v>
      </c>
      <c r="X20" s="1">
        <v>3</v>
      </c>
      <c r="Y20" s="1">
        <v>3</v>
      </c>
      <c r="Z20" s="1">
        <v>3</v>
      </c>
      <c r="AA20" s="1">
        <v>3</v>
      </c>
      <c r="AB20" s="1">
        <v>3</v>
      </c>
      <c r="AC20" s="1">
        <v>3</v>
      </c>
      <c r="AD20" s="1">
        <v>3</v>
      </c>
      <c r="AE20" s="1">
        <v>3</v>
      </c>
      <c r="AF20" s="1">
        <v>3</v>
      </c>
      <c r="AG20" s="1">
        <v>3</v>
      </c>
      <c r="AH20" s="1">
        <v>3</v>
      </c>
      <c r="AI20" s="1">
        <v>3</v>
      </c>
      <c r="AJ20" s="1">
        <v>2</v>
      </c>
      <c r="AK20" s="1">
        <v>3</v>
      </c>
      <c r="AL20" s="1">
        <v>3</v>
      </c>
      <c r="AM20" s="1">
        <v>3</v>
      </c>
      <c r="AN20" s="1">
        <v>3</v>
      </c>
      <c r="AO20" s="1">
        <v>3</v>
      </c>
      <c r="AP20" s="1">
        <v>3</v>
      </c>
      <c r="AQ20" s="1">
        <v>3</v>
      </c>
      <c r="AR20" s="1">
        <v>3</v>
      </c>
    </row>
    <row r="21" spans="1:45" ht="14.25" customHeight="1" x14ac:dyDescent="0.3">
      <c r="A21" s="1">
        <v>20</v>
      </c>
      <c r="B21" s="1" t="s">
        <v>85</v>
      </c>
      <c r="C21" s="1">
        <v>49</v>
      </c>
      <c r="D21" s="1">
        <v>1</v>
      </c>
      <c r="E21" s="1">
        <v>9070480679</v>
      </c>
      <c r="F21" s="1">
        <v>1</v>
      </c>
      <c r="G21" s="1" t="s">
        <v>53</v>
      </c>
      <c r="H21" s="1">
        <v>2</v>
      </c>
      <c r="N21" s="1">
        <v>2</v>
      </c>
      <c r="O21" s="1">
        <v>38</v>
      </c>
      <c r="P21" s="1">
        <v>0</v>
      </c>
      <c r="R21" s="4"/>
      <c r="S21" s="4"/>
      <c r="V21" s="1">
        <v>0</v>
      </c>
      <c r="X21" s="1">
        <v>3</v>
      </c>
      <c r="Y21" s="1">
        <v>3</v>
      </c>
      <c r="Z21" s="1">
        <v>2</v>
      </c>
      <c r="AA21" s="1">
        <v>3</v>
      </c>
      <c r="AB21" s="1">
        <v>3</v>
      </c>
      <c r="AC21" s="1">
        <v>3</v>
      </c>
      <c r="AD21" s="1">
        <v>3</v>
      </c>
      <c r="AE21" s="1">
        <v>3</v>
      </c>
      <c r="AF21" s="1">
        <v>3</v>
      </c>
      <c r="AG21" s="1">
        <v>3</v>
      </c>
      <c r="AH21" s="1">
        <v>3</v>
      </c>
      <c r="AI21" s="1">
        <v>3</v>
      </c>
      <c r="AJ21" s="1">
        <v>3</v>
      </c>
      <c r="AK21" s="1">
        <v>3</v>
      </c>
      <c r="AL21" s="1">
        <v>2</v>
      </c>
      <c r="AM21" s="1">
        <v>3</v>
      </c>
      <c r="AN21" s="1">
        <v>3</v>
      </c>
      <c r="AO21" s="1">
        <v>2</v>
      </c>
      <c r="AP21" s="1">
        <v>3</v>
      </c>
      <c r="AQ21" s="1">
        <v>3</v>
      </c>
      <c r="AR21" s="1">
        <v>3</v>
      </c>
      <c r="AS21" s="1" t="s">
        <v>86</v>
      </c>
    </row>
    <row r="22" spans="1:45" ht="14.25" customHeight="1" x14ac:dyDescent="0.3">
      <c r="A22" s="1">
        <v>21</v>
      </c>
      <c r="B22" s="1" t="s">
        <v>87</v>
      </c>
      <c r="C22" s="1">
        <v>53</v>
      </c>
      <c r="D22" s="1">
        <v>0</v>
      </c>
      <c r="E22" s="1">
        <v>9108268739</v>
      </c>
      <c r="F22" s="1">
        <v>1</v>
      </c>
      <c r="G22" s="1" t="s">
        <v>53</v>
      </c>
      <c r="H22" s="1">
        <v>6</v>
      </c>
      <c r="J22" s="1">
        <v>0</v>
      </c>
      <c r="K22" s="1">
        <v>0.55000000000000004</v>
      </c>
      <c r="L22" s="1">
        <v>10</v>
      </c>
      <c r="N22" s="1">
        <v>2</v>
      </c>
      <c r="O22" s="1">
        <v>60</v>
      </c>
      <c r="R22" s="4"/>
      <c r="S22" s="4"/>
      <c r="V22" s="1">
        <v>0</v>
      </c>
      <c r="X22" s="1">
        <v>3</v>
      </c>
      <c r="Y22" s="1">
        <v>2</v>
      </c>
      <c r="Z22" s="1">
        <v>2</v>
      </c>
      <c r="AA22" s="1">
        <v>2</v>
      </c>
      <c r="AB22" s="1">
        <v>2</v>
      </c>
      <c r="AC22" s="1">
        <v>3</v>
      </c>
      <c r="AD22" s="1">
        <v>3</v>
      </c>
      <c r="AE22" s="1">
        <v>2</v>
      </c>
      <c r="AF22" s="1">
        <v>3</v>
      </c>
      <c r="AG22" s="1">
        <v>2</v>
      </c>
      <c r="AH22" s="1">
        <v>3</v>
      </c>
      <c r="AI22" s="1">
        <v>2</v>
      </c>
      <c r="AJ22" s="1">
        <v>3</v>
      </c>
      <c r="AK22" s="1">
        <v>3</v>
      </c>
      <c r="AL22" s="1">
        <v>3</v>
      </c>
      <c r="AM22" s="1">
        <v>3</v>
      </c>
      <c r="AN22" s="1">
        <v>3</v>
      </c>
      <c r="AO22" s="1">
        <v>3</v>
      </c>
      <c r="AP22" s="1">
        <v>3</v>
      </c>
      <c r="AQ22" s="1">
        <v>3</v>
      </c>
      <c r="AR22" s="1">
        <v>3</v>
      </c>
    </row>
    <row r="23" spans="1:45" ht="14.25" customHeight="1" x14ac:dyDescent="0.3">
      <c r="A23" s="1">
        <v>22</v>
      </c>
      <c r="B23" s="1" t="s">
        <v>88</v>
      </c>
      <c r="C23" s="1">
        <v>72</v>
      </c>
      <c r="D23" s="1">
        <v>0</v>
      </c>
      <c r="F23" s="1">
        <v>72</v>
      </c>
      <c r="H23" s="1">
        <v>2</v>
      </c>
      <c r="K23" s="1">
        <v>0.5</v>
      </c>
      <c r="L23" s="1">
        <v>24</v>
      </c>
      <c r="N23" s="1">
        <v>2</v>
      </c>
      <c r="O23" s="1">
        <v>40</v>
      </c>
      <c r="P23" s="1">
        <v>1</v>
      </c>
      <c r="R23" s="4"/>
      <c r="S23" s="4"/>
      <c r="T23" s="1">
        <v>1</v>
      </c>
      <c r="U23" s="1" t="s">
        <v>54</v>
      </c>
      <c r="V23" s="1">
        <v>0</v>
      </c>
      <c r="X23" s="1">
        <v>3</v>
      </c>
      <c r="Y23" s="1">
        <v>3</v>
      </c>
      <c r="Z23" s="1">
        <v>3</v>
      </c>
      <c r="AA23" s="1">
        <v>3</v>
      </c>
      <c r="AB23" s="1">
        <v>3</v>
      </c>
      <c r="AC23" s="1">
        <v>3</v>
      </c>
      <c r="AD23" s="1">
        <v>3</v>
      </c>
      <c r="AE23" s="1">
        <v>3</v>
      </c>
      <c r="AF23" s="1">
        <v>3</v>
      </c>
      <c r="AG23" s="1">
        <v>3</v>
      </c>
      <c r="AH23" s="1">
        <v>3</v>
      </c>
      <c r="AI23" s="1">
        <v>3</v>
      </c>
      <c r="AJ23" s="1">
        <v>3</v>
      </c>
      <c r="AK23" s="1">
        <v>3</v>
      </c>
      <c r="AL23" s="1">
        <v>2</v>
      </c>
      <c r="AM23" s="1">
        <v>3</v>
      </c>
      <c r="AN23" s="1">
        <v>3</v>
      </c>
      <c r="AO23" s="1">
        <v>3</v>
      </c>
      <c r="AP23" s="1">
        <v>3</v>
      </c>
      <c r="AQ23" s="1">
        <v>3</v>
      </c>
      <c r="AR23" s="1">
        <v>3</v>
      </c>
    </row>
    <row r="24" spans="1:45" ht="14.25" customHeight="1" x14ac:dyDescent="0.3">
      <c r="A24" s="1">
        <v>23</v>
      </c>
      <c r="B24" s="1" t="s">
        <v>89</v>
      </c>
      <c r="C24" s="1">
        <v>57</v>
      </c>
      <c r="D24" s="1">
        <v>1</v>
      </c>
      <c r="F24" s="1">
        <v>3</v>
      </c>
      <c r="G24" s="1" t="s">
        <v>53</v>
      </c>
      <c r="H24" s="1">
        <v>2</v>
      </c>
      <c r="I24" s="1">
        <v>6</v>
      </c>
      <c r="J24" s="1">
        <v>1</v>
      </c>
      <c r="K24" s="1">
        <v>0.75</v>
      </c>
      <c r="L24" s="1">
        <v>13</v>
      </c>
      <c r="M24" s="1">
        <v>0</v>
      </c>
      <c r="N24" s="1">
        <v>2</v>
      </c>
      <c r="O24" s="1">
        <v>73</v>
      </c>
      <c r="P24" s="1">
        <v>1</v>
      </c>
      <c r="R24" s="4"/>
      <c r="S24" s="4"/>
      <c r="T24" s="1">
        <v>1</v>
      </c>
      <c r="U24" s="1" t="s">
        <v>54</v>
      </c>
      <c r="V24" s="1">
        <v>1</v>
      </c>
      <c r="W24" s="1" t="s">
        <v>90</v>
      </c>
      <c r="X24" s="1">
        <v>3</v>
      </c>
      <c r="Y24" s="1">
        <v>3</v>
      </c>
      <c r="Z24" s="1">
        <v>2</v>
      </c>
      <c r="AA24" s="1">
        <v>2</v>
      </c>
      <c r="AB24" s="1">
        <v>3</v>
      </c>
      <c r="AC24" s="1">
        <v>3</v>
      </c>
      <c r="AD24" s="1">
        <v>2</v>
      </c>
      <c r="AE24" s="1">
        <v>2</v>
      </c>
      <c r="AF24" s="1">
        <v>3</v>
      </c>
      <c r="AG24" s="1">
        <v>3</v>
      </c>
      <c r="AH24" s="1">
        <v>3</v>
      </c>
      <c r="AI24" s="1">
        <v>2</v>
      </c>
      <c r="AJ24" s="1">
        <v>3</v>
      </c>
      <c r="AK24" s="1">
        <v>3</v>
      </c>
      <c r="AL24" s="1">
        <v>3</v>
      </c>
      <c r="AM24" s="1">
        <v>2</v>
      </c>
      <c r="AN24" s="1">
        <v>3</v>
      </c>
      <c r="AO24" s="1">
        <v>3</v>
      </c>
      <c r="AP24" s="1">
        <v>3</v>
      </c>
      <c r="AQ24" s="1">
        <v>3</v>
      </c>
      <c r="AR24" s="1">
        <v>2</v>
      </c>
    </row>
    <row r="25" spans="1:45" ht="14.25" customHeight="1" x14ac:dyDescent="0.3">
      <c r="A25" s="1">
        <v>24</v>
      </c>
      <c r="B25" s="1" t="s">
        <v>91</v>
      </c>
      <c r="C25" s="1">
        <v>62</v>
      </c>
      <c r="D25" s="1">
        <v>0</v>
      </c>
      <c r="F25" s="1">
        <v>1</v>
      </c>
      <c r="G25" s="1" t="s">
        <v>53</v>
      </c>
      <c r="H25" s="1">
        <v>2</v>
      </c>
      <c r="K25" s="1">
        <v>0.53</v>
      </c>
      <c r="N25" s="1">
        <v>2</v>
      </c>
      <c r="O25" s="1">
        <v>70</v>
      </c>
      <c r="P25" s="1">
        <v>1</v>
      </c>
      <c r="R25" s="4"/>
      <c r="S25" s="4"/>
      <c r="T25" s="1">
        <v>1</v>
      </c>
      <c r="U25" s="1" t="s">
        <v>54</v>
      </c>
      <c r="V25" s="1">
        <v>0</v>
      </c>
      <c r="X25" s="1">
        <v>3</v>
      </c>
      <c r="Y25" s="1">
        <v>3</v>
      </c>
      <c r="Z25" s="1">
        <v>2</v>
      </c>
      <c r="AA25" s="1">
        <v>2</v>
      </c>
      <c r="AB25" s="1">
        <v>3</v>
      </c>
      <c r="AC25" s="1">
        <v>1</v>
      </c>
      <c r="AD25" s="1">
        <v>3</v>
      </c>
      <c r="AE25" s="1">
        <v>2</v>
      </c>
      <c r="AF25" s="1">
        <v>3</v>
      </c>
      <c r="AG25" s="1">
        <v>1</v>
      </c>
      <c r="AH25" s="1">
        <v>3</v>
      </c>
      <c r="AI25" s="1">
        <v>2</v>
      </c>
      <c r="AJ25" s="1">
        <v>3</v>
      </c>
      <c r="AK25" s="1">
        <v>3</v>
      </c>
      <c r="AL25" s="1">
        <v>1</v>
      </c>
      <c r="AM25" s="1">
        <v>2</v>
      </c>
      <c r="AN25" s="1">
        <v>2</v>
      </c>
      <c r="AO25" s="1">
        <v>3</v>
      </c>
      <c r="AP25" s="1">
        <v>3</v>
      </c>
      <c r="AQ25" s="1">
        <v>3</v>
      </c>
      <c r="AR25" s="1">
        <v>3</v>
      </c>
    </row>
    <row r="26" spans="1:45" ht="14.25" customHeight="1" x14ac:dyDescent="0.3">
      <c r="A26" s="1">
        <v>25</v>
      </c>
      <c r="B26" s="1" t="s">
        <v>92</v>
      </c>
      <c r="C26" s="1">
        <v>76</v>
      </c>
      <c r="D26" s="1">
        <v>1</v>
      </c>
      <c r="E26" s="1">
        <v>9466948071</v>
      </c>
      <c r="F26" s="1">
        <v>3</v>
      </c>
      <c r="G26" s="1" t="s">
        <v>53</v>
      </c>
      <c r="H26" s="1">
        <v>2</v>
      </c>
      <c r="I26" s="1">
        <v>1</v>
      </c>
      <c r="J26" s="1">
        <v>1</v>
      </c>
      <c r="K26" s="1">
        <v>0.33</v>
      </c>
      <c r="L26" s="1">
        <v>54</v>
      </c>
      <c r="M26" s="1">
        <v>0</v>
      </c>
      <c r="N26" s="1">
        <v>2</v>
      </c>
      <c r="O26" s="1">
        <v>50</v>
      </c>
      <c r="P26" s="1">
        <v>0</v>
      </c>
      <c r="Q26" s="1">
        <v>30</v>
      </c>
      <c r="R26" s="4"/>
      <c r="S26" s="4"/>
      <c r="T26" s="1">
        <v>1</v>
      </c>
      <c r="U26" s="1" t="s">
        <v>54</v>
      </c>
      <c r="V26" s="1">
        <v>0</v>
      </c>
      <c r="X26" s="1">
        <v>3</v>
      </c>
      <c r="Y26" s="1">
        <v>3</v>
      </c>
      <c r="Z26" s="1">
        <v>3</v>
      </c>
      <c r="AA26" s="1">
        <v>3</v>
      </c>
      <c r="AB26" s="1">
        <v>3</v>
      </c>
      <c r="AC26" s="1">
        <v>3</v>
      </c>
      <c r="AD26" s="1">
        <v>3</v>
      </c>
      <c r="AE26" s="1">
        <v>3</v>
      </c>
      <c r="AF26" s="1">
        <v>3</v>
      </c>
      <c r="AG26" s="1">
        <v>3</v>
      </c>
      <c r="AH26" s="1">
        <v>3</v>
      </c>
      <c r="AI26" s="1">
        <v>3</v>
      </c>
      <c r="AJ26" s="1">
        <v>2</v>
      </c>
      <c r="AK26" s="1">
        <v>2</v>
      </c>
      <c r="AL26" s="1">
        <v>3</v>
      </c>
      <c r="AM26" s="1">
        <v>3</v>
      </c>
      <c r="AN26" s="1">
        <v>3</v>
      </c>
      <c r="AO26" s="1">
        <v>3</v>
      </c>
      <c r="AP26" s="1">
        <v>3</v>
      </c>
      <c r="AQ26" s="1">
        <v>3</v>
      </c>
      <c r="AR26" s="1">
        <v>3</v>
      </c>
    </row>
    <row r="27" spans="1:45" ht="14.25" customHeight="1" x14ac:dyDescent="0.3">
      <c r="A27" s="1">
        <v>26</v>
      </c>
      <c r="B27" s="1" t="s">
        <v>93</v>
      </c>
      <c r="C27" s="1">
        <v>64</v>
      </c>
      <c r="D27" s="1">
        <v>1</v>
      </c>
      <c r="E27" s="1">
        <v>9069271493</v>
      </c>
      <c r="F27" s="1">
        <v>1</v>
      </c>
      <c r="G27" s="1" t="s">
        <v>62</v>
      </c>
      <c r="H27" s="1">
        <v>1</v>
      </c>
      <c r="K27" s="1">
        <v>0.5</v>
      </c>
      <c r="N27" s="1">
        <v>2</v>
      </c>
      <c r="O27" s="1">
        <v>30</v>
      </c>
      <c r="R27" s="4"/>
      <c r="S27" s="4"/>
      <c r="T27" s="1">
        <v>1</v>
      </c>
      <c r="U27" s="1" t="s">
        <v>54</v>
      </c>
      <c r="V27" s="1">
        <v>0</v>
      </c>
      <c r="X27" s="1">
        <v>2</v>
      </c>
      <c r="Y27" s="1">
        <v>3</v>
      </c>
      <c r="Z27" s="1">
        <v>2</v>
      </c>
      <c r="AA27" s="1">
        <v>2</v>
      </c>
      <c r="AB27" s="1">
        <v>2</v>
      </c>
      <c r="AC27" s="1">
        <v>3</v>
      </c>
      <c r="AD27" s="1">
        <v>1</v>
      </c>
      <c r="AE27" s="1">
        <v>3</v>
      </c>
      <c r="AF27" s="1">
        <v>1</v>
      </c>
      <c r="AG27" s="1">
        <v>2</v>
      </c>
      <c r="AH27" s="1">
        <v>3</v>
      </c>
      <c r="AI27" s="1">
        <v>3</v>
      </c>
      <c r="AJ27" s="1">
        <v>1</v>
      </c>
      <c r="AK27" s="1">
        <v>1</v>
      </c>
      <c r="AL27" s="1">
        <v>3</v>
      </c>
      <c r="AM27" s="1">
        <v>2</v>
      </c>
      <c r="AN27" s="1">
        <v>1</v>
      </c>
      <c r="AO27" s="1">
        <v>2</v>
      </c>
      <c r="AP27" s="1">
        <v>2</v>
      </c>
      <c r="AQ27" s="1">
        <v>3</v>
      </c>
      <c r="AR27" s="1">
        <v>3</v>
      </c>
    </row>
    <row r="28" spans="1:45" ht="14.25" customHeight="1" x14ac:dyDescent="0.3">
      <c r="A28" s="1">
        <v>27</v>
      </c>
      <c r="R28" s="4"/>
      <c r="S28" s="4"/>
    </row>
    <row r="29" spans="1:45" ht="14.25" customHeight="1" x14ac:dyDescent="0.3">
      <c r="A29" s="1">
        <v>28</v>
      </c>
      <c r="R29" s="4"/>
      <c r="S29" s="4"/>
    </row>
    <row r="30" spans="1:45" ht="14.25" customHeight="1" x14ac:dyDescent="0.3">
      <c r="A30" s="1">
        <v>29</v>
      </c>
      <c r="R30" s="4"/>
      <c r="S30" s="4"/>
    </row>
    <row r="31" spans="1:45" ht="14.25" customHeight="1" x14ac:dyDescent="0.3">
      <c r="A31" s="1">
        <v>30</v>
      </c>
      <c r="R31" s="4"/>
      <c r="S31" s="4"/>
    </row>
    <row r="32" spans="1:45" ht="14.25" customHeight="1" x14ac:dyDescent="0.3">
      <c r="A32" s="1">
        <v>31</v>
      </c>
      <c r="R32" s="4"/>
      <c r="S32" s="4"/>
    </row>
    <row r="33" spans="1:19" ht="14.25" customHeight="1" x14ac:dyDescent="0.3">
      <c r="A33" s="1">
        <v>32</v>
      </c>
      <c r="R33" s="4"/>
      <c r="S33" s="4"/>
    </row>
    <row r="34" spans="1:19" ht="14.25" customHeight="1" x14ac:dyDescent="0.3">
      <c r="A34" s="1">
        <v>33</v>
      </c>
      <c r="R34" s="4"/>
      <c r="S34" s="4"/>
    </row>
    <row r="35" spans="1:19" ht="14.25" customHeight="1" x14ac:dyDescent="0.3">
      <c r="A35" s="1">
        <v>34</v>
      </c>
      <c r="R35" s="4"/>
      <c r="S35" s="4"/>
    </row>
    <row r="36" spans="1:19" ht="14.25" customHeight="1" x14ac:dyDescent="0.3">
      <c r="A36" s="1">
        <v>35</v>
      </c>
      <c r="R36" s="4"/>
      <c r="S36" s="4"/>
    </row>
    <row r="37" spans="1:19" ht="14.25" customHeight="1" x14ac:dyDescent="0.3">
      <c r="R37" s="4"/>
      <c r="S37" s="4"/>
    </row>
    <row r="38" spans="1:19" ht="14.25" customHeight="1" x14ac:dyDescent="0.3">
      <c r="R38" s="4"/>
      <c r="S38" s="4"/>
    </row>
    <row r="39" spans="1:19" ht="14.25" customHeight="1" x14ac:dyDescent="0.3">
      <c r="R39" s="4"/>
      <c r="S39" s="4"/>
    </row>
    <row r="40" spans="1:19" ht="14.25" customHeight="1" x14ac:dyDescent="0.3">
      <c r="R40" s="4"/>
      <c r="S40" s="4"/>
    </row>
    <row r="41" spans="1:19" ht="14.25" customHeight="1" x14ac:dyDescent="0.3">
      <c r="R41" s="4"/>
      <c r="S41" s="4"/>
    </row>
    <row r="42" spans="1:19" ht="14.25" customHeight="1" x14ac:dyDescent="0.3">
      <c r="R42" s="4"/>
      <c r="S42" s="4"/>
    </row>
    <row r="43" spans="1:19" ht="14.25" customHeight="1" x14ac:dyDescent="0.3">
      <c r="R43" s="4"/>
      <c r="S43" s="4"/>
    </row>
    <row r="44" spans="1:19" ht="14.25" customHeight="1" x14ac:dyDescent="0.3">
      <c r="R44" s="4"/>
      <c r="S44" s="4"/>
    </row>
    <row r="45" spans="1:19" ht="14.25" customHeight="1" x14ac:dyDescent="0.3">
      <c r="R45" s="4"/>
      <c r="S45" s="4"/>
    </row>
    <row r="46" spans="1:19" ht="14.25" customHeight="1" x14ac:dyDescent="0.3">
      <c r="R46" s="4"/>
      <c r="S46" s="4"/>
    </row>
    <row r="47" spans="1:19" ht="14.25" customHeight="1" x14ac:dyDescent="0.3">
      <c r="R47" s="4"/>
      <c r="S47" s="4"/>
    </row>
    <row r="48" spans="1:19" ht="14.25" customHeight="1" x14ac:dyDescent="0.3">
      <c r="R48" s="4"/>
      <c r="S48" s="4"/>
    </row>
    <row r="49" spans="18:19" ht="14.25" customHeight="1" x14ac:dyDescent="0.3">
      <c r="R49" s="4"/>
      <c r="S49" s="4"/>
    </row>
    <row r="50" spans="18:19" ht="14.25" customHeight="1" x14ac:dyDescent="0.3">
      <c r="R50" s="4"/>
      <c r="S50" s="4"/>
    </row>
    <row r="51" spans="18:19" ht="14.25" customHeight="1" x14ac:dyDescent="0.3">
      <c r="R51" s="4"/>
      <c r="S51" s="4"/>
    </row>
    <row r="52" spans="18:19" ht="14.25" customHeight="1" x14ac:dyDescent="0.3">
      <c r="R52" s="4"/>
      <c r="S52" s="4"/>
    </row>
    <row r="53" spans="18:19" ht="14.25" customHeight="1" x14ac:dyDescent="0.3">
      <c r="R53" s="4"/>
      <c r="S53" s="4"/>
    </row>
    <row r="54" spans="18:19" ht="14.25" customHeight="1" x14ac:dyDescent="0.3">
      <c r="R54" s="4"/>
      <c r="S54" s="4"/>
    </row>
    <row r="55" spans="18:19" ht="14.25" customHeight="1" x14ac:dyDescent="0.3">
      <c r="R55" s="4"/>
      <c r="S55" s="4"/>
    </row>
    <row r="56" spans="18:19" ht="14.25" customHeight="1" x14ac:dyDescent="0.3">
      <c r="R56" s="4"/>
      <c r="S56" s="4"/>
    </row>
    <row r="57" spans="18:19" ht="14.25" customHeight="1" x14ac:dyDescent="0.3">
      <c r="R57" s="4"/>
      <c r="S57" s="4"/>
    </row>
    <row r="58" spans="18:19" ht="14.25" customHeight="1" x14ac:dyDescent="0.3">
      <c r="R58" s="4"/>
      <c r="S58" s="4"/>
    </row>
    <row r="59" spans="18:19" ht="14.25" customHeight="1" x14ac:dyDescent="0.3">
      <c r="R59" s="4"/>
      <c r="S59" s="4"/>
    </row>
    <row r="60" spans="18:19" ht="14.25" customHeight="1" x14ac:dyDescent="0.3">
      <c r="R60" s="4"/>
      <c r="S60" s="4"/>
    </row>
    <row r="61" spans="18:19" ht="14.25" customHeight="1" x14ac:dyDescent="0.3">
      <c r="R61" s="4"/>
      <c r="S61" s="4"/>
    </row>
    <row r="62" spans="18:19" ht="14.25" customHeight="1" x14ac:dyDescent="0.3">
      <c r="R62" s="4"/>
      <c r="S62" s="4"/>
    </row>
    <row r="63" spans="18:19" ht="14.25" customHeight="1" x14ac:dyDescent="0.3">
      <c r="R63" s="4"/>
      <c r="S63" s="4"/>
    </row>
    <row r="64" spans="18:19" ht="14.25" customHeight="1" x14ac:dyDescent="0.3">
      <c r="R64" s="4"/>
      <c r="S64" s="4"/>
    </row>
    <row r="65" spans="18:19" ht="14.25" customHeight="1" x14ac:dyDescent="0.3">
      <c r="R65" s="4"/>
      <c r="S65" s="4"/>
    </row>
    <row r="66" spans="18:19" ht="14.25" customHeight="1" x14ac:dyDescent="0.3">
      <c r="R66" s="4"/>
      <c r="S66" s="4"/>
    </row>
    <row r="67" spans="18:19" ht="14.25" customHeight="1" x14ac:dyDescent="0.3">
      <c r="R67" s="4"/>
      <c r="S67" s="4"/>
    </row>
    <row r="68" spans="18:19" ht="14.25" customHeight="1" x14ac:dyDescent="0.3">
      <c r="R68" s="4"/>
      <c r="S68" s="4"/>
    </row>
    <row r="69" spans="18:19" ht="14.25" customHeight="1" x14ac:dyDescent="0.3">
      <c r="R69" s="4"/>
      <c r="S69" s="4"/>
    </row>
    <row r="70" spans="18:19" ht="14.25" customHeight="1" x14ac:dyDescent="0.3">
      <c r="R70" s="4"/>
      <c r="S70" s="4"/>
    </row>
    <row r="71" spans="18:19" ht="14.25" customHeight="1" x14ac:dyDescent="0.3">
      <c r="R71" s="4"/>
      <c r="S71" s="4"/>
    </row>
    <row r="72" spans="18:19" ht="14.25" customHeight="1" x14ac:dyDescent="0.3">
      <c r="R72" s="4"/>
      <c r="S72" s="4"/>
    </row>
    <row r="73" spans="18:19" ht="14.25" customHeight="1" x14ac:dyDescent="0.3">
      <c r="R73" s="4"/>
      <c r="S73" s="4"/>
    </row>
    <row r="74" spans="18:19" ht="14.25" customHeight="1" x14ac:dyDescent="0.3">
      <c r="R74" s="4"/>
      <c r="S74" s="4"/>
    </row>
    <row r="75" spans="18:19" ht="14.25" customHeight="1" x14ac:dyDescent="0.3">
      <c r="R75" s="4"/>
      <c r="S75" s="4"/>
    </row>
    <row r="76" spans="18:19" ht="14.25" customHeight="1" x14ac:dyDescent="0.3">
      <c r="R76" s="4"/>
      <c r="S76" s="4"/>
    </row>
    <row r="77" spans="18:19" ht="14.25" customHeight="1" x14ac:dyDescent="0.3">
      <c r="R77" s="4"/>
      <c r="S77" s="4"/>
    </row>
    <row r="78" spans="18:19" ht="14.25" customHeight="1" x14ac:dyDescent="0.3">
      <c r="R78" s="4"/>
      <c r="S78" s="4"/>
    </row>
    <row r="79" spans="18:19" ht="14.25" customHeight="1" x14ac:dyDescent="0.3">
      <c r="R79" s="4"/>
      <c r="S79" s="4"/>
    </row>
    <row r="80" spans="18:19" ht="14.25" customHeight="1" x14ac:dyDescent="0.3">
      <c r="R80" s="4"/>
      <c r="S80" s="4"/>
    </row>
    <row r="81" spans="18:19" ht="14.25" customHeight="1" x14ac:dyDescent="0.3">
      <c r="R81" s="4"/>
      <c r="S81" s="4"/>
    </row>
    <row r="82" spans="18:19" ht="14.25" customHeight="1" x14ac:dyDescent="0.3">
      <c r="R82" s="4"/>
      <c r="S82" s="4"/>
    </row>
    <row r="83" spans="18:19" ht="14.25" customHeight="1" x14ac:dyDescent="0.3">
      <c r="R83" s="4"/>
      <c r="S83" s="4"/>
    </row>
    <row r="84" spans="18:19" ht="14.25" customHeight="1" x14ac:dyDescent="0.3">
      <c r="R84" s="4"/>
      <c r="S84" s="4"/>
    </row>
    <row r="85" spans="18:19" ht="14.25" customHeight="1" x14ac:dyDescent="0.3">
      <c r="R85" s="4"/>
      <c r="S85" s="4"/>
    </row>
    <row r="86" spans="18:19" ht="14.25" customHeight="1" x14ac:dyDescent="0.3">
      <c r="R86" s="4"/>
      <c r="S86" s="4"/>
    </row>
    <row r="87" spans="18:19" ht="14.25" customHeight="1" x14ac:dyDescent="0.3">
      <c r="R87" s="4"/>
      <c r="S87" s="4"/>
    </row>
    <row r="88" spans="18:19" ht="14.25" customHeight="1" x14ac:dyDescent="0.3">
      <c r="R88" s="4"/>
      <c r="S88" s="4"/>
    </row>
    <row r="89" spans="18:19" ht="14.25" customHeight="1" x14ac:dyDescent="0.3">
      <c r="R89" s="4"/>
      <c r="S89" s="4"/>
    </row>
    <row r="90" spans="18:19" ht="14.25" customHeight="1" x14ac:dyDescent="0.3">
      <c r="R90" s="4"/>
      <c r="S90" s="4"/>
    </row>
    <row r="91" spans="18:19" ht="14.25" customHeight="1" x14ac:dyDescent="0.3">
      <c r="R91" s="4"/>
      <c r="S91" s="4"/>
    </row>
    <row r="92" spans="18:19" ht="14.25" customHeight="1" x14ac:dyDescent="0.3">
      <c r="R92" s="4"/>
      <c r="S92" s="4"/>
    </row>
    <row r="93" spans="18:19" ht="14.25" customHeight="1" x14ac:dyDescent="0.3">
      <c r="R93" s="4"/>
      <c r="S93" s="4"/>
    </row>
    <row r="94" spans="18:19" ht="14.25" customHeight="1" x14ac:dyDescent="0.3">
      <c r="R94" s="4"/>
      <c r="S94" s="4"/>
    </row>
    <row r="95" spans="18:19" ht="14.25" customHeight="1" x14ac:dyDescent="0.3">
      <c r="R95" s="4"/>
      <c r="S95" s="4"/>
    </row>
    <row r="96" spans="18:19" ht="14.25" customHeight="1" x14ac:dyDescent="0.3">
      <c r="R96" s="4"/>
      <c r="S96" s="4"/>
    </row>
    <row r="97" spans="18:19" ht="14.25" customHeight="1" x14ac:dyDescent="0.3">
      <c r="R97" s="4"/>
      <c r="S97" s="4"/>
    </row>
    <row r="98" spans="18:19" ht="14.25" customHeight="1" x14ac:dyDescent="0.3">
      <c r="R98" s="4"/>
      <c r="S98" s="4"/>
    </row>
    <row r="99" spans="18:19" ht="14.25" customHeight="1" x14ac:dyDescent="0.3">
      <c r="R99" s="4"/>
      <c r="S99" s="4"/>
    </row>
    <row r="100" spans="18:19" ht="14.25" customHeight="1" x14ac:dyDescent="0.3">
      <c r="R100" s="4"/>
      <c r="S100" s="4"/>
    </row>
    <row r="101" spans="18:19" ht="14.25" customHeight="1" x14ac:dyDescent="0.3">
      <c r="R101" s="4"/>
      <c r="S101" s="4"/>
    </row>
    <row r="102" spans="18:19" ht="14.25" customHeight="1" x14ac:dyDescent="0.3">
      <c r="R102" s="4"/>
      <c r="S102" s="4"/>
    </row>
    <row r="103" spans="18:19" ht="14.25" customHeight="1" x14ac:dyDescent="0.3">
      <c r="R103" s="4"/>
      <c r="S103" s="4"/>
    </row>
    <row r="104" spans="18:19" ht="14.25" customHeight="1" x14ac:dyDescent="0.3">
      <c r="R104" s="4"/>
      <c r="S104" s="4"/>
    </row>
    <row r="105" spans="18:19" ht="14.25" customHeight="1" x14ac:dyDescent="0.3">
      <c r="R105" s="4"/>
      <c r="S105" s="4"/>
    </row>
    <row r="106" spans="18:19" ht="14.25" customHeight="1" x14ac:dyDescent="0.3">
      <c r="R106" s="4"/>
      <c r="S106" s="4"/>
    </row>
    <row r="107" spans="18:19" ht="14.25" customHeight="1" x14ac:dyDescent="0.3">
      <c r="R107" s="4"/>
      <c r="S107" s="4"/>
    </row>
    <row r="108" spans="18:19" ht="14.25" customHeight="1" x14ac:dyDescent="0.3">
      <c r="R108" s="4"/>
      <c r="S108" s="4"/>
    </row>
    <row r="109" spans="18:19" ht="14.25" customHeight="1" x14ac:dyDescent="0.3">
      <c r="R109" s="4"/>
      <c r="S109" s="4"/>
    </row>
    <row r="110" spans="18:19" ht="14.25" customHeight="1" x14ac:dyDescent="0.3">
      <c r="R110" s="4"/>
      <c r="S110" s="4"/>
    </row>
    <row r="111" spans="18:19" ht="14.25" customHeight="1" x14ac:dyDescent="0.3">
      <c r="R111" s="4"/>
      <c r="S111" s="4"/>
    </row>
    <row r="112" spans="18:19" ht="14.25" customHeight="1" x14ac:dyDescent="0.3">
      <c r="R112" s="4"/>
      <c r="S112" s="4"/>
    </row>
    <row r="113" spans="18:19" ht="14.25" customHeight="1" x14ac:dyDescent="0.3">
      <c r="R113" s="4"/>
      <c r="S113" s="4"/>
    </row>
    <row r="114" spans="18:19" ht="14.25" customHeight="1" x14ac:dyDescent="0.3">
      <c r="R114" s="4"/>
      <c r="S114" s="4"/>
    </row>
    <row r="115" spans="18:19" ht="14.25" customHeight="1" x14ac:dyDescent="0.3">
      <c r="R115" s="4"/>
      <c r="S115" s="4"/>
    </row>
    <row r="116" spans="18:19" ht="14.25" customHeight="1" x14ac:dyDescent="0.3">
      <c r="R116" s="4"/>
      <c r="S116" s="4"/>
    </row>
    <row r="117" spans="18:19" ht="14.25" customHeight="1" x14ac:dyDescent="0.3">
      <c r="R117" s="4"/>
      <c r="S117" s="4"/>
    </row>
    <row r="118" spans="18:19" ht="14.25" customHeight="1" x14ac:dyDescent="0.3">
      <c r="R118" s="4"/>
      <c r="S118" s="4"/>
    </row>
    <row r="119" spans="18:19" ht="14.25" customHeight="1" x14ac:dyDescent="0.3">
      <c r="R119" s="4"/>
      <c r="S119" s="4"/>
    </row>
    <row r="120" spans="18:19" ht="14.25" customHeight="1" x14ac:dyDescent="0.3">
      <c r="R120" s="4"/>
      <c r="S120" s="4"/>
    </row>
    <row r="121" spans="18:19" ht="14.25" customHeight="1" x14ac:dyDescent="0.3">
      <c r="R121" s="4"/>
      <c r="S121" s="4"/>
    </row>
    <row r="122" spans="18:19" ht="14.25" customHeight="1" x14ac:dyDescent="0.3">
      <c r="R122" s="4"/>
      <c r="S122" s="4"/>
    </row>
    <row r="123" spans="18:19" ht="14.25" customHeight="1" x14ac:dyDescent="0.3">
      <c r="R123" s="4"/>
      <c r="S123" s="4"/>
    </row>
    <row r="124" spans="18:19" ht="14.25" customHeight="1" x14ac:dyDescent="0.3">
      <c r="R124" s="4"/>
      <c r="S124" s="4"/>
    </row>
    <row r="125" spans="18:19" ht="14.25" customHeight="1" x14ac:dyDescent="0.3">
      <c r="R125" s="4"/>
      <c r="S125" s="4"/>
    </row>
    <row r="126" spans="18:19" ht="14.25" customHeight="1" x14ac:dyDescent="0.3">
      <c r="R126" s="4"/>
      <c r="S126" s="4"/>
    </row>
    <row r="127" spans="18:19" ht="14.25" customHeight="1" x14ac:dyDescent="0.3">
      <c r="R127" s="4"/>
      <c r="S127" s="4"/>
    </row>
    <row r="128" spans="18:19" ht="14.25" customHeight="1" x14ac:dyDescent="0.3">
      <c r="R128" s="4"/>
      <c r="S128" s="4"/>
    </row>
    <row r="129" spans="18:19" ht="14.25" customHeight="1" x14ac:dyDescent="0.3">
      <c r="R129" s="4"/>
      <c r="S129" s="4"/>
    </row>
    <row r="130" spans="18:19" ht="14.25" customHeight="1" x14ac:dyDescent="0.3">
      <c r="R130" s="4"/>
      <c r="S130" s="4"/>
    </row>
    <row r="131" spans="18:19" ht="14.25" customHeight="1" x14ac:dyDescent="0.3">
      <c r="R131" s="4"/>
      <c r="S131" s="4"/>
    </row>
    <row r="132" spans="18:19" ht="14.25" customHeight="1" x14ac:dyDescent="0.3">
      <c r="R132" s="4"/>
      <c r="S132" s="4"/>
    </row>
    <row r="133" spans="18:19" ht="14.25" customHeight="1" x14ac:dyDescent="0.3">
      <c r="R133" s="4"/>
      <c r="S133" s="4"/>
    </row>
    <row r="134" spans="18:19" ht="14.25" customHeight="1" x14ac:dyDescent="0.3">
      <c r="R134" s="4"/>
      <c r="S134" s="4"/>
    </row>
    <row r="135" spans="18:19" ht="14.25" customHeight="1" x14ac:dyDescent="0.3">
      <c r="R135" s="4"/>
      <c r="S135" s="4"/>
    </row>
    <row r="136" spans="18:19" ht="14.25" customHeight="1" x14ac:dyDescent="0.3">
      <c r="R136" s="4"/>
      <c r="S136" s="4"/>
    </row>
    <row r="137" spans="18:19" ht="14.25" customHeight="1" x14ac:dyDescent="0.3">
      <c r="R137" s="4"/>
      <c r="S137" s="4"/>
    </row>
    <row r="138" spans="18:19" ht="14.25" customHeight="1" x14ac:dyDescent="0.3">
      <c r="R138" s="4"/>
      <c r="S138" s="4"/>
    </row>
    <row r="139" spans="18:19" ht="14.25" customHeight="1" x14ac:dyDescent="0.3">
      <c r="R139" s="4"/>
      <c r="S139" s="4"/>
    </row>
    <row r="140" spans="18:19" ht="14.25" customHeight="1" x14ac:dyDescent="0.3">
      <c r="R140" s="4"/>
      <c r="S140" s="4"/>
    </row>
    <row r="141" spans="18:19" ht="14.25" customHeight="1" x14ac:dyDescent="0.3">
      <c r="R141" s="4"/>
      <c r="S141" s="4"/>
    </row>
    <row r="142" spans="18:19" ht="14.25" customHeight="1" x14ac:dyDescent="0.3">
      <c r="R142" s="4"/>
      <c r="S142" s="4"/>
    </row>
    <row r="143" spans="18:19" ht="14.25" customHeight="1" x14ac:dyDescent="0.3">
      <c r="R143" s="4"/>
      <c r="S143" s="4"/>
    </row>
    <row r="144" spans="18:19" ht="14.25" customHeight="1" x14ac:dyDescent="0.3">
      <c r="R144" s="4"/>
      <c r="S144" s="4"/>
    </row>
    <row r="145" spans="18:19" ht="14.25" customHeight="1" x14ac:dyDescent="0.3">
      <c r="R145" s="4"/>
      <c r="S145" s="4"/>
    </row>
    <row r="146" spans="18:19" ht="14.25" customHeight="1" x14ac:dyDescent="0.3">
      <c r="R146" s="4"/>
      <c r="S146" s="4"/>
    </row>
    <row r="147" spans="18:19" ht="14.25" customHeight="1" x14ac:dyDescent="0.3">
      <c r="R147" s="4"/>
      <c r="S147" s="4"/>
    </row>
    <row r="148" spans="18:19" ht="14.25" customHeight="1" x14ac:dyDescent="0.3">
      <c r="R148" s="4"/>
      <c r="S148" s="4"/>
    </row>
    <row r="149" spans="18:19" ht="14.25" customHeight="1" x14ac:dyDescent="0.3">
      <c r="R149" s="4"/>
      <c r="S149" s="4"/>
    </row>
    <row r="150" spans="18:19" ht="14.25" customHeight="1" x14ac:dyDescent="0.3">
      <c r="R150" s="4"/>
      <c r="S150" s="4"/>
    </row>
    <row r="151" spans="18:19" ht="14.25" customHeight="1" x14ac:dyDescent="0.3">
      <c r="R151" s="4"/>
      <c r="S151" s="4"/>
    </row>
    <row r="152" spans="18:19" ht="14.25" customHeight="1" x14ac:dyDescent="0.3">
      <c r="R152" s="4"/>
      <c r="S152" s="4"/>
    </row>
    <row r="153" spans="18:19" ht="14.25" customHeight="1" x14ac:dyDescent="0.3">
      <c r="R153" s="4"/>
      <c r="S153" s="4"/>
    </row>
    <row r="154" spans="18:19" ht="14.25" customHeight="1" x14ac:dyDescent="0.3">
      <c r="R154" s="4"/>
      <c r="S154" s="4"/>
    </row>
    <row r="155" spans="18:19" ht="14.25" customHeight="1" x14ac:dyDescent="0.3">
      <c r="R155" s="4"/>
      <c r="S155" s="4"/>
    </row>
    <row r="156" spans="18:19" ht="14.25" customHeight="1" x14ac:dyDescent="0.3">
      <c r="R156" s="4"/>
      <c r="S156" s="4"/>
    </row>
    <row r="157" spans="18:19" ht="14.25" customHeight="1" x14ac:dyDescent="0.3">
      <c r="R157" s="4"/>
      <c r="S157" s="4"/>
    </row>
    <row r="158" spans="18:19" ht="14.25" customHeight="1" x14ac:dyDescent="0.3">
      <c r="R158" s="4"/>
      <c r="S158" s="4"/>
    </row>
    <row r="159" spans="18:19" ht="14.25" customHeight="1" x14ac:dyDescent="0.3">
      <c r="R159" s="4"/>
      <c r="S159" s="4"/>
    </row>
    <row r="160" spans="18:19" ht="14.25" customHeight="1" x14ac:dyDescent="0.3">
      <c r="R160" s="4"/>
      <c r="S160" s="4"/>
    </row>
    <row r="161" spans="18:19" ht="14.25" customHeight="1" x14ac:dyDescent="0.3">
      <c r="R161" s="4"/>
      <c r="S161" s="4"/>
    </row>
    <row r="162" spans="18:19" ht="14.25" customHeight="1" x14ac:dyDescent="0.3">
      <c r="R162" s="4"/>
      <c r="S162" s="4"/>
    </row>
    <row r="163" spans="18:19" ht="14.25" customHeight="1" x14ac:dyDescent="0.3">
      <c r="R163" s="4"/>
      <c r="S163" s="4"/>
    </row>
    <row r="164" spans="18:19" ht="14.25" customHeight="1" x14ac:dyDescent="0.3">
      <c r="R164" s="4"/>
      <c r="S164" s="4"/>
    </row>
    <row r="165" spans="18:19" ht="14.25" customHeight="1" x14ac:dyDescent="0.3">
      <c r="R165" s="4"/>
      <c r="S165" s="4"/>
    </row>
    <row r="166" spans="18:19" ht="14.25" customHeight="1" x14ac:dyDescent="0.3">
      <c r="R166" s="4"/>
      <c r="S166" s="4"/>
    </row>
    <row r="167" spans="18:19" ht="14.25" customHeight="1" x14ac:dyDescent="0.3">
      <c r="R167" s="4"/>
      <c r="S167" s="4"/>
    </row>
    <row r="168" spans="18:19" ht="14.25" customHeight="1" x14ac:dyDescent="0.3">
      <c r="R168" s="4"/>
      <c r="S168" s="4"/>
    </row>
    <row r="169" spans="18:19" ht="14.25" customHeight="1" x14ac:dyDescent="0.3">
      <c r="R169" s="4"/>
      <c r="S169" s="4"/>
    </row>
    <row r="170" spans="18:19" ht="14.25" customHeight="1" x14ac:dyDescent="0.3">
      <c r="R170" s="4"/>
      <c r="S170" s="4"/>
    </row>
    <row r="171" spans="18:19" ht="14.25" customHeight="1" x14ac:dyDescent="0.3">
      <c r="R171" s="4"/>
      <c r="S171" s="4"/>
    </row>
    <row r="172" spans="18:19" ht="14.25" customHeight="1" x14ac:dyDescent="0.3">
      <c r="R172" s="4"/>
      <c r="S172" s="4"/>
    </row>
    <row r="173" spans="18:19" ht="14.25" customHeight="1" x14ac:dyDescent="0.3">
      <c r="R173" s="4"/>
      <c r="S173" s="4"/>
    </row>
    <row r="174" spans="18:19" ht="14.25" customHeight="1" x14ac:dyDescent="0.3">
      <c r="R174" s="4"/>
      <c r="S174" s="4"/>
    </row>
    <row r="175" spans="18:19" ht="14.25" customHeight="1" x14ac:dyDescent="0.3">
      <c r="R175" s="4"/>
      <c r="S175" s="4"/>
    </row>
    <row r="176" spans="18:19" ht="14.25" customHeight="1" x14ac:dyDescent="0.3">
      <c r="R176" s="4"/>
      <c r="S176" s="4"/>
    </row>
    <row r="177" spans="18:19" ht="14.25" customHeight="1" x14ac:dyDescent="0.3">
      <c r="R177" s="4"/>
      <c r="S177" s="4"/>
    </row>
    <row r="178" spans="18:19" ht="14.25" customHeight="1" x14ac:dyDescent="0.3">
      <c r="R178" s="4"/>
      <c r="S178" s="4"/>
    </row>
    <row r="179" spans="18:19" ht="14.25" customHeight="1" x14ac:dyDescent="0.3">
      <c r="R179" s="4"/>
      <c r="S179" s="4"/>
    </row>
    <row r="180" spans="18:19" ht="14.25" customHeight="1" x14ac:dyDescent="0.3">
      <c r="R180" s="4"/>
      <c r="S180" s="4"/>
    </row>
    <row r="181" spans="18:19" ht="14.25" customHeight="1" x14ac:dyDescent="0.3">
      <c r="R181" s="4"/>
      <c r="S181" s="4"/>
    </row>
    <row r="182" spans="18:19" ht="14.25" customHeight="1" x14ac:dyDescent="0.3">
      <c r="R182" s="4"/>
      <c r="S182" s="4"/>
    </row>
    <row r="183" spans="18:19" ht="14.25" customHeight="1" x14ac:dyDescent="0.3">
      <c r="R183" s="4"/>
      <c r="S183" s="4"/>
    </row>
    <row r="184" spans="18:19" ht="14.25" customHeight="1" x14ac:dyDescent="0.3">
      <c r="R184" s="4"/>
      <c r="S184" s="4"/>
    </row>
    <row r="185" spans="18:19" ht="14.25" customHeight="1" x14ac:dyDescent="0.3">
      <c r="R185" s="4"/>
      <c r="S185" s="4"/>
    </row>
    <row r="186" spans="18:19" ht="14.25" customHeight="1" x14ac:dyDescent="0.3">
      <c r="R186" s="4"/>
      <c r="S186" s="4"/>
    </row>
    <row r="187" spans="18:19" ht="14.25" customHeight="1" x14ac:dyDescent="0.3">
      <c r="R187" s="4"/>
      <c r="S187" s="4"/>
    </row>
    <row r="188" spans="18:19" ht="14.25" customHeight="1" x14ac:dyDescent="0.3">
      <c r="R188" s="4"/>
      <c r="S188" s="4"/>
    </row>
    <row r="189" spans="18:19" ht="14.25" customHeight="1" x14ac:dyDescent="0.3">
      <c r="R189" s="4"/>
      <c r="S189" s="4"/>
    </row>
    <row r="190" spans="18:19" ht="14.25" customHeight="1" x14ac:dyDescent="0.3">
      <c r="R190" s="4"/>
      <c r="S190" s="4"/>
    </row>
    <row r="191" spans="18:19" ht="14.25" customHeight="1" x14ac:dyDescent="0.3">
      <c r="R191" s="4"/>
      <c r="S191" s="4"/>
    </row>
    <row r="192" spans="18:19" ht="14.25" customHeight="1" x14ac:dyDescent="0.3">
      <c r="R192" s="4"/>
      <c r="S192" s="4"/>
    </row>
    <row r="193" spans="18:19" ht="14.25" customHeight="1" x14ac:dyDescent="0.3">
      <c r="R193" s="4"/>
      <c r="S193" s="4"/>
    </row>
    <row r="194" spans="18:19" ht="14.25" customHeight="1" x14ac:dyDescent="0.3">
      <c r="R194" s="4"/>
      <c r="S194" s="4"/>
    </row>
    <row r="195" spans="18:19" ht="14.25" customHeight="1" x14ac:dyDescent="0.3">
      <c r="R195" s="4"/>
      <c r="S195" s="4"/>
    </row>
    <row r="196" spans="18:19" ht="14.25" customHeight="1" x14ac:dyDescent="0.3">
      <c r="R196" s="4"/>
      <c r="S196" s="4"/>
    </row>
    <row r="197" spans="18:19" ht="14.25" customHeight="1" x14ac:dyDescent="0.3">
      <c r="R197" s="4"/>
      <c r="S197" s="4"/>
    </row>
    <row r="198" spans="18:19" ht="14.25" customHeight="1" x14ac:dyDescent="0.3">
      <c r="R198" s="4"/>
      <c r="S198" s="4"/>
    </row>
    <row r="199" spans="18:19" ht="14.25" customHeight="1" x14ac:dyDescent="0.3">
      <c r="R199" s="4"/>
      <c r="S199" s="4"/>
    </row>
    <row r="200" spans="18:19" ht="14.25" customHeight="1" x14ac:dyDescent="0.3">
      <c r="R200" s="4"/>
      <c r="S200" s="4"/>
    </row>
    <row r="201" spans="18:19" ht="14.25" customHeight="1" x14ac:dyDescent="0.3">
      <c r="R201" s="4"/>
      <c r="S201" s="4"/>
    </row>
    <row r="202" spans="18:19" ht="14.25" customHeight="1" x14ac:dyDescent="0.3">
      <c r="R202" s="4"/>
      <c r="S202" s="4"/>
    </row>
    <row r="203" spans="18:19" ht="14.25" customHeight="1" x14ac:dyDescent="0.3">
      <c r="R203" s="4"/>
      <c r="S203" s="4"/>
    </row>
    <row r="204" spans="18:19" ht="14.25" customHeight="1" x14ac:dyDescent="0.3">
      <c r="R204" s="4"/>
      <c r="S204" s="4"/>
    </row>
    <row r="205" spans="18:19" ht="14.25" customHeight="1" x14ac:dyDescent="0.3">
      <c r="R205" s="4"/>
      <c r="S205" s="4"/>
    </row>
    <row r="206" spans="18:19" ht="14.25" customHeight="1" x14ac:dyDescent="0.3">
      <c r="R206" s="4"/>
      <c r="S206" s="4"/>
    </row>
    <row r="207" spans="18:19" ht="14.25" customHeight="1" x14ac:dyDescent="0.3">
      <c r="R207" s="4"/>
      <c r="S207" s="4"/>
    </row>
    <row r="208" spans="18:19" ht="14.25" customHeight="1" x14ac:dyDescent="0.3">
      <c r="R208" s="4"/>
      <c r="S208" s="4"/>
    </row>
    <row r="209" spans="18:19" ht="14.25" customHeight="1" x14ac:dyDescent="0.3">
      <c r="R209" s="4"/>
      <c r="S209" s="4"/>
    </row>
    <row r="210" spans="18:19" ht="14.25" customHeight="1" x14ac:dyDescent="0.3">
      <c r="R210" s="4"/>
      <c r="S210" s="4"/>
    </row>
    <row r="211" spans="18:19" ht="14.25" customHeight="1" x14ac:dyDescent="0.3">
      <c r="R211" s="4"/>
      <c r="S211" s="4"/>
    </row>
    <row r="212" spans="18:19" ht="14.25" customHeight="1" x14ac:dyDescent="0.3">
      <c r="R212" s="4"/>
      <c r="S212" s="4"/>
    </row>
    <row r="213" spans="18:19" ht="14.25" customHeight="1" x14ac:dyDescent="0.3">
      <c r="R213" s="4"/>
      <c r="S213" s="4"/>
    </row>
    <row r="214" spans="18:19" ht="14.25" customHeight="1" x14ac:dyDescent="0.3">
      <c r="R214" s="4"/>
      <c r="S214" s="4"/>
    </row>
    <row r="215" spans="18:19" ht="14.25" customHeight="1" x14ac:dyDescent="0.3">
      <c r="R215" s="4"/>
      <c r="S215" s="4"/>
    </row>
    <row r="216" spans="18:19" ht="14.25" customHeight="1" x14ac:dyDescent="0.3">
      <c r="R216" s="4"/>
      <c r="S216" s="4"/>
    </row>
    <row r="217" spans="18:19" ht="14.25" customHeight="1" x14ac:dyDescent="0.3">
      <c r="R217" s="4"/>
      <c r="S217" s="4"/>
    </row>
    <row r="218" spans="18:19" ht="14.25" customHeight="1" x14ac:dyDescent="0.3">
      <c r="R218" s="4"/>
      <c r="S218" s="4"/>
    </row>
    <row r="219" spans="18:19" ht="14.25" customHeight="1" x14ac:dyDescent="0.3">
      <c r="R219" s="4"/>
      <c r="S219" s="4"/>
    </row>
    <row r="220" spans="18:19" ht="14.25" customHeight="1" x14ac:dyDescent="0.3">
      <c r="R220" s="4"/>
      <c r="S220" s="4"/>
    </row>
    <row r="221" spans="18:19" ht="14.25" customHeight="1" x14ac:dyDescent="0.3">
      <c r="R221" s="4"/>
      <c r="S221" s="4"/>
    </row>
    <row r="222" spans="18:19" ht="14.25" customHeight="1" x14ac:dyDescent="0.3">
      <c r="R222" s="4"/>
      <c r="S222" s="4"/>
    </row>
    <row r="223" spans="18:19" ht="14.25" customHeight="1" x14ac:dyDescent="0.3">
      <c r="R223" s="4"/>
      <c r="S223" s="4"/>
    </row>
    <row r="224" spans="18:19" ht="14.25" customHeight="1" x14ac:dyDescent="0.3">
      <c r="R224" s="4"/>
      <c r="S224" s="4"/>
    </row>
    <row r="225" spans="18:19" ht="14.25" customHeight="1" x14ac:dyDescent="0.3">
      <c r="R225" s="4"/>
      <c r="S225" s="4"/>
    </row>
    <row r="226" spans="18:19" ht="14.25" customHeight="1" x14ac:dyDescent="0.3">
      <c r="R226" s="4"/>
      <c r="S226" s="4"/>
    </row>
    <row r="227" spans="18:19" ht="14.25" customHeight="1" x14ac:dyDescent="0.3">
      <c r="R227" s="4"/>
      <c r="S227" s="4"/>
    </row>
    <row r="228" spans="18:19" ht="14.25" customHeight="1" x14ac:dyDescent="0.3">
      <c r="R228" s="4"/>
      <c r="S228" s="4"/>
    </row>
    <row r="229" spans="18:19" ht="14.25" customHeight="1" x14ac:dyDescent="0.3">
      <c r="R229" s="4"/>
      <c r="S229" s="4"/>
    </row>
    <row r="230" spans="18:19" ht="14.25" customHeight="1" x14ac:dyDescent="0.3">
      <c r="R230" s="4"/>
      <c r="S230" s="4"/>
    </row>
    <row r="231" spans="18:19" ht="14.25" customHeight="1" x14ac:dyDescent="0.3">
      <c r="R231" s="4"/>
      <c r="S231" s="4"/>
    </row>
    <row r="232" spans="18:19" ht="14.25" customHeight="1" x14ac:dyDescent="0.3">
      <c r="R232" s="4"/>
      <c r="S232" s="4"/>
    </row>
    <row r="233" spans="18:19" ht="14.25" customHeight="1" x14ac:dyDescent="0.3">
      <c r="R233" s="4"/>
      <c r="S233" s="4"/>
    </row>
    <row r="234" spans="18:19" ht="14.25" customHeight="1" x14ac:dyDescent="0.3">
      <c r="R234" s="4"/>
      <c r="S234" s="4"/>
    </row>
    <row r="235" spans="18:19" ht="14.25" customHeight="1" x14ac:dyDescent="0.3">
      <c r="R235" s="4"/>
      <c r="S235" s="4"/>
    </row>
    <row r="236" spans="18:19" ht="14.25" customHeight="1" x14ac:dyDescent="0.3">
      <c r="R236" s="4"/>
      <c r="S236" s="4"/>
    </row>
    <row r="237" spans="18:19" ht="14.25" customHeight="1" x14ac:dyDescent="0.3">
      <c r="R237" s="4"/>
      <c r="S237" s="4"/>
    </row>
    <row r="238" spans="18:19" ht="14.25" customHeight="1" x14ac:dyDescent="0.3">
      <c r="R238" s="4"/>
      <c r="S238" s="4"/>
    </row>
    <row r="239" spans="18:19" ht="14.25" customHeight="1" x14ac:dyDescent="0.3">
      <c r="R239" s="4"/>
      <c r="S239" s="4"/>
    </row>
    <row r="240" spans="18:19" ht="14.25" customHeight="1" x14ac:dyDescent="0.3">
      <c r="R240" s="4"/>
      <c r="S240" s="4"/>
    </row>
    <row r="241" spans="18:19" ht="14.25" customHeight="1" x14ac:dyDescent="0.3">
      <c r="R241" s="4"/>
      <c r="S241" s="4"/>
    </row>
    <row r="242" spans="18:19" ht="14.25" customHeight="1" x14ac:dyDescent="0.3">
      <c r="R242" s="4"/>
      <c r="S242" s="4"/>
    </row>
    <row r="243" spans="18:19" ht="14.25" customHeight="1" x14ac:dyDescent="0.3">
      <c r="R243" s="4"/>
      <c r="S243" s="4"/>
    </row>
    <row r="244" spans="18:19" ht="14.25" customHeight="1" x14ac:dyDescent="0.3">
      <c r="R244" s="4"/>
      <c r="S244" s="4"/>
    </row>
    <row r="245" spans="18:19" ht="14.25" customHeight="1" x14ac:dyDescent="0.3">
      <c r="R245" s="4"/>
      <c r="S245" s="4"/>
    </row>
    <row r="246" spans="18:19" ht="14.25" customHeight="1" x14ac:dyDescent="0.3">
      <c r="R246" s="4"/>
      <c r="S246" s="4"/>
    </row>
    <row r="247" spans="18:19" ht="14.25" customHeight="1" x14ac:dyDescent="0.3">
      <c r="R247" s="4"/>
      <c r="S247" s="4"/>
    </row>
    <row r="248" spans="18:19" ht="14.25" customHeight="1" x14ac:dyDescent="0.3">
      <c r="R248" s="4"/>
      <c r="S248" s="4"/>
    </row>
    <row r="249" spans="18:19" ht="14.25" customHeight="1" x14ac:dyDescent="0.3">
      <c r="R249" s="4"/>
      <c r="S249" s="4"/>
    </row>
    <row r="250" spans="18:19" ht="14.25" customHeight="1" x14ac:dyDescent="0.3">
      <c r="R250" s="4"/>
      <c r="S250" s="4"/>
    </row>
    <row r="251" spans="18:19" ht="14.25" customHeight="1" x14ac:dyDescent="0.3">
      <c r="R251" s="4"/>
      <c r="S251" s="4"/>
    </row>
    <row r="252" spans="18:19" ht="14.25" customHeight="1" x14ac:dyDescent="0.3">
      <c r="R252" s="4"/>
      <c r="S252" s="4"/>
    </row>
    <row r="253" spans="18:19" ht="14.25" customHeight="1" x14ac:dyDescent="0.3">
      <c r="R253" s="4"/>
      <c r="S253" s="4"/>
    </row>
    <row r="254" spans="18:19" ht="14.25" customHeight="1" x14ac:dyDescent="0.3">
      <c r="R254" s="4"/>
      <c r="S254" s="4"/>
    </row>
    <row r="255" spans="18:19" ht="14.25" customHeight="1" x14ac:dyDescent="0.3">
      <c r="R255" s="4"/>
      <c r="S255" s="4"/>
    </row>
    <row r="256" spans="18:19" ht="14.25" customHeight="1" x14ac:dyDescent="0.3">
      <c r="R256" s="4"/>
      <c r="S256" s="4"/>
    </row>
    <row r="257" spans="18:19" ht="14.25" customHeight="1" x14ac:dyDescent="0.3">
      <c r="R257" s="4"/>
      <c r="S257" s="4"/>
    </row>
    <row r="258" spans="18:19" ht="14.25" customHeight="1" x14ac:dyDescent="0.3">
      <c r="R258" s="4"/>
      <c r="S258" s="4"/>
    </row>
    <row r="259" spans="18:19" ht="14.25" customHeight="1" x14ac:dyDescent="0.3">
      <c r="R259" s="4"/>
      <c r="S259" s="4"/>
    </row>
    <row r="260" spans="18:19" ht="14.25" customHeight="1" x14ac:dyDescent="0.3">
      <c r="R260" s="4"/>
      <c r="S260" s="4"/>
    </row>
    <row r="261" spans="18:19" ht="14.25" customHeight="1" x14ac:dyDescent="0.3">
      <c r="R261" s="4"/>
      <c r="S261" s="4"/>
    </row>
    <row r="262" spans="18:19" ht="14.25" customHeight="1" x14ac:dyDescent="0.3">
      <c r="R262" s="4"/>
      <c r="S262" s="4"/>
    </row>
    <row r="263" spans="18:19" ht="14.25" customHeight="1" x14ac:dyDescent="0.3">
      <c r="R263" s="4"/>
      <c r="S263" s="4"/>
    </row>
    <row r="264" spans="18:19" ht="14.25" customHeight="1" x14ac:dyDescent="0.3">
      <c r="R264" s="4"/>
      <c r="S264" s="4"/>
    </row>
    <row r="265" spans="18:19" ht="14.25" customHeight="1" x14ac:dyDescent="0.3">
      <c r="R265" s="4"/>
      <c r="S265" s="4"/>
    </row>
    <row r="266" spans="18:19" ht="14.25" customHeight="1" x14ac:dyDescent="0.3">
      <c r="R266" s="4"/>
      <c r="S266" s="4"/>
    </row>
    <row r="267" spans="18:19" ht="14.25" customHeight="1" x14ac:dyDescent="0.3">
      <c r="R267" s="4"/>
      <c r="S267" s="4"/>
    </row>
    <row r="268" spans="18:19" ht="14.25" customHeight="1" x14ac:dyDescent="0.3">
      <c r="R268" s="4"/>
      <c r="S268" s="4"/>
    </row>
    <row r="269" spans="18:19" ht="14.25" customHeight="1" x14ac:dyDescent="0.3">
      <c r="R269" s="4"/>
      <c r="S269" s="4"/>
    </row>
    <row r="270" spans="18:19" ht="14.25" customHeight="1" x14ac:dyDescent="0.3">
      <c r="R270" s="4"/>
      <c r="S270" s="4"/>
    </row>
    <row r="271" spans="18:19" ht="14.25" customHeight="1" x14ac:dyDescent="0.3">
      <c r="R271" s="4"/>
      <c r="S271" s="4"/>
    </row>
    <row r="272" spans="18:19" ht="14.25" customHeight="1" x14ac:dyDescent="0.3">
      <c r="R272" s="4"/>
      <c r="S272" s="4"/>
    </row>
    <row r="273" spans="18:19" ht="14.25" customHeight="1" x14ac:dyDescent="0.3">
      <c r="R273" s="4"/>
      <c r="S273" s="4"/>
    </row>
    <row r="274" spans="18:19" ht="14.25" customHeight="1" x14ac:dyDescent="0.3">
      <c r="R274" s="4"/>
      <c r="S274" s="4"/>
    </row>
    <row r="275" spans="18:19" ht="14.25" customHeight="1" x14ac:dyDescent="0.3">
      <c r="R275" s="4"/>
      <c r="S275" s="4"/>
    </row>
    <row r="276" spans="18:19" ht="14.25" customHeight="1" x14ac:dyDescent="0.3">
      <c r="R276" s="4"/>
      <c r="S276" s="4"/>
    </row>
    <row r="277" spans="18:19" ht="14.25" customHeight="1" x14ac:dyDescent="0.3">
      <c r="R277" s="4"/>
      <c r="S277" s="4"/>
    </row>
    <row r="278" spans="18:19" ht="14.25" customHeight="1" x14ac:dyDescent="0.3">
      <c r="R278" s="4"/>
      <c r="S278" s="4"/>
    </row>
    <row r="279" spans="18:19" ht="14.25" customHeight="1" x14ac:dyDescent="0.3">
      <c r="R279" s="4"/>
      <c r="S279" s="4"/>
    </row>
    <row r="280" spans="18:19" ht="14.25" customHeight="1" x14ac:dyDescent="0.3">
      <c r="R280" s="4"/>
      <c r="S280" s="4"/>
    </row>
    <row r="281" spans="18:19" ht="14.25" customHeight="1" x14ac:dyDescent="0.3">
      <c r="R281" s="4"/>
      <c r="S281" s="4"/>
    </row>
    <row r="282" spans="18:19" ht="14.25" customHeight="1" x14ac:dyDescent="0.3">
      <c r="R282" s="4"/>
      <c r="S282" s="4"/>
    </row>
    <row r="283" spans="18:19" ht="14.25" customHeight="1" x14ac:dyDescent="0.3">
      <c r="R283" s="4"/>
      <c r="S283" s="4"/>
    </row>
    <row r="284" spans="18:19" ht="14.25" customHeight="1" x14ac:dyDescent="0.3">
      <c r="R284" s="4"/>
      <c r="S284" s="4"/>
    </row>
    <row r="285" spans="18:19" ht="14.25" customHeight="1" x14ac:dyDescent="0.3">
      <c r="R285" s="4"/>
      <c r="S285" s="4"/>
    </row>
    <row r="286" spans="18:19" ht="14.25" customHeight="1" x14ac:dyDescent="0.3">
      <c r="R286" s="4"/>
      <c r="S286" s="4"/>
    </row>
    <row r="287" spans="18:19" ht="14.25" customHeight="1" x14ac:dyDescent="0.3">
      <c r="R287" s="4"/>
      <c r="S287" s="4"/>
    </row>
    <row r="288" spans="18:19" ht="14.25" customHeight="1" x14ac:dyDescent="0.3">
      <c r="R288" s="4"/>
      <c r="S288" s="4"/>
    </row>
    <row r="289" spans="18:19" ht="14.25" customHeight="1" x14ac:dyDescent="0.3">
      <c r="R289" s="4"/>
      <c r="S289" s="4"/>
    </row>
    <row r="290" spans="18:19" ht="14.25" customHeight="1" x14ac:dyDescent="0.3">
      <c r="R290" s="4"/>
      <c r="S290" s="4"/>
    </row>
    <row r="291" spans="18:19" ht="14.25" customHeight="1" x14ac:dyDescent="0.3">
      <c r="R291" s="4"/>
      <c r="S291" s="4"/>
    </row>
    <row r="292" spans="18:19" ht="14.25" customHeight="1" x14ac:dyDescent="0.3">
      <c r="R292" s="4"/>
      <c r="S292" s="4"/>
    </row>
    <row r="293" spans="18:19" ht="14.25" customHeight="1" x14ac:dyDescent="0.3">
      <c r="R293" s="4"/>
      <c r="S293" s="4"/>
    </row>
    <row r="294" spans="18:19" ht="14.25" customHeight="1" x14ac:dyDescent="0.3">
      <c r="R294" s="4"/>
      <c r="S294" s="4"/>
    </row>
    <row r="295" spans="18:19" ht="14.25" customHeight="1" x14ac:dyDescent="0.3">
      <c r="R295" s="4"/>
      <c r="S295" s="4"/>
    </row>
    <row r="296" spans="18:19" ht="14.25" customHeight="1" x14ac:dyDescent="0.3">
      <c r="R296" s="4"/>
      <c r="S296" s="4"/>
    </row>
    <row r="297" spans="18:19" ht="14.25" customHeight="1" x14ac:dyDescent="0.3">
      <c r="R297" s="4"/>
      <c r="S297" s="4"/>
    </row>
    <row r="298" spans="18:19" ht="14.25" customHeight="1" x14ac:dyDescent="0.3">
      <c r="R298" s="4"/>
      <c r="S298" s="4"/>
    </row>
    <row r="299" spans="18:19" ht="14.25" customHeight="1" x14ac:dyDescent="0.3">
      <c r="R299" s="4"/>
      <c r="S299" s="4"/>
    </row>
    <row r="300" spans="18:19" ht="14.25" customHeight="1" x14ac:dyDescent="0.3">
      <c r="R300" s="4"/>
      <c r="S300" s="4"/>
    </row>
    <row r="301" spans="18:19" ht="14.25" customHeight="1" x14ac:dyDescent="0.3">
      <c r="R301" s="4"/>
      <c r="S301" s="4"/>
    </row>
    <row r="302" spans="18:19" ht="14.25" customHeight="1" x14ac:dyDescent="0.3">
      <c r="R302" s="4"/>
      <c r="S302" s="4"/>
    </row>
    <row r="303" spans="18:19" ht="14.25" customHeight="1" x14ac:dyDescent="0.3">
      <c r="R303" s="4"/>
      <c r="S303" s="4"/>
    </row>
    <row r="304" spans="18:19" ht="14.25" customHeight="1" x14ac:dyDescent="0.3">
      <c r="R304" s="4"/>
      <c r="S304" s="4"/>
    </row>
    <row r="305" spans="18:19" ht="14.25" customHeight="1" x14ac:dyDescent="0.3">
      <c r="R305" s="4"/>
      <c r="S305" s="4"/>
    </row>
    <row r="306" spans="18:19" ht="14.25" customHeight="1" x14ac:dyDescent="0.3">
      <c r="R306" s="4"/>
      <c r="S306" s="4"/>
    </row>
    <row r="307" spans="18:19" ht="14.25" customHeight="1" x14ac:dyDescent="0.3">
      <c r="R307" s="4"/>
      <c r="S307" s="4"/>
    </row>
    <row r="308" spans="18:19" ht="14.25" customHeight="1" x14ac:dyDescent="0.3">
      <c r="R308" s="4"/>
      <c r="S308" s="4"/>
    </row>
    <row r="309" spans="18:19" ht="14.25" customHeight="1" x14ac:dyDescent="0.3">
      <c r="R309" s="4"/>
      <c r="S309" s="4"/>
    </row>
    <row r="310" spans="18:19" ht="14.25" customHeight="1" x14ac:dyDescent="0.3">
      <c r="R310" s="4"/>
      <c r="S310" s="4"/>
    </row>
    <row r="311" spans="18:19" ht="14.25" customHeight="1" x14ac:dyDescent="0.3">
      <c r="R311" s="4"/>
      <c r="S311" s="4"/>
    </row>
    <row r="312" spans="18:19" ht="14.25" customHeight="1" x14ac:dyDescent="0.3">
      <c r="R312" s="4"/>
      <c r="S312" s="4"/>
    </row>
    <row r="313" spans="18:19" ht="14.25" customHeight="1" x14ac:dyDescent="0.3">
      <c r="R313" s="4"/>
      <c r="S313" s="4"/>
    </row>
    <row r="314" spans="18:19" ht="14.25" customHeight="1" x14ac:dyDescent="0.3">
      <c r="R314" s="4"/>
      <c r="S314" s="4"/>
    </row>
    <row r="315" spans="18:19" ht="14.25" customHeight="1" x14ac:dyDescent="0.3">
      <c r="R315" s="4"/>
      <c r="S315" s="4"/>
    </row>
    <row r="316" spans="18:19" ht="14.25" customHeight="1" x14ac:dyDescent="0.3">
      <c r="R316" s="4"/>
      <c r="S316" s="4"/>
    </row>
    <row r="317" spans="18:19" ht="14.25" customHeight="1" x14ac:dyDescent="0.3">
      <c r="R317" s="4"/>
      <c r="S317" s="4"/>
    </row>
    <row r="318" spans="18:19" ht="14.25" customHeight="1" x14ac:dyDescent="0.3">
      <c r="R318" s="4"/>
      <c r="S318" s="4"/>
    </row>
    <row r="319" spans="18:19" ht="14.25" customHeight="1" x14ac:dyDescent="0.3">
      <c r="R319" s="4"/>
      <c r="S319" s="4"/>
    </row>
    <row r="320" spans="18:19" ht="14.25" customHeight="1" x14ac:dyDescent="0.3">
      <c r="R320" s="4"/>
      <c r="S320" s="4"/>
    </row>
    <row r="321" spans="18:19" ht="14.25" customHeight="1" x14ac:dyDescent="0.3">
      <c r="R321" s="4"/>
      <c r="S321" s="4"/>
    </row>
    <row r="322" spans="18:19" ht="14.25" customHeight="1" x14ac:dyDescent="0.3">
      <c r="R322" s="4"/>
      <c r="S322" s="4"/>
    </row>
    <row r="323" spans="18:19" ht="14.25" customHeight="1" x14ac:dyDescent="0.3">
      <c r="R323" s="4"/>
      <c r="S323" s="4"/>
    </row>
    <row r="324" spans="18:19" ht="14.25" customHeight="1" x14ac:dyDescent="0.3">
      <c r="R324" s="4"/>
      <c r="S324" s="4"/>
    </row>
    <row r="325" spans="18:19" ht="14.25" customHeight="1" x14ac:dyDescent="0.3">
      <c r="R325" s="4"/>
      <c r="S325" s="4"/>
    </row>
    <row r="326" spans="18:19" ht="14.25" customHeight="1" x14ac:dyDescent="0.3">
      <c r="R326" s="4"/>
      <c r="S326" s="4"/>
    </row>
    <row r="327" spans="18:19" ht="14.25" customHeight="1" x14ac:dyDescent="0.3">
      <c r="R327" s="4"/>
      <c r="S327" s="4"/>
    </row>
    <row r="328" spans="18:19" ht="14.25" customHeight="1" x14ac:dyDescent="0.3">
      <c r="R328" s="4"/>
      <c r="S328" s="4"/>
    </row>
    <row r="329" spans="18:19" ht="14.25" customHeight="1" x14ac:dyDescent="0.3">
      <c r="R329" s="4"/>
      <c r="S329" s="4"/>
    </row>
    <row r="330" spans="18:19" ht="14.25" customHeight="1" x14ac:dyDescent="0.3">
      <c r="R330" s="4"/>
      <c r="S330" s="4"/>
    </row>
    <row r="331" spans="18:19" ht="14.25" customHeight="1" x14ac:dyDescent="0.3">
      <c r="R331" s="4"/>
      <c r="S331" s="4"/>
    </row>
    <row r="332" spans="18:19" ht="14.25" customHeight="1" x14ac:dyDescent="0.3">
      <c r="R332" s="4"/>
      <c r="S332" s="4"/>
    </row>
    <row r="333" spans="18:19" ht="14.25" customHeight="1" x14ac:dyDescent="0.3">
      <c r="R333" s="4"/>
      <c r="S333" s="4"/>
    </row>
    <row r="334" spans="18:19" ht="14.25" customHeight="1" x14ac:dyDescent="0.3">
      <c r="R334" s="4"/>
      <c r="S334" s="4"/>
    </row>
    <row r="335" spans="18:19" ht="14.25" customHeight="1" x14ac:dyDescent="0.3">
      <c r="R335" s="4"/>
      <c r="S335" s="4"/>
    </row>
    <row r="336" spans="18:19" ht="14.25" customHeight="1" x14ac:dyDescent="0.3">
      <c r="R336" s="4"/>
      <c r="S336" s="4"/>
    </row>
    <row r="337" spans="18:19" ht="14.25" customHeight="1" x14ac:dyDescent="0.3">
      <c r="R337" s="4"/>
      <c r="S337" s="4"/>
    </row>
    <row r="338" spans="18:19" ht="14.25" customHeight="1" x14ac:dyDescent="0.3">
      <c r="R338" s="4"/>
      <c r="S338" s="4"/>
    </row>
    <row r="339" spans="18:19" ht="14.25" customHeight="1" x14ac:dyDescent="0.3">
      <c r="R339" s="4"/>
      <c r="S339" s="4"/>
    </row>
    <row r="340" spans="18:19" ht="14.25" customHeight="1" x14ac:dyDescent="0.3">
      <c r="R340" s="4"/>
      <c r="S340" s="4"/>
    </row>
    <row r="341" spans="18:19" ht="14.25" customHeight="1" x14ac:dyDescent="0.3">
      <c r="R341" s="4"/>
      <c r="S341" s="4"/>
    </row>
    <row r="342" spans="18:19" ht="14.25" customHeight="1" x14ac:dyDescent="0.3">
      <c r="R342" s="4"/>
      <c r="S342" s="4"/>
    </row>
    <row r="343" spans="18:19" ht="14.25" customHeight="1" x14ac:dyDescent="0.3">
      <c r="R343" s="4"/>
      <c r="S343" s="4"/>
    </row>
    <row r="344" spans="18:19" ht="14.25" customHeight="1" x14ac:dyDescent="0.3">
      <c r="R344" s="4"/>
      <c r="S344" s="4"/>
    </row>
    <row r="345" spans="18:19" ht="14.25" customHeight="1" x14ac:dyDescent="0.3">
      <c r="R345" s="4"/>
      <c r="S345" s="4"/>
    </row>
    <row r="346" spans="18:19" ht="14.25" customHeight="1" x14ac:dyDescent="0.3">
      <c r="R346" s="4"/>
      <c r="S346" s="4"/>
    </row>
    <row r="347" spans="18:19" ht="14.25" customHeight="1" x14ac:dyDescent="0.3">
      <c r="R347" s="4"/>
      <c r="S347" s="4"/>
    </row>
    <row r="348" spans="18:19" ht="14.25" customHeight="1" x14ac:dyDescent="0.3">
      <c r="R348" s="4"/>
      <c r="S348" s="4"/>
    </row>
    <row r="349" spans="18:19" ht="14.25" customHeight="1" x14ac:dyDescent="0.3">
      <c r="R349" s="4"/>
      <c r="S349" s="4"/>
    </row>
    <row r="350" spans="18:19" ht="14.25" customHeight="1" x14ac:dyDescent="0.3">
      <c r="R350" s="4"/>
      <c r="S350" s="4"/>
    </row>
    <row r="351" spans="18:19" ht="14.25" customHeight="1" x14ac:dyDescent="0.3">
      <c r="R351" s="4"/>
      <c r="S351" s="4"/>
    </row>
    <row r="352" spans="18:19" ht="14.25" customHeight="1" x14ac:dyDescent="0.3">
      <c r="R352" s="4"/>
      <c r="S352" s="4"/>
    </row>
    <row r="353" spans="18:19" ht="14.25" customHeight="1" x14ac:dyDescent="0.3">
      <c r="R353" s="4"/>
      <c r="S353" s="4"/>
    </row>
    <row r="354" spans="18:19" ht="14.25" customHeight="1" x14ac:dyDescent="0.3">
      <c r="R354" s="4"/>
      <c r="S354" s="4"/>
    </row>
    <row r="355" spans="18:19" ht="14.25" customHeight="1" x14ac:dyDescent="0.3">
      <c r="R355" s="4"/>
      <c r="S355" s="4"/>
    </row>
    <row r="356" spans="18:19" ht="14.25" customHeight="1" x14ac:dyDescent="0.3">
      <c r="R356" s="4"/>
      <c r="S356" s="4"/>
    </row>
    <row r="357" spans="18:19" ht="14.25" customHeight="1" x14ac:dyDescent="0.3">
      <c r="R357" s="4"/>
      <c r="S357" s="4"/>
    </row>
    <row r="358" spans="18:19" ht="14.25" customHeight="1" x14ac:dyDescent="0.3">
      <c r="R358" s="4"/>
      <c r="S358" s="4"/>
    </row>
    <row r="359" spans="18:19" ht="14.25" customHeight="1" x14ac:dyDescent="0.3">
      <c r="R359" s="4"/>
      <c r="S359" s="4"/>
    </row>
    <row r="360" spans="18:19" ht="14.25" customHeight="1" x14ac:dyDescent="0.3">
      <c r="R360" s="4"/>
      <c r="S360" s="4"/>
    </row>
    <row r="361" spans="18:19" ht="14.25" customHeight="1" x14ac:dyDescent="0.3">
      <c r="R361" s="4"/>
      <c r="S361" s="4"/>
    </row>
    <row r="362" spans="18:19" ht="14.25" customHeight="1" x14ac:dyDescent="0.3">
      <c r="R362" s="4"/>
      <c r="S362" s="4"/>
    </row>
    <row r="363" spans="18:19" ht="14.25" customHeight="1" x14ac:dyDescent="0.3">
      <c r="R363" s="4"/>
      <c r="S363" s="4"/>
    </row>
    <row r="364" spans="18:19" ht="14.25" customHeight="1" x14ac:dyDescent="0.3">
      <c r="R364" s="4"/>
      <c r="S364" s="4"/>
    </row>
    <row r="365" spans="18:19" ht="14.25" customHeight="1" x14ac:dyDescent="0.3">
      <c r="R365" s="4"/>
      <c r="S365" s="4"/>
    </row>
    <row r="366" spans="18:19" ht="14.25" customHeight="1" x14ac:dyDescent="0.3">
      <c r="R366" s="4"/>
      <c r="S366" s="4"/>
    </row>
    <row r="367" spans="18:19" ht="14.25" customHeight="1" x14ac:dyDescent="0.3">
      <c r="R367" s="4"/>
      <c r="S367" s="4"/>
    </row>
    <row r="368" spans="18:19" ht="14.25" customHeight="1" x14ac:dyDescent="0.3">
      <c r="R368" s="4"/>
      <c r="S368" s="4"/>
    </row>
    <row r="369" spans="18:19" ht="14.25" customHeight="1" x14ac:dyDescent="0.3">
      <c r="R369" s="4"/>
      <c r="S369" s="4"/>
    </row>
    <row r="370" spans="18:19" ht="14.25" customHeight="1" x14ac:dyDescent="0.3">
      <c r="R370" s="4"/>
      <c r="S370" s="4"/>
    </row>
    <row r="371" spans="18:19" ht="14.25" customHeight="1" x14ac:dyDescent="0.3">
      <c r="R371" s="4"/>
      <c r="S371" s="4"/>
    </row>
    <row r="372" spans="18:19" ht="14.25" customHeight="1" x14ac:dyDescent="0.3">
      <c r="R372" s="4"/>
      <c r="S372" s="4"/>
    </row>
    <row r="373" spans="18:19" ht="14.25" customHeight="1" x14ac:dyDescent="0.3">
      <c r="R373" s="4"/>
      <c r="S373" s="4"/>
    </row>
    <row r="374" spans="18:19" ht="14.25" customHeight="1" x14ac:dyDescent="0.3">
      <c r="R374" s="4"/>
      <c r="S374" s="4"/>
    </row>
    <row r="375" spans="18:19" ht="14.25" customHeight="1" x14ac:dyDescent="0.3">
      <c r="R375" s="4"/>
      <c r="S375" s="4"/>
    </row>
    <row r="376" spans="18:19" ht="14.25" customHeight="1" x14ac:dyDescent="0.3">
      <c r="R376" s="4"/>
      <c r="S376" s="4"/>
    </row>
    <row r="377" spans="18:19" ht="14.25" customHeight="1" x14ac:dyDescent="0.3">
      <c r="R377" s="4"/>
      <c r="S377" s="4"/>
    </row>
    <row r="378" spans="18:19" ht="14.25" customHeight="1" x14ac:dyDescent="0.3">
      <c r="R378" s="4"/>
      <c r="S378" s="4"/>
    </row>
    <row r="379" spans="18:19" ht="14.25" customHeight="1" x14ac:dyDescent="0.3">
      <c r="R379" s="4"/>
      <c r="S379" s="4"/>
    </row>
    <row r="380" spans="18:19" ht="14.25" customHeight="1" x14ac:dyDescent="0.3">
      <c r="R380" s="4"/>
      <c r="S380" s="4"/>
    </row>
    <row r="381" spans="18:19" ht="14.25" customHeight="1" x14ac:dyDescent="0.3">
      <c r="R381" s="4"/>
      <c r="S381" s="4"/>
    </row>
    <row r="382" spans="18:19" ht="14.25" customHeight="1" x14ac:dyDescent="0.3">
      <c r="R382" s="4"/>
      <c r="S382" s="4"/>
    </row>
    <row r="383" spans="18:19" ht="14.25" customHeight="1" x14ac:dyDescent="0.3">
      <c r="R383" s="4"/>
      <c r="S383" s="4"/>
    </row>
    <row r="384" spans="18:19" ht="14.25" customHeight="1" x14ac:dyDescent="0.3">
      <c r="R384" s="4"/>
      <c r="S384" s="4"/>
    </row>
    <row r="385" spans="18:19" ht="14.25" customHeight="1" x14ac:dyDescent="0.3">
      <c r="R385" s="4"/>
      <c r="S385" s="4"/>
    </row>
    <row r="386" spans="18:19" ht="14.25" customHeight="1" x14ac:dyDescent="0.3">
      <c r="R386" s="4"/>
      <c r="S386" s="4"/>
    </row>
    <row r="387" spans="18:19" ht="14.25" customHeight="1" x14ac:dyDescent="0.3">
      <c r="R387" s="4"/>
      <c r="S387" s="4"/>
    </row>
    <row r="388" spans="18:19" ht="14.25" customHeight="1" x14ac:dyDescent="0.3">
      <c r="R388" s="4"/>
      <c r="S388" s="4"/>
    </row>
    <row r="389" spans="18:19" ht="14.25" customHeight="1" x14ac:dyDescent="0.3">
      <c r="R389" s="4"/>
      <c r="S389" s="4"/>
    </row>
    <row r="390" spans="18:19" ht="14.25" customHeight="1" x14ac:dyDescent="0.3">
      <c r="R390" s="4"/>
      <c r="S390" s="4"/>
    </row>
    <row r="391" spans="18:19" ht="14.25" customHeight="1" x14ac:dyDescent="0.3">
      <c r="R391" s="4"/>
      <c r="S391" s="4"/>
    </row>
    <row r="392" spans="18:19" ht="14.25" customHeight="1" x14ac:dyDescent="0.3">
      <c r="R392" s="4"/>
      <c r="S392" s="4"/>
    </row>
    <row r="393" spans="18:19" ht="14.25" customHeight="1" x14ac:dyDescent="0.3">
      <c r="R393" s="4"/>
      <c r="S393" s="4"/>
    </row>
    <row r="394" spans="18:19" ht="14.25" customHeight="1" x14ac:dyDescent="0.3">
      <c r="R394" s="4"/>
      <c r="S394" s="4"/>
    </row>
    <row r="395" spans="18:19" ht="14.25" customHeight="1" x14ac:dyDescent="0.3">
      <c r="R395" s="4"/>
      <c r="S395" s="4"/>
    </row>
    <row r="396" spans="18:19" ht="14.25" customHeight="1" x14ac:dyDescent="0.3">
      <c r="R396" s="4"/>
      <c r="S396" s="4"/>
    </row>
    <row r="397" spans="18:19" ht="14.25" customHeight="1" x14ac:dyDescent="0.3">
      <c r="R397" s="4"/>
      <c r="S397" s="4"/>
    </row>
    <row r="398" spans="18:19" ht="14.25" customHeight="1" x14ac:dyDescent="0.3">
      <c r="R398" s="4"/>
      <c r="S398" s="4"/>
    </row>
    <row r="399" spans="18:19" ht="14.25" customHeight="1" x14ac:dyDescent="0.3">
      <c r="R399" s="4"/>
      <c r="S399" s="4"/>
    </row>
    <row r="400" spans="18:19" ht="14.25" customHeight="1" x14ac:dyDescent="0.3">
      <c r="R400" s="4"/>
      <c r="S400" s="4"/>
    </row>
    <row r="401" spans="18:19" ht="14.25" customHeight="1" x14ac:dyDescent="0.3">
      <c r="R401" s="4"/>
      <c r="S401" s="4"/>
    </row>
    <row r="402" spans="18:19" ht="14.25" customHeight="1" x14ac:dyDescent="0.3">
      <c r="R402" s="4"/>
      <c r="S402" s="4"/>
    </row>
    <row r="403" spans="18:19" ht="14.25" customHeight="1" x14ac:dyDescent="0.3">
      <c r="R403" s="4"/>
      <c r="S403" s="4"/>
    </row>
    <row r="404" spans="18:19" ht="14.25" customHeight="1" x14ac:dyDescent="0.3">
      <c r="R404" s="4"/>
      <c r="S404" s="4"/>
    </row>
    <row r="405" spans="18:19" ht="14.25" customHeight="1" x14ac:dyDescent="0.3">
      <c r="R405" s="4"/>
      <c r="S405" s="4"/>
    </row>
    <row r="406" spans="18:19" ht="14.25" customHeight="1" x14ac:dyDescent="0.3">
      <c r="R406" s="4"/>
      <c r="S406" s="4"/>
    </row>
    <row r="407" spans="18:19" ht="14.25" customHeight="1" x14ac:dyDescent="0.3">
      <c r="R407" s="4"/>
      <c r="S407" s="4"/>
    </row>
    <row r="408" spans="18:19" ht="14.25" customHeight="1" x14ac:dyDescent="0.3">
      <c r="R408" s="4"/>
      <c r="S408" s="4"/>
    </row>
    <row r="409" spans="18:19" ht="14.25" customHeight="1" x14ac:dyDescent="0.3">
      <c r="R409" s="4"/>
      <c r="S409" s="4"/>
    </row>
    <row r="410" spans="18:19" ht="14.25" customHeight="1" x14ac:dyDescent="0.3">
      <c r="R410" s="4"/>
      <c r="S410" s="4"/>
    </row>
    <row r="411" spans="18:19" ht="14.25" customHeight="1" x14ac:dyDescent="0.3">
      <c r="R411" s="4"/>
      <c r="S411" s="4"/>
    </row>
    <row r="412" spans="18:19" ht="14.25" customHeight="1" x14ac:dyDescent="0.3">
      <c r="R412" s="4"/>
      <c r="S412" s="4"/>
    </row>
    <row r="413" spans="18:19" ht="14.25" customHeight="1" x14ac:dyDescent="0.3">
      <c r="R413" s="4"/>
      <c r="S413" s="4"/>
    </row>
    <row r="414" spans="18:19" ht="14.25" customHeight="1" x14ac:dyDescent="0.3">
      <c r="R414" s="4"/>
      <c r="S414" s="4"/>
    </row>
    <row r="415" spans="18:19" ht="14.25" customHeight="1" x14ac:dyDescent="0.3">
      <c r="R415" s="4"/>
      <c r="S415" s="4"/>
    </row>
    <row r="416" spans="18:19" ht="14.25" customHeight="1" x14ac:dyDescent="0.3">
      <c r="R416" s="4"/>
      <c r="S416" s="4"/>
    </row>
    <row r="417" spans="18:19" ht="14.25" customHeight="1" x14ac:dyDescent="0.3">
      <c r="R417" s="4"/>
      <c r="S417" s="4"/>
    </row>
    <row r="418" spans="18:19" ht="14.25" customHeight="1" x14ac:dyDescent="0.3">
      <c r="R418" s="4"/>
      <c r="S418" s="4"/>
    </row>
    <row r="419" spans="18:19" ht="14.25" customHeight="1" x14ac:dyDescent="0.3">
      <c r="R419" s="4"/>
      <c r="S419" s="4"/>
    </row>
    <row r="420" spans="18:19" ht="14.25" customHeight="1" x14ac:dyDescent="0.3">
      <c r="R420" s="4"/>
      <c r="S420" s="4"/>
    </row>
    <row r="421" spans="18:19" ht="14.25" customHeight="1" x14ac:dyDescent="0.3">
      <c r="R421" s="4"/>
      <c r="S421" s="4"/>
    </row>
    <row r="422" spans="18:19" ht="14.25" customHeight="1" x14ac:dyDescent="0.3">
      <c r="R422" s="4"/>
      <c r="S422" s="4"/>
    </row>
    <row r="423" spans="18:19" ht="14.25" customHeight="1" x14ac:dyDescent="0.3">
      <c r="R423" s="4"/>
      <c r="S423" s="4"/>
    </row>
    <row r="424" spans="18:19" ht="14.25" customHeight="1" x14ac:dyDescent="0.3">
      <c r="R424" s="4"/>
      <c r="S424" s="4"/>
    </row>
    <row r="425" spans="18:19" ht="14.25" customHeight="1" x14ac:dyDescent="0.3">
      <c r="R425" s="4"/>
      <c r="S425" s="4"/>
    </row>
    <row r="426" spans="18:19" ht="14.25" customHeight="1" x14ac:dyDescent="0.3">
      <c r="R426" s="4"/>
      <c r="S426" s="4"/>
    </row>
    <row r="427" spans="18:19" ht="14.25" customHeight="1" x14ac:dyDescent="0.3">
      <c r="R427" s="4"/>
      <c r="S427" s="4"/>
    </row>
    <row r="428" spans="18:19" ht="14.25" customHeight="1" x14ac:dyDescent="0.3">
      <c r="R428" s="4"/>
      <c r="S428" s="4"/>
    </row>
    <row r="429" spans="18:19" ht="14.25" customHeight="1" x14ac:dyDescent="0.3">
      <c r="R429" s="4"/>
      <c r="S429" s="4"/>
    </row>
    <row r="430" spans="18:19" ht="14.25" customHeight="1" x14ac:dyDescent="0.3">
      <c r="R430" s="4"/>
      <c r="S430" s="4"/>
    </row>
    <row r="431" spans="18:19" ht="14.25" customHeight="1" x14ac:dyDescent="0.3">
      <c r="R431" s="4"/>
      <c r="S431" s="4"/>
    </row>
    <row r="432" spans="18:19" ht="14.25" customHeight="1" x14ac:dyDescent="0.3">
      <c r="R432" s="4"/>
      <c r="S432" s="4"/>
    </row>
    <row r="433" spans="18:19" ht="14.25" customHeight="1" x14ac:dyDescent="0.3">
      <c r="R433" s="4"/>
      <c r="S433" s="4"/>
    </row>
    <row r="434" spans="18:19" ht="14.25" customHeight="1" x14ac:dyDescent="0.3">
      <c r="R434" s="4"/>
      <c r="S434" s="4"/>
    </row>
    <row r="435" spans="18:19" ht="14.25" customHeight="1" x14ac:dyDescent="0.3">
      <c r="R435" s="4"/>
      <c r="S435" s="4"/>
    </row>
    <row r="436" spans="18:19" ht="14.25" customHeight="1" x14ac:dyDescent="0.3">
      <c r="R436" s="4"/>
      <c r="S436" s="4"/>
    </row>
    <row r="437" spans="18:19" ht="14.25" customHeight="1" x14ac:dyDescent="0.3">
      <c r="R437" s="4"/>
      <c r="S437" s="4"/>
    </row>
    <row r="438" spans="18:19" ht="14.25" customHeight="1" x14ac:dyDescent="0.3">
      <c r="R438" s="4"/>
      <c r="S438" s="4"/>
    </row>
    <row r="439" spans="18:19" ht="14.25" customHeight="1" x14ac:dyDescent="0.3">
      <c r="R439" s="4"/>
      <c r="S439" s="4"/>
    </row>
    <row r="440" spans="18:19" ht="14.25" customHeight="1" x14ac:dyDescent="0.3">
      <c r="R440" s="4"/>
      <c r="S440" s="4"/>
    </row>
    <row r="441" spans="18:19" ht="14.25" customHeight="1" x14ac:dyDescent="0.3">
      <c r="R441" s="4"/>
      <c r="S441" s="4"/>
    </row>
    <row r="442" spans="18:19" ht="14.25" customHeight="1" x14ac:dyDescent="0.3">
      <c r="R442" s="4"/>
      <c r="S442" s="4"/>
    </row>
    <row r="443" spans="18:19" ht="14.25" customHeight="1" x14ac:dyDescent="0.3">
      <c r="R443" s="4"/>
      <c r="S443" s="4"/>
    </row>
    <row r="444" spans="18:19" ht="14.25" customHeight="1" x14ac:dyDescent="0.3">
      <c r="R444" s="4"/>
      <c r="S444" s="4"/>
    </row>
    <row r="445" spans="18:19" ht="14.25" customHeight="1" x14ac:dyDescent="0.3">
      <c r="R445" s="4"/>
      <c r="S445" s="4"/>
    </row>
    <row r="446" spans="18:19" ht="14.25" customHeight="1" x14ac:dyDescent="0.3">
      <c r="R446" s="4"/>
      <c r="S446" s="4"/>
    </row>
    <row r="447" spans="18:19" ht="14.25" customHeight="1" x14ac:dyDescent="0.3">
      <c r="R447" s="4"/>
      <c r="S447" s="4"/>
    </row>
    <row r="448" spans="18:19" ht="14.25" customHeight="1" x14ac:dyDescent="0.3">
      <c r="R448" s="4"/>
      <c r="S448" s="4"/>
    </row>
    <row r="449" spans="18:19" ht="14.25" customHeight="1" x14ac:dyDescent="0.3">
      <c r="R449" s="4"/>
      <c r="S449" s="4"/>
    </row>
    <row r="450" spans="18:19" ht="14.25" customHeight="1" x14ac:dyDescent="0.3">
      <c r="R450" s="4"/>
      <c r="S450" s="4"/>
    </row>
    <row r="451" spans="18:19" ht="14.25" customHeight="1" x14ac:dyDescent="0.3">
      <c r="R451" s="4"/>
      <c r="S451" s="4"/>
    </row>
    <row r="452" spans="18:19" ht="14.25" customHeight="1" x14ac:dyDescent="0.3">
      <c r="R452" s="4"/>
      <c r="S452" s="4"/>
    </row>
    <row r="453" spans="18:19" ht="14.25" customHeight="1" x14ac:dyDescent="0.3">
      <c r="R453" s="4"/>
      <c r="S453" s="4"/>
    </row>
    <row r="454" spans="18:19" ht="14.25" customHeight="1" x14ac:dyDescent="0.3">
      <c r="R454" s="4"/>
      <c r="S454" s="4"/>
    </row>
    <row r="455" spans="18:19" ht="14.25" customHeight="1" x14ac:dyDescent="0.3">
      <c r="R455" s="4"/>
      <c r="S455" s="4"/>
    </row>
    <row r="456" spans="18:19" ht="14.25" customHeight="1" x14ac:dyDescent="0.3">
      <c r="R456" s="4"/>
      <c r="S456" s="4"/>
    </row>
    <row r="457" spans="18:19" ht="14.25" customHeight="1" x14ac:dyDescent="0.3">
      <c r="R457" s="4"/>
      <c r="S457" s="4"/>
    </row>
    <row r="458" spans="18:19" ht="14.25" customHeight="1" x14ac:dyDescent="0.3">
      <c r="R458" s="4"/>
      <c r="S458" s="4"/>
    </row>
    <row r="459" spans="18:19" ht="14.25" customHeight="1" x14ac:dyDescent="0.3">
      <c r="R459" s="4"/>
      <c r="S459" s="4"/>
    </row>
    <row r="460" spans="18:19" ht="14.25" customHeight="1" x14ac:dyDescent="0.3">
      <c r="R460" s="4"/>
      <c r="S460" s="4"/>
    </row>
    <row r="461" spans="18:19" ht="14.25" customHeight="1" x14ac:dyDescent="0.3">
      <c r="R461" s="4"/>
      <c r="S461" s="4"/>
    </row>
    <row r="462" spans="18:19" ht="14.25" customHeight="1" x14ac:dyDescent="0.3">
      <c r="R462" s="4"/>
      <c r="S462" s="4"/>
    </row>
    <row r="463" spans="18:19" ht="14.25" customHeight="1" x14ac:dyDescent="0.3">
      <c r="R463" s="4"/>
      <c r="S463" s="4"/>
    </row>
    <row r="464" spans="18:19" ht="14.25" customHeight="1" x14ac:dyDescent="0.3">
      <c r="R464" s="4"/>
      <c r="S464" s="4"/>
    </row>
    <row r="465" spans="18:19" ht="14.25" customHeight="1" x14ac:dyDescent="0.3">
      <c r="R465" s="4"/>
      <c r="S465" s="4"/>
    </row>
    <row r="466" spans="18:19" ht="14.25" customHeight="1" x14ac:dyDescent="0.3">
      <c r="R466" s="4"/>
      <c r="S466" s="4"/>
    </row>
    <row r="467" spans="18:19" ht="14.25" customHeight="1" x14ac:dyDescent="0.3">
      <c r="R467" s="4"/>
      <c r="S467" s="4"/>
    </row>
    <row r="468" spans="18:19" ht="14.25" customHeight="1" x14ac:dyDescent="0.3">
      <c r="R468" s="4"/>
      <c r="S468" s="4"/>
    </row>
    <row r="469" spans="18:19" ht="14.25" customHeight="1" x14ac:dyDescent="0.3">
      <c r="R469" s="4"/>
      <c r="S469" s="4"/>
    </row>
    <row r="470" spans="18:19" ht="14.25" customHeight="1" x14ac:dyDescent="0.3">
      <c r="R470" s="4"/>
      <c r="S470" s="4"/>
    </row>
    <row r="471" spans="18:19" ht="14.25" customHeight="1" x14ac:dyDescent="0.3">
      <c r="R471" s="4"/>
      <c r="S471" s="4"/>
    </row>
    <row r="472" spans="18:19" ht="14.25" customHeight="1" x14ac:dyDescent="0.3">
      <c r="R472" s="4"/>
      <c r="S472" s="4"/>
    </row>
    <row r="473" spans="18:19" ht="14.25" customHeight="1" x14ac:dyDescent="0.3">
      <c r="R473" s="4"/>
      <c r="S473" s="4"/>
    </row>
    <row r="474" spans="18:19" ht="14.25" customHeight="1" x14ac:dyDescent="0.3">
      <c r="R474" s="4"/>
      <c r="S474" s="4"/>
    </row>
    <row r="475" spans="18:19" ht="14.25" customHeight="1" x14ac:dyDescent="0.3">
      <c r="R475" s="4"/>
      <c r="S475" s="4"/>
    </row>
    <row r="476" spans="18:19" ht="14.25" customHeight="1" x14ac:dyDescent="0.3">
      <c r="R476" s="4"/>
      <c r="S476" s="4"/>
    </row>
    <row r="477" spans="18:19" ht="14.25" customHeight="1" x14ac:dyDescent="0.3">
      <c r="R477" s="4"/>
      <c r="S477" s="4"/>
    </row>
    <row r="478" spans="18:19" ht="14.25" customHeight="1" x14ac:dyDescent="0.3">
      <c r="R478" s="4"/>
      <c r="S478" s="4"/>
    </row>
    <row r="479" spans="18:19" ht="14.25" customHeight="1" x14ac:dyDescent="0.3">
      <c r="R479" s="4"/>
      <c r="S479" s="4"/>
    </row>
    <row r="480" spans="18:19" ht="14.25" customHeight="1" x14ac:dyDescent="0.3">
      <c r="R480" s="4"/>
      <c r="S480" s="4"/>
    </row>
    <row r="481" spans="18:19" ht="14.25" customHeight="1" x14ac:dyDescent="0.3">
      <c r="R481" s="4"/>
      <c r="S481" s="4"/>
    </row>
    <row r="482" spans="18:19" ht="14.25" customHeight="1" x14ac:dyDescent="0.3">
      <c r="R482" s="4"/>
      <c r="S482" s="4"/>
    </row>
    <row r="483" spans="18:19" ht="14.25" customHeight="1" x14ac:dyDescent="0.3">
      <c r="R483" s="4"/>
      <c r="S483" s="4"/>
    </row>
    <row r="484" spans="18:19" ht="14.25" customHeight="1" x14ac:dyDescent="0.3">
      <c r="R484" s="4"/>
      <c r="S484" s="4"/>
    </row>
    <row r="485" spans="18:19" ht="14.25" customHeight="1" x14ac:dyDescent="0.3">
      <c r="R485" s="4"/>
      <c r="S485" s="4"/>
    </row>
    <row r="486" spans="18:19" ht="14.25" customHeight="1" x14ac:dyDescent="0.3">
      <c r="R486" s="4"/>
      <c r="S486" s="4"/>
    </row>
    <row r="487" spans="18:19" ht="14.25" customHeight="1" x14ac:dyDescent="0.3">
      <c r="R487" s="4"/>
      <c r="S487" s="4"/>
    </row>
    <row r="488" spans="18:19" ht="14.25" customHeight="1" x14ac:dyDescent="0.3">
      <c r="R488" s="4"/>
      <c r="S488" s="4"/>
    </row>
    <row r="489" spans="18:19" ht="14.25" customHeight="1" x14ac:dyDescent="0.3">
      <c r="R489" s="4"/>
      <c r="S489" s="4"/>
    </row>
    <row r="490" spans="18:19" ht="14.25" customHeight="1" x14ac:dyDescent="0.3">
      <c r="R490" s="4"/>
      <c r="S490" s="4"/>
    </row>
    <row r="491" spans="18:19" ht="14.25" customHeight="1" x14ac:dyDescent="0.3">
      <c r="R491" s="4"/>
      <c r="S491" s="4"/>
    </row>
    <row r="492" spans="18:19" ht="14.25" customHeight="1" x14ac:dyDescent="0.3">
      <c r="R492" s="4"/>
      <c r="S492" s="4"/>
    </row>
    <row r="493" spans="18:19" ht="14.25" customHeight="1" x14ac:dyDescent="0.3">
      <c r="R493" s="4"/>
      <c r="S493" s="4"/>
    </row>
    <row r="494" spans="18:19" ht="14.25" customHeight="1" x14ac:dyDescent="0.3">
      <c r="R494" s="4"/>
      <c r="S494" s="4"/>
    </row>
    <row r="495" spans="18:19" ht="14.25" customHeight="1" x14ac:dyDescent="0.3">
      <c r="R495" s="4"/>
      <c r="S495" s="4"/>
    </row>
    <row r="496" spans="18:19" ht="14.25" customHeight="1" x14ac:dyDescent="0.3">
      <c r="R496" s="4"/>
      <c r="S496" s="4"/>
    </row>
    <row r="497" spans="18:19" ht="14.25" customHeight="1" x14ac:dyDescent="0.3">
      <c r="R497" s="4"/>
      <c r="S497" s="4"/>
    </row>
    <row r="498" spans="18:19" ht="14.25" customHeight="1" x14ac:dyDescent="0.3">
      <c r="R498" s="4"/>
      <c r="S498" s="4"/>
    </row>
    <row r="499" spans="18:19" ht="14.25" customHeight="1" x14ac:dyDescent="0.3">
      <c r="R499" s="4"/>
      <c r="S499" s="4"/>
    </row>
    <row r="500" spans="18:19" ht="14.25" customHeight="1" x14ac:dyDescent="0.3">
      <c r="R500" s="4"/>
      <c r="S500" s="4"/>
    </row>
    <row r="501" spans="18:19" ht="14.25" customHeight="1" x14ac:dyDescent="0.3">
      <c r="R501" s="4"/>
      <c r="S501" s="4"/>
    </row>
    <row r="502" spans="18:19" ht="14.25" customHeight="1" x14ac:dyDescent="0.3">
      <c r="R502" s="4"/>
      <c r="S502" s="4"/>
    </row>
    <row r="503" spans="18:19" ht="14.25" customHeight="1" x14ac:dyDescent="0.3">
      <c r="R503" s="4"/>
      <c r="S503" s="4"/>
    </row>
    <row r="504" spans="18:19" ht="14.25" customHeight="1" x14ac:dyDescent="0.3">
      <c r="R504" s="4"/>
      <c r="S504" s="4"/>
    </row>
    <row r="505" spans="18:19" ht="14.25" customHeight="1" x14ac:dyDescent="0.3">
      <c r="R505" s="4"/>
      <c r="S505" s="4"/>
    </row>
    <row r="506" spans="18:19" ht="14.25" customHeight="1" x14ac:dyDescent="0.3">
      <c r="R506" s="4"/>
      <c r="S506" s="4"/>
    </row>
    <row r="507" spans="18:19" ht="14.25" customHeight="1" x14ac:dyDescent="0.3">
      <c r="R507" s="4"/>
      <c r="S507" s="4"/>
    </row>
    <row r="508" spans="18:19" ht="14.25" customHeight="1" x14ac:dyDescent="0.3">
      <c r="R508" s="4"/>
      <c r="S508" s="4"/>
    </row>
    <row r="509" spans="18:19" ht="14.25" customHeight="1" x14ac:dyDescent="0.3">
      <c r="R509" s="4"/>
      <c r="S509" s="4"/>
    </row>
    <row r="510" spans="18:19" ht="14.25" customHeight="1" x14ac:dyDescent="0.3">
      <c r="R510" s="4"/>
      <c r="S510" s="4"/>
    </row>
    <row r="511" spans="18:19" ht="14.25" customHeight="1" x14ac:dyDescent="0.3">
      <c r="R511" s="4"/>
      <c r="S511" s="4"/>
    </row>
    <row r="512" spans="18:19" ht="14.25" customHeight="1" x14ac:dyDescent="0.3">
      <c r="R512" s="4"/>
      <c r="S512" s="4"/>
    </row>
    <row r="513" spans="18:19" ht="14.25" customHeight="1" x14ac:dyDescent="0.3">
      <c r="R513" s="4"/>
      <c r="S513" s="4"/>
    </row>
    <row r="514" spans="18:19" ht="14.25" customHeight="1" x14ac:dyDescent="0.3">
      <c r="R514" s="4"/>
      <c r="S514" s="4"/>
    </row>
    <row r="515" spans="18:19" ht="14.25" customHeight="1" x14ac:dyDescent="0.3">
      <c r="R515" s="4"/>
      <c r="S515" s="4"/>
    </row>
    <row r="516" spans="18:19" ht="14.25" customHeight="1" x14ac:dyDescent="0.3">
      <c r="R516" s="4"/>
      <c r="S516" s="4"/>
    </row>
    <row r="517" spans="18:19" ht="14.25" customHeight="1" x14ac:dyDescent="0.3">
      <c r="R517" s="4"/>
      <c r="S517" s="4"/>
    </row>
    <row r="518" spans="18:19" ht="14.25" customHeight="1" x14ac:dyDescent="0.3">
      <c r="R518" s="4"/>
      <c r="S518" s="4"/>
    </row>
    <row r="519" spans="18:19" ht="14.25" customHeight="1" x14ac:dyDescent="0.3">
      <c r="R519" s="4"/>
      <c r="S519" s="4"/>
    </row>
    <row r="520" spans="18:19" ht="14.25" customHeight="1" x14ac:dyDescent="0.3">
      <c r="R520" s="4"/>
      <c r="S520" s="4"/>
    </row>
    <row r="521" spans="18:19" ht="14.25" customHeight="1" x14ac:dyDescent="0.3">
      <c r="R521" s="4"/>
      <c r="S521" s="4"/>
    </row>
    <row r="522" spans="18:19" ht="14.25" customHeight="1" x14ac:dyDescent="0.3">
      <c r="R522" s="4"/>
      <c r="S522" s="4"/>
    </row>
    <row r="523" spans="18:19" ht="14.25" customHeight="1" x14ac:dyDescent="0.3">
      <c r="R523" s="4"/>
      <c r="S523" s="4"/>
    </row>
    <row r="524" spans="18:19" ht="14.25" customHeight="1" x14ac:dyDescent="0.3">
      <c r="R524" s="4"/>
      <c r="S524" s="4"/>
    </row>
    <row r="525" spans="18:19" ht="14.25" customHeight="1" x14ac:dyDescent="0.3">
      <c r="R525" s="4"/>
      <c r="S525" s="4"/>
    </row>
    <row r="526" spans="18:19" ht="14.25" customHeight="1" x14ac:dyDescent="0.3">
      <c r="R526" s="4"/>
      <c r="S526" s="4"/>
    </row>
    <row r="527" spans="18:19" ht="14.25" customHeight="1" x14ac:dyDescent="0.3">
      <c r="R527" s="4"/>
      <c r="S527" s="4"/>
    </row>
    <row r="528" spans="18:19" ht="14.25" customHeight="1" x14ac:dyDescent="0.3">
      <c r="R528" s="4"/>
      <c r="S528" s="4"/>
    </row>
    <row r="529" spans="18:19" ht="14.25" customHeight="1" x14ac:dyDescent="0.3">
      <c r="R529" s="4"/>
      <c r="S529" s="4"/>
    </row>
    <row r="530" spans="18:19" ht="14.25" customHeight="1" x14ac:dyDescent="0.3">
      <c r="R530" s="4"/>
      <c r="S530" s="4"/>
    </row>
    <row r="531" spans="18:19" ht="14.25" customHeight="1" x14ac:dyDescent="0.3">
      <c r="R531" s="4"/>
      <c r="S531" s="4"/>
    </row>
    <row r="532" spans="18:19" ht="14.25" customHeight="1" x14ac:dyDescent="0.3">
      <c r="R532" s="4"/>
      <c r="S532" s="4"/>
    </row>
    <row r="533" spans="18:19" ht="14.25" customHeight="1" x14ac:dyDescent="0.3">
      <c r="R533" s="4"/>
      <c r="S533" s="4"/>
    </row>
    <row r="534" spans="18:19" ht="14.25" customHeight="1" x14ac:dyDescent="0.3">
      <c r="R534" s="4"/>
      <c r="S534" s="4"/>
    </row>
    <row r="535" spans="18:19" ht="14.25" customHeight="1" x14ac:dyDescent="0.3">
      <c r="R535" s="4"/>
      <c r="S535" s="4"/>
    </row>
    <row r="536" spans="18:19" ht="14.25" customHeight="1" x14ac:dyDescent="0.3">
      <c r="R536" s="4"/>
      <c r="S536" s="4"/>
    </row>
    <row r="537" spans="18:19" ht="14.25" customHeight="1" x14ac:dyDescent="0.3">
      <c r="R537" s="4"/>
      <c r="S537" s="4"/>
    </row>
    <row r="538" spans="18:19" ht="14.25" customHeight="1" x14ac:dyDescent="0.3">
      <c r="R538" s="4"/>
      <c r="S538" s="4"/>
    </row>
    <row r="539" spans="18:19" ht="14.25" customHeight="1" x14ac:dyDescent="0.3">
      <c r="R539" s="4"/>
      <c r="S539" s="4"/>
    </row>
    <row r="540" spans="18:19" ht="14.25" customHeight="1" x14ac:dyDescent="0.3">
      <c r="R540" s="4"/>
      <c r="S540" s="4"/>
    </row>
    <row r="541" spans="18:19" ht="14.25" customHeight="1" x14ac:dyDescent="0.3">
      <c r="R541" s="4"/>
      <c r="S541" s="4"/>
    </row>
    <row r="542" spans="18:19" ht="14.25" customHeight="1" x14ac:dyDescent="0.3">
      <c r="R542" s="4"/>
      <c r="S542" s="4"/>
    </row>
    <row r="543" spans="18:19" ht="14.25" customHeight="1" x14ac:dyDescent="0.3">
      <c r="R543" s="4"/>
      <c r="S543" s="4"/>
    </row>
    <row r="544" spans="18:19" ht="14.25" customHeight="1" x14ac:dyDescent="0.3">
      <c r="R544" s="4"/>
      <c r="S544" s="4"/>
    </row>
    <row r="545" spans="18:19" ht="14.25" customHeight="1" x14ac:dyDescent="0.3">
      <c r="R545" s="4"/>
      <c r="S545" s="4"/>
    </row>
    <row r="546" spans="18:19" ht="14.25" customHeight="1" x14ac:dyDescent="0.3">
      <c r="R546" s="4"/>
      <c r="S546" s="4"/>
    </row>
    <row r="547" spans="18:19" ht="14.25" customHeight="1" x14ac:dyDescent="0.3">
      <c r="R547" s="4"/>
      <c r="S547" s="4"/>
    </row>
    <row r="548" spans="18:19" ht="14.25" customHeight="1" x14ac:dyDescent="0.3">
      <c r="R548" s="4"/>
      <c r="S548" s="4"/>
    </row>
    <row r="549" spans="18:19" ht="14.25" customHeight="1" x14ac:dyDescent="0.3">
      <c r="R549" s="4"/>
      <c r="S549" s="4"/>
    </row>
    <row r="550" spans="18:19" ht="14.25" customHeight="1" x14ac:dyDescent="0.3">
      <c r="R550" s="4"/>
      <c r="S550" s="4"/>
    </row>
    <row r="551" spans="18:19" ht="14.25" customHeight="1" x14ac:dyDescent="0.3">
      <c r="R551" s="4"/>
      <c r="S551" s="4"/>
    </row>
    <row r="552" spans="18:19" ht="14.25" customHeight="1" x14ac:dyDescent="0.3">
      <c r="R552" s="4"/>
      <c r="S552" s="4"/>
    </row>
    <row r="553" spans="18:19" ht="14.25" customHeight="1" x14ac:dyDescent="0.3">
      <c r="R553" s="4"/>
      <c r="S553" s="4"/>
    </row>
    <row r="554" spans="18:19" ht="14.25" customHeight="1" x14ac:dyDescent="0.3">
      <c r="R554" s="4"/>
      <c r="S554" s="4"/>
    </row>
    <row r="555" spans="18:19" ht="14.25" customHeight="1" x14ac:dyDescent="0.3">
      <c r="R555" s="4"/>
      <c r="S555" s="4"/>
    </row>
    <row r="556" spans="18:19" ht="14.25" customHeight="1" x14ac:dyDescent="0.3">
      <c r="R556" s="4"/>
      <c r="S556" s="4"/>
    </row>
    <row r="557" spans="18:19" ht="14.25" customHeight="1" x14ac:dyDescent="0.3">
      <c r="R557" s="4"/>
      <c r="S557" s="4"/>
    </row>
    <row r="558" spans="18:19" ht="14.25" customHeight="1" x14ac:dyDescent="0.3">
      <c r="R558" s="4"/>
      <c r="S558" s="4"/>
    </row>
    <row r="559" spans="18:19" ht="14.25" customHeight="1" x14ac:dyDescent="0.3">
      <c r="R559" s="4"/>
      <c r="S559" s="4"/>
    </row>
    <row r="560" spans="18:19" ht="14.25" customHeight="1" x14ac:dyDescent="0.3">
      <c r="R560" s="4"/>
      <c r="S560" s="4"/>
    </row>
    <row r="561" spans="18:19" ht="14.25" customHeight="1" x14ac:dyDescent="0.3">
      <c r="R561" s="4"/>
      <c r="S561" s="4"/>
    </row>
    <row r="562" spans="18:19" ht="14.25" customHeight="1" x14ac:dyDescent="0.3">
      <c r="R562" s="4"/>
      <c r="S562" s="4"/>
    </row>
    <row r="563" spans="18:19" ht="14.25" customHeight="1" x14ac:dyDescent="0.3">
      <c r="R563" s="4"/>
      <c r="S563" s="4"/>
    </row>
    <row r="564" spans="18:19" ht="14.25" customHeight="1" x14ac:dyDescent="0.3">
      <c r="R564" s="4"/>
      <c r="S564" s="4"/>
    </row>
    <row r="565" spans="18:19" ht="14.25" customHeight="1" x14ac:dyDescent="0.3">
      <c r="R565" s="4"/>
      <c r="S565" s="4"/>
    </row>
    <row r="566" spans="18:19" ht="14.25" customHeight="1" x14ac:dyDescent="0.3">
      <c r="R566" s="4"/>
      <c r="S566" s="4"/>
    </row>
    <row r="567" spans="18:19" ht="14.25" customHeight="1" x14ac:dyDescent="0.3">
      <c r="R567" s="4"/>
      <c r="S567" s="4"/>
    </row>
    <row r="568" spans="18:19" ht="14.25" customHeight="1" x14ac:dyDescent="0.3">
      <c r="R568" s="4"/>
      <c r="S568" s="4"/>
    </row>
    <row r="569" spans="18:19" ht="14.25" customHeight="1" x14ac:dyDescent="0.3">
      <c r="R569" s="4"/>
      <c r="S569" s="4"/>
    </row>
    <row r="570" spans="18:19" ht="14.25" customHeight="1" x14ac:dyDescent="0.3">
      <c r="R570" s="4"/>
      <c r="S570" s="4"/>
    </row>
    <row r="571" spans="18:19" ht="14.25" customHeight="1" x14ac:dyDescent="0.3">
      <c r="R571" s="4"/>
      <c r="S571" s="4"/>
    </row>
    <row r="572" spans="18:19" ht="14.25" customHeight="1" x14ac:dyDescent="0.3">
      <c r="R572" s="4"/>
      <c r="S572" s="4"/>
    </row>
    <row r="573" spans="18:19" ht="14.25" customHeight="1" x14ac:dyDescent="0.3">
      <c r="R573" s="4"/>
      <c r="S573" s="4"/>
    </row>
    <row r="574" spans="18:19" ht="14.25" customHeight="1" x14ac:dyDescent="0.3">
      <c r="R574" s="4"/>
      <c r="S574" s="4"/>
    </row>
    <row r="575" spans="18:19" ht="14.25" customHeight="1" x14ac:dyDescent="0.3">
      <c r="R575" s="4"/>
      <c r="S575" s="4"/>
    </row>
    <row r="576" spans="18:19" ht="14.25" customHeight="1" x14ac:dyDescent="0.3">
      <c r="R576" s="4"/>
      <c r="S576" s="4"/>
    </row>
    <row r="577" spans="18:19" ht="14.25" customHeight="1" x14ac:dyDescent="0.3">
      <c r="R577" s="4"/>
      <c r="S577" s="4"/>
    </row>
    <row r="578" spans="18:19" ht="14.25" customHeight="1" x14ac:dyDescent="0.3">
      <c r="R578" s="4"/>
      <c r="S578" s="4"/>
    </row>
    <row r="579" spans="18:19" ht="14.25" customHeight="1" x14ac:dyDescent="0.3">
      <c r="R579" s="4"/>
      <c r="S579" s="4"/>
    </row>
    <row r="580" spans="18:19" ht="14.25" customHeight="1" x14ac:dyDescent="0.3">
      <c r="R580" s="4"/>
      <c r="S580" s="4"/>
    </row>
    <row r="581" spans="18:19" ht="14.25" customHeight="1" x14ac:dyDescent="0.3">
      <c r="R581" s="4"/>
      <c r="S581" s="4"/>
    </row>
    <row r="582" spans="18:19" ht="14.25" customHeight="1" x14ac:dyDescent="0.3">
      <c r="R582" s="4"/>
      <c r="S582" s="4"/>
    </row>
    <row r="583" spans="18:19" ht="14.25" customHeight="1" x14ac:dyDescent="0.3">
      <c r="R583" s="4"/>
      <c r="S583" s="4"/>
    </row>
    <row r="584" spans="18:19" ht="14.25" customHeight="1" x14ac:dyDescent="0.3">
      <c r="R584" s="4"/>
      <c r="S584" s="4"/>
    </row>
    <row r="585" spans="18:19" ht="14.25" customHeight="1" x14ac:dyDescent="0.3">
      <c r="R585" s="4"/>
      <c r="S585" s="4"/>
    </row>
    <row r="586" spans="18:19" ht="14.25" customHeight="1" x14ac:dyDescent="0.3">
      <c r="R586" s="4"/>
      <c r="S586" s="4"/>
    </row>
    <row r="587" spans="18:19" ht="14.25" customHeight="1" x14ac:dyDescent="0.3">
      <c r="R587" s="4"/>
      <c r="S587" s="4"/>
    </row>
    <row r="588" spans="18:19" ht="14.25" customHeight="1" x14ac:dyDescent="0.3">
      <c r="R588" s="4"/>
      <c r="S588" s="4"/>
    </row>
    <row r="589" spans="18:19" ht="14.25" customHeight="1" x14ac:dyDescent="0.3">
      <c r="R589" s="4"/>
      <c r="S589" s="4"/>
    </row>
    <row r="590" spans="18:19" ht="14.25" customHeight="1" x14ac:dyDescent="0.3">
      <c r="R590" s="4"/>
      <c r="S590" s="4"/>
    </row>
    <row r="591" spans="18:19" ht="14.25" customHeight="1" x14ac:dyDescent="0.3">
      <c r="R591" s="4"/>
      <c r="S591" s="4"/>
    </row>
    <row r="592" spans="18:19" ht="14.25" customHeight="1" x14ac:dyDescent="0.3">
      <c r="R592" s="4"/>
      <c r="S592" s="4"/>
    </row>
    <row r="593" spans="18:19" ht="14.25" customHeight="1" x14ac:dyDescent="0.3">
      <c r="R593" s="4"/>
      <c r="S593" s="4"/>
    </row>
    <row r="594" spans="18:19" ht="14.25" customHeight="1" x14ac:dyDescent="0.3">
      <c r="R594" s="4"/>
      <c r="S594" s="4"/>
    </row>
    <row r="595" spans="18:19" ht="14.25" customHeight="1" x14ac:dyDescent="0.3">
      <c r="R595" s="4"/>
      <c r="S595" s="4"/>
    </row>
    <row r="596" spans="18:19" ht="14.25" customHeight="1" x14ac:dyDescent="0.3">
      <c r="R596" s="4"/>
      <c r="S596" s="4"/>
    </row>
    <row r="597" spans="18:19" ht="14.25" customHeight="1" x14ac:dyDescent="0.3">
      <c r="R597" s="4"/>
      <c r="S597" s="4"/>
    </row>
    <row r="598" spans="18:19" ht="14.25" customHeight="1" x14ac:dyDescent="0.3">
      <c r="R598" s="4"/>
      <c r="S598" s="4"/>
    </row>
    <row r="599" spans="18:19" ht="14.25" customHeight="1" x14ac:dyDescent="0.3">
      <c r="R599" s="4"/>
      <c r="S599" s="4"/>
    </row>
    <row r="600" spans="18:19" ht="14.25" customHeight="1" x14ac:dyDescent="0.3">
      <c r="R600" s="4"/>
      <c r="S600" s="4"/>
    </row>
    <row r="601" spans="18:19" ht="14.25" customHeight="1" x14ac:dyDescent="0.3">
      <c r="R601" s="4"/>
      <c r="S601" s="4"/>
    </row>
    <row r="602" spans="18:19" ht="14.25" customHeight="1" x14ac:dyDescent="0.3">
      <c r="R602" s="4"/>
      <c r="S602" s="4"/>
    </row>
    <row r="603" spans="18:19" ht="14.25" customHeight="1" x14ac:dyDescent="0.3">
      <c r="R603" s="4"/>
      <c r="S603" s="4"/>
    </row>
    <row r="604" spans="18:19" ht="14.25" customHeight="1" x14ac:dyDescent="0.3">
      <c r="R604" s="4"/>
      <c r="S604" s="4"/>
    </row>
    <row r="605" spans="18:19" ht="14.25" customHeight="1" x14ac:dyDescent="0.3">
      <c r="R605" s="4"/>
      <c r="S605" s="4"/>
    </row>
    <row r="606" spans="18:19" ht="14.25" customHeight="1" x14ac:dyDescent="0.3">
      <c r="R606" s="4"/>
      <c r="S606" s="4"/>
    </row>
    <row r="607" spans="18:19" ht="14.25" customHeight="1" x14ac:dyDescent="0.3">
      <c r="R607" s="4"/>
      <c r="S607" s="4"/>
    </row>
    <row r="608" spans="18:19" ht="14.25" customHeight="1" x14ac:dyDescent="0.3">
      <c r="R608" s="4"/>
      <c r="S608" s="4"/>
    </row>
    <row r="609" spans="18:19" ht="14.25" customHeight="1" x14ac:dyDescent="0.3">
      <c r="R609" s="4"/>
      <c r="S609" s="4"/>
    </row>
    <row r="610" spans="18:19" ht="14.25" customHeight="1" x14ac:dyDescent="0.3">
      <c r="R610" s="4"/>
      <c r="S610" s="4"/>
    </row>
    <row r="611" spans="18:19" ht="14.25" customHeight="1" x14ac:dyDescent="0.3">
      <c r="R611" s="4"/>
      <c r="S611" s="4"/>
    </row>
    <row r="612" spans="18:19" ht="14.25" customHeight="1" x14ac:dyDescent="0.3">
      <c r="R612" s="4"/>
      <c r="S612" s="4"/>
    </row>
    <row r="613" spans="18:19" ht="14.25" customHeight="1" x14ac:dyDescent="0.3">
      <c r="R613" s="4"/>
      <c r="S613" s="4"/>
    </row>
    <row r="614" spans="18:19" ht="14.25" customHeight="1" x14ac:dyDescent="0.3">
      <c r="R614" s="4"/>
      <c r="S614" s="4"/>
    </row>
    <row r="615" spans="18:19" ht="14.25" customHeight="1" x14ac:dyDescent="0.3">
      <c r="R615" s="4"/>
      <c r="S615" s="4"/>
    </row>
    <row r="616" spans="18:19" ht="14.25" customHeight="1" x14ac:dyDescent="0.3">
      <c r="R616" s="4"/>
      <c r="S616" s="4"/>
    </row>
    <row r="617" spans="18:19" ht="14.25" customHeight="1" x14ac:dyDescent="0.3">
      <c r="R617" s="4"/>
      <c r="S617" s="4"/>
    </row>
    <row r="618" spans="18:19" ht="14.25" customHeight="1" x14ac:dyDescent="0.3">
      <c r="R618" s="4"/>
      <c r="S618" s="4"/>
    </row>
    <row r="619" spans="18:19" ht="14.25" customHeight="1" x14ac:dyDescent="0.3">
      <c r="R619" s="4"/>
      <c r="S619" s="4"/>
    </row>
    <row r="620" spans="18:19" ht="14.25" customHeight="1" x14ac:dyDescent="0.3">
      <c r="R620" s="4"/>
      <c r="S620" s="4"/>
    </row>
    <row r="621" spans="18:19" ht="14.25" customHeight="1" x14ac:dyDescent="0.3">
      <c r="R621" s="4"/>
      <c r="S621" s="4"/>
    </row>
    <row r="622" spans="18:19" ht="14.25" customHeight="1" x14ac:dyDescent="0.3">
      <c r="R622" s="4"/>
      <c r="S622" s="4"/>
    </row>
    <row r="623" spans="18:19" ht="14.25" customHeight="1" x14ac:dyDescent="0.3">
      <c r="R623" s="4"/>
      <c r="S623" s="4"/>
    </row>
    <row r="624" spans="18:19" ht="14.25" customHeight="1" x14ac:dyDescent="0.3">
      <c r="R624" s="4"/>
      <c r="S624" s="4"/>
    </row>
    <row r="625" spans="18:19" ht="14.25" customHeight="1" x14ac:dyDescent="0.3">
      <c r="R625" s="4"/>
      <c r="S625" s="4"/>
    </row>
    <row r="626" spans="18:19" ht="14.25" customHeight="1" x14ac:dyDescent="0.3">
      <c r="R626" s="4"/>
      <c r="S626" s="4"/>
    </row>
    <row r="627" spans="18:19" ht="14.25" customHeight="1" x14ac:dyDescent="0.3">
      <c r="R627" s="4"/>
      <c r="S627" s="4"/>
    </row>
    <row r="628" spans="18:19" ht="14.25" customHeight="1" x14ac:dyDescent="0.3">
      <c r="R628" s="4"/>
      <c r="S628" s="4"/>
    </row>
    <row r="629" spans="18:19" ht="14.25" customHeight="1" x14ac:dyDescent="0.3">
      <c r="R629" s="4"/>
      <c r="S629" s="4"/>
    </row>
    <row r="630" spans="18:19" ht="14.25" customHeight="1" x14ac:dyDescent="0.3">
      <c r="R630" s="4"/>
      <c r="S630" s="4"/>
    </row>
    <row r="631" spans="18:19" ht="14.25" customHeight="1" x14ac:dyDescent="0.3">
      <c r="R631" s="4"/>
      <c r="S631" s="4"/>
    </row>
    <row r="632" spans="18:19" ht="14.25" customHeight="1" x14ac:dyDescent="0.3">
      <c r="R632" s="4"/>
      <c r="S632" s="4"/>
    </row>
    <row r="633" spans="18:19" ht="14.25" customHeight="1" x14ac:dyDescent="0.3">
      <c r="R633" s="4"/>
      <c r="S633" s="4"/>
    </row>
    <row r="634" spans="18:19" ht="14.25" customHeight="1" x14ac:dyDescent="0.3">
      <c r="R634" s="4"/>
      <c r="S634" s="4"/>
    </row>
    <row r="635" spans="18:19" ht="14.25" customHeight="1" x14ac:dyDescent="0.3">
      <c r="R635" s="4"/>
      <c r="S635" s="4"/>
    </row>
    <row r="636" spans="18:19" ht="14.25" customHeight="1" x14ac:dyDescent="0.3">
      <c r="R636" s="4"/>
      <c r="S636" s="4"/>
    </row>
    <row r="637" spans="18:19" ht="14.25" customHeight="1" x14ac:dyDescent="0.3">
      <c r="R637" s="4"/>
      <c r="S637" s="4"/>
    </row>
    <row r="638" spans="18:19" ht="14.25" customHeight="1" x14ac:dyDescent="0.3">
      <c r="R638" s="4"/>
      <c r="S638" s="4"/>
    </row>
    <row r="639" spans="18:19" ht="14.25" customHeight="1" x14ac:dyDescent="0.3">
      <c r="R639" s="4"/>
      <c r="S639" s="4"/>
    </row>
    <row r="640" spans="18:19" ht="14.25" customHeight="1" x14ac:dyDescent="0.3">
      <c r="R640" s="4"/>
      <c r="S640" s="4"/>
    </row>
    <row r="641" spans="18:19" ht="14.25" customHeight="1" x14ac:dyDescent="0.3">
      <c r="R641" s="4"/>
      <c r="S641" s="4"/>
    </row>
    <row r="642" spans="18:19" ht="14.25" customHeight="1" x14ac:dyDescent="0.3">
      <c r="R642" s="4"/>
      <c r="S642" s="4"/>
    </row>
    <row r="643" spans="18:19" ht="14.25" customHeight="1" x14ac:dyDescent="0.3">
      <c r="R643" s="4"/>
      <c r="S643" s="4"/>
    </row>
    <row r="644" spans="18:19" ht="14.25" customHeight="1" x14ac:dyDescent="0.3">
      <c r="R644" s="4"/>
      <c r="S644" s="4"/>
    </row>
    <row r="645" spans="18:19" ht="14.25" customHeight="1" x14ac:dyDescent="0.3">
      <c r="R645" s="4"/>
      <c r="S645" s="4"/>
    </row>
    <row r="646" spans="18:19" ht="14.25" customHeight="1" x14ac:dyDescent="0.3">
      <c r="R646" s="4"/>
      <c r="S646" s="4"/>
    </row>
    <row r="647" spans="18:19" ht="14.25" customHeight="1" x14ac:dyDescent="0.3">
      <c r="R647" s="4"/>
      <c r="S647" s="4"/>
    </row>
    <row r="648" spans="18:19" ht="14.25" customHeight="1" x14ac:dyDescent="0.3">
      <c r="R648" s="4"/>
      <c r="S648" s="4"/>
    </row>
    <row r="649" spans="18:19" ht="14.25" customHeight="1" x14ac:dyDescent="0.3">
      <c r="R649" s="4"/>
      <c r="S649" s="4"/>
    </row>
    <row r="650" spans="18:19" ht="14.25" customHeight="1" x14ac:dyDescent="0.3">
      <c r="R650" s="4"/>
      <c r="S650" s="4"/>
    </row>
    <row r="651" spans="18:19" ht="14.25" customHeight="1" x14ac:dyDescent="0.3">
      <c r="R651" s="4"/>
      <c r="S651" s="4"/>
    </row>
    <row r="652" spans="18:19" ht="14.25" customHeight="1" x14ac:dyDescent="0.3">
      <c r="R652" s="4"/>
      <c r="S652" s="4"/>
    </row>
    <row r="653" spans="18:19" ht="14.25" customHeight="1" x14ac:dyDescent="0.3">
      <c r="R653" s="4"/>
      <c r="S653" s="4"/>
    </row>
    <row r="654" spans="18:19" ht="14.25" customHeight="1" x14ac:dyDescent="0.3">
      <c r="R654" s="4"/>
      <c r="S654" s="4"/>
    </row>
    <row r="655" spans="18:19" ht="14.25" customHeight="1" x14ac:dyDescent="0.3">
      <c r="R655" s="4"/>
      <c r="S655" s="4"/>
    </row>
    <row r="656" spans="18:19" ht="14.25" customHeight="1" x14ac:dyDescent="0.3">
      <c r="R656" s="4"/>
      <c r="S656" s="4"/>
    </row>
    <row r="657" spans="18:19" ht="14.25" customHeight="1" x14ac:dyDescent="0.3">
      <c r="R657" s="4"/>
      <c r="S657" s="4"/>
    </row>
    <row r="658" spans="18:19" ht="14.25" customHeight="1" x14ac:dyDescent="0.3">
      <c r="R658" s="4"/>
      <c r="S658" s="4"/>
    </row>
    <row r="659" spans="18:19" ht="14.25" customHeight="1" x14ac:dyDescent="0.3">
      <c r="R659" s="4"/>
      <c r="S659" s="4"/>
    </row>
    <row r="660" spans="18:19" ht="14.25" customHeight="1" x14ac:dyDescent="0.3">
      <c r="R660" s="4"/>
      <c r="S660" s="4"/>
    </row>
    <row r="661" spans="18:19" ht="14.25" customHeight="1" x14ac:dyDescent="0.3">
      <c r="R661" s="4"/>
      <c r="S661" s="4"/>
    </row>
    <row r="662" spans="18:19" ht="14.25" customHeight="1" x14ac:dyDescent="0.3">
      <c r="R662" s="4"/>
      <c r="S662" s="4"/>
    </row>
    <row r="663" spans="18:19" ht="14.25" customHeight="1" x14ac:dyDescent="0.3">
      <c r="R663" s="4"/>
      <c r="S663" s="4"/>
    </row>
    <row r="664" spans="18:19" ht="14.25" customHeight="1" x14ac:dyDescent="0.3">
      <c r="R664" s="4"/>
      <c r="S664" s="4"/>
    </row>
    <row r="665" spans="18:19" ht="14.25" customHeight="1" x14ac:dyDescent="0.3">
      <c r="R665" s="4"/>
      <c r="S665" s="4"/>
    </row>
    <row r="666" spans="18:19" ht="14.25" customHeight="1" x14ac:dyDescent="0.3">
      <c r="R666" s="4"/>
      <c r="S666" s="4"/>
    </row>
    <row r="667" spans="18:19" ht="14.25" customHeight="1" x14ac:dyDescent="0.3">
      <c r="R667" s="4"/>
      <c r="S667" s="4"/>
    </row>
    <row r="668" spans="18:19" ht="14.25" customHeight="1" x14ac:dyDescent="0.3">
      <c r="R668" s="4"/>
      <c r="S668" s="4"/>
    </row>
    <row r="669" spans="18:19" ht="14.25" customHeight="1" x14ac:dyDescent="0.3">
      <c r="R669" s="4"/>
      <c r="S669" s="4"/>
    </row>
    <row r="670" spans="18:19" ht="14.25" customHeight="1" x14ac:dyDescent="0.3">
      <c r="R670" s="4"/>
      <c r="S670" s="4"/>
    </row>
    <row r="671" spans="18:19" ht="14.25" customHeight="1" x14ac:dyDescent="0.3">
      <c r="R671" s="4"/>
      <c r="S671" s="4"/>
    </row>
    <row r="672" spans="18:19" ht="14.25" customHeight="1" x14ac:dyDescent="0.3">
      <c r="R672" s="4"/>
      <c r="S672" s="4"/>
    </row>
    <row r="673" spans="18:19" ht="14.25" customHeight="1" x14ac:dyDescent="0.3">
      <c r="R673" s="4"/>
      <c r="S673" s="4"/>
    </row>
    <row r="674" spans="18:19" ht="14.25" customHeight="1" x14ac:dyDescent="0.3">
      <c r="R674" s="4"/>
      <c r="S674" s="4"/>
    </row>
    <row r="675" spans="18:19" ht="14.25" customHeight="1" x14ac:dyDescent="0.3">
      <c r="R675" s="4"/>
      <c r="S675" s="4"/>
    </row>
    <row r="676" spans="18:19" ht="14.25" customHeight="1" x14ac:dyDescent="0.3">
      <c r="R676" s="4"/>
      <c r="S676" s="4"/>
    </row>
    <row r="677" spans="18:19" ht="14.25" customHeight="1" x14ac:dyDescent="0.3">
      <c r="R677" s="4"/>
      <c r="S677" s="4"/>
    </row>
    <row r="678" spans="18:19" ht="14.25" customHeight="1" x14ac:dyDescent="0.3">
      <c r="R678" s="4"/>
      <c r="S678" s="4"/>
    </row>
    <row r="679" spans="18:19" ht="14.25" customHeight="1" x14ac:dyDescent="0.3">
      <c r="R679" s="4"/>
      <c r="S679" s="4"/>
    </row>
    <row r="680" spans="18:19" ht="14.25" customHeight="1" x14ac:dyDescent="0.3">
      <c r="R680" s="4"/>
      <c r="S680" s="4"/>
    </row>
    <row r="681" spans="18:19" ht="14.25" customHeight="1" x14ac:dyDescent="0.3">
      <c r="R681" s="4"/>
      <c r="S681" s="4"/>
    </row>
    <row r="682" spans="18:19" ht="14.25" customHeight="1" x14ac:dyDescent="0.3">
      <c r="R682" s="4"/>
      <c r="S682" s="4"/>
    </row>
    <row r="683" spans="18:19" ht="14.25" customHeight="1" x14ac:dyDescent="0.3">
      <c r="R683" s="4"/>
      <c r="S683" s="4"/>
    </row>
    <row r="684" spans="18:19" ht="14.25" customHeight="1" x14ac:dyDescent="0.3">
      <c r="R684" s="4"/>
      <c r="S684" s="4"/>
    </row>
    <row r="685" spans="18:19" ht="14.25" customHeight="1" x14ac:dyDescent="0.3">
      <c r="R685" s="4"/>
      <c r="S685" s="4"/>
    </row>
    <row r="686" spans="18:19" ht="14.25" customHeight="1" x14ac:dyDescent="0.3">
      <c r="R686" s="4"/>
      <c r="S686" s="4"/>
    </row>
    <row r="687" spans="18:19" ht="14.25" customHeight="1" x14ac:dyDescent="0.3">
      <c r="R687" s="4"/>
      <c r="S687" s="4"/>
    </row>
    <row r="688" spans="18:19" ht="14.25" customHeight="1" x14ac:dyDescent="0.3">
      <c r="R688" s="4"/>
      <c r="S688" s="4"/>
    </row>
    <row r="689" spans="18:19" ht="14.25" customHeight="1" x14ac:dyDescent="0.3">
      <c r="R689" s="4"/>
      <c r="S689" s="4"/>
    </row>
    <row r="690" spans="18:19" ht="14.25" customHeight="1" x14ac:dyDescent="0.3">
      <c r="R690" s="4"/>
      <c r="S690" s="4"/>
    </row>
    <row r="691" spans="18:19" ht="14.25" customHeight="1" x14ac:dyDescent="0.3">
      <c r="R691" s="4"/>
      <c r="S691" s="4"/>
    </row>
    <row r="692" spans="18:19" ht="14.25" customHeight="1" x14ac:dyDescent="0.3">
      <c r="R692" s="4"/>
      <c r="S692" s="4"/>
    </row>
    <row r="693" spans="18:19" ht="14.25" customHeight="1" x14ac:dyDescent="0.3">
      <c r="R693" s="4"/>
      <c r="S693" s="4"/>
    </row>
    <row r="694" spans="18:19" ht="14.25" customHeight="1" x14ac:dyDescent="0.3">
      <c r="R694" s="4"/>
      <c r="S694" s="4"/>
    </row>
    <row r="695" spans="18:19" ht="14.25" customHeight="1" x14ac:dyDescent="0.3">
      <c r="R695" s="4"/>
      <c r="S695" s="4"/>
    </row>
    <row r="696" spans="18:19" ht="14.25" customHeight="1" x14ac:dyDescent="0.3">
      <c r="R696" s="4"/>
      <c r="S696" s="4"/>
    </row>
    <row r="697" spans="18:19" ht="14.25" customHeight="1" x14ac:dyDescent="0.3">
      <c r="R697" s="4"/>
      <c r="S697" s="4"/>
    </row>
    <row r="698" spans="18:19" ht="14.25" customHeight="1" x14ac:dyDescent="0.3">
      <c r="R698" s="4"/>
      <c r="S698" s="4"/>
    </row>
    <row r="699" spans="18:19" ht="14.25" customHeight="1" x14ac:dyDescent="0.3">
      <c r="R699" s="4"/>
      <c r="S699" s="4"/>
    </row>
    <row r="700" spans="18:19" ht="14.25" customHeight="1" x14ac:dyDescent="0.3">
      <c r="R700" s="4"/>
      <c r="S700" s="4"/>
    </row>
    <row r="701" spans="18:19" ht="14.25" customHeight="1" x14ac:dyDescent="0.3">
      <c r="R701" s="4"/>
      <c r="S701" s="4"/>
    </row>
    <row r="702" spans="18:19" ht="14.25" customHeight="1" x14ac:dyDescent="0.3">
      <c r="R702" s="4"/>
      <c r="S702" s="4"/>
    </row>
    <row r="703" spans="18:19" ht="14.25" customHeight="1" x14ac:dyDescent="0.3">
      <c r="R703" s="4"/>
      <c r="S703" s="4"/>
    </row>
    <row r="704" spans="18:19" ht="14.25" customHeight="1" x14ac:dyDescent="0.3">
      <c r="R704" s="4"/>
      <c r="S704" s="4"/>
    </row>
    <row r="705" spans="18:19" ht="14.25" customHeight="1" x14ac:dyDescent="0.3">
      <c r="R705" s="4"/>
      <c r="S705" s="4"/>
    </row>
    <row r="706" spans="18:19" ht="14.25" customHeight="1" x14ac:dyDescent="0.3">
      <c r="R706" s="4"/>
      <c r="S706" s="4"/>
    </row>
    <row r="707" spans="18:19" ht="14.25" customHeight="1" x14ac:dyDescent="0.3">
      <c r="R707" s="4"/>
      <c r="S707" s="4"/>
    </row>
    <row r="708" spans="18:19" ht="14.25" customHeight="1" x14ac:dyDescent="0.3">
      <c r="R708" s="4"/>
      <c r="S708" s="4"/>
    </row>
    <row r="709" spans="18:19" ht="14.25" customHeight="1" x14ac:dyDescent="0.3">
      <c r="R709" s="4"/>
      <c r="S709" s="4"/>
    </row>
    <row r="710" spans="18:19" ht="14.25" customHeight="1" x14ac:dyDescent="0.3">
      <c r="R710" s="4"/>
      <c r="S710" s="4"/>
    </row>
    <row r="711" spans="18:19" ht="14.25" customHeight="1" x14ac:dyDescent="0.3">
      <c r="R711" s="4"/>
      <c r="S711" s="4"/>
    </row>
    <row r="712" spans="18:19" ht="14.25" customHeight="1" x14ac:dyDescent="0.3">
      <c r="R712" s="4"/>
      <c r="S712" s="4"/>
    </row>
    <row r="713" spans="18:19" ht="14.25" customHeight="1" x14ac:dyDescent="0.3">
      <c r="R713" s="4"/>
      <c r="S713" s="4"/>
    </row>
    <row r="714" spans="18:19" ht="14.25" customHeight="1" x14ac:dyDescent="0.3">
      <c r="R714" s="4"/>
      <c r="S714" s="4"/>
    </row>
    <row r="715" spans="18:19" ht="14.25" customHeight="1" x14ac:dyDescent="0.3">
      <c r="R715" s="4"/>
      <c r="S715" s="4"/>
    </row>
    <row r="716" spans="18:19" ht="14.25" customHeight="1" x14ac:dyDescent="0.3">
      <c r="R716" s="4"/>
      <c r="S716" s="4"/>
    </row>
    <row r="717" spans="18:19" ht="14.25" customHeight="1" x14ac:dyDescent="0.3">
      <c r="R717" s="4"/>
      <c r="S717" s="4"/>
    </row>
    <row r="718" spans="18:19" ht="14.25" customHeight="1" x14ac:dyDescent="0.3">
      <c r="R718" s="4"/>
      <c r="S718" s="4"/>
    </row>
    <row r="719" spans="18:19" ht="14.25" customHeight="1" x14ac:dyDescent="0.3">
      <c r="R719" s="4"/>
      <c r="S719" s="4"/>
    </row>
    <row r="720" spans="18:19" ht="14.25" customHeight="1" x14ac:dyDescent="0.3">
      <c r="R720" s="4"/>
      <c r="S720" s="4"/>
    </row>
    <row r="721" spans="18:19" ht="14.25" customHeight="1" x14ac:dyDescent="0.3">
      <c r="R721" s="4"/>
      <c r="S721" s="4"/>
    </row>
    <row r="722" spans="18:19" ht="14.25" customHeight="1" x14ac:dyDescent="0.3">
      <c r="R722" s="4"/>
      <c r="S722" s="4"/>
    </row>
    <row r="723" spans="18:19" ht="14.25" customHeight="1" x14ac:dyDescent="0.3">
      <c r="R723" s="4"/>
      <c r="S723" s="4"/>
    </row>
    <row r="724" spans="18:19" ht="14.25" customHeight="1" x14ac:dyDescent="0.3">
      <c r="R724" s="4"/>
      <c r="S724" s="4"/>
    </row>
    <row r="725" spans="18:19" ht="14.25" customHeight="1" x14ac:dyDescent="0.3">
      <c r="R725" s="4"/>
      <c r="S725" s="4"/>
    </row>
    <row r="726" spans="18:19" ht="14.25" customHeight="1" x14ac:dyDescent="0.3">
      <c r="R726" s="4"/>
      <c r="S726" s="4"/>
    </row>
    <row r="727" spans="18:19" ht="14.25" customHeight="1" x14ac:dyDescent="0.3">
      <c r="R727" s="4"/>
      <c r="S727" s="4"/>
    </row>
    <row r="728" spans="18:19" ht="14.25" customHeight="1" x14ac:dyDescent="0.3">
      <c r="R728" s="4"/>
      <c r="S728" s="4"/>
    </row>
    <row r="729" spans="18:19" ht="14.25" customHeight="1" x14ac:dyDescent="0.3">
      <c r="R729" s="4"/>
      <c r="S729" s="4"/>
    </row>
    <row r="730" spans="18:19" ht="14.25" customHeight="1" x14ac:dyDescent="0.3">
      <c r="R730" s="4"/>
      <c r="S730" s="4"/>
    </row>
    <row r="731" spans="18:19" ht="14.25" customHeight="1" x14ac:dyDescent="0.3">
      <c r="R731" s="4"/>
      <c r="S731" s="4"/>
    </row>
    <row r="732" spans="18:19" ht="14.25" customHeight="1" x14ac:dyDescent="0.3">
      <c r="R732" s="4"/>
      <c r="S732" s="4"/>
    </row>
    <row r="733" spans="18:19" ht="14.25" customHeight="1" x14ac:dyDescent="0.3">
      <c r="R733" s="4"/>
      <c r="S733" s="4"/>
    </row>
    <row r="734" spans="18:19" ht="14.25" customHeight="1" x14ac:dyDescent="0.3">
      <c r="R734" s="4"/>
      <c r="S734" s="4"/>
    </row>
    <row r="735" spans="18:19" ht="14.25" customHeight="1" x14ac:dyDescent="0.3">
      <c r="R735" s="4"/>
      <c r="S735" s="4"/>
    </row>
    <row r="736" spans="18:19" ht="14.25" customHeight="1" x14ac:dyDescent="0.3">
      <c r="R736" s="4"/>
      <c r="S736" s="4"/>
    </row>
    <row r="737" spans="18:19" ht="14.25" customHeight="1" x14ac:dyDescent="0.3">
      <c r="R737" s="4"/>
      <c r="S737" s="4"/>
    </row>
    <row r="738" spans="18:19" ht="14.25" customHeight="1" x14ac:dyDescent="0.3">
      <c r="R738" s="4"/>
      <c r="S738" s="4"/>
    </row>
    <row r="739" spans="18:19" ht="14.25" customHeight="1" x14ac:dyDescent="0.3">
      <c r="R739" s="4"/>
      <c r="S739" s="4"/>
    </row>
    <row r="740" spans="18:19" ht="14.25" customHeight="1" x14ac:dyDescent="0.3">
      <c r="R740" s="4"/>
      <c r="S740" s="4"/>
    </row>
    <row r="741" spans="18:19" ht="14.25" customHeight="1" x14ac:dyDescent="0.3">
      <c r="R741" s="4"/>
      <c r="S741" s="4"/>
    </row>
    <row r="742" spans="18:19" ht="14.25" customHeight="1" x14ac:dyDescent="0.3">
      <c r="R742" s="4"/>
      <c r="S742" s="4"/>
    </row>
    <row r="743" spans="18:19" ht="14.25" customHeight="1" x14ac:dyDescent="0.3">
      <c r="R743" s="4"/>
      <c r="S743" s="4"/>
    </row>
    <row r="744" spans="18:19" ht="14.25" customHeight="1" x14ac:dyDescent="0.3">
      <c r="R744" s="4"/>
      <c r="S744" s="4"/>
    </row>
    <row r="745" spans="18:19" ht="14.25" customHeight="1" x14ac:dyDescent="0.3">
      <c r="R745" s="4"/>
      <c r="S745" s="4"/>
    </row>
    <row r="746" spans="18:19" ht="14.25" customHeight="1" x14ac:dyDescent="0.3">
      <c r="R746" s="4"/>
      <c r="S746" s="4"/>
    </row>
    <row r="747" spans="18:19" ht="14.25" customHeight="1" x14ac:dyDescent="0.3">
      <c r="R747" s="4"/>
      <c r="S747" s="4"/>
    </row>
    <row r="748" spans="18:19" ht="14.25" customHeight="1" x14ac:dyDescent="0.3">
      <c r="R748" s="4"/>
      <c r="S748" s="4"/>
    </row>
    <row r="749" spans="18:19" ht="14.25" customHeight="1" x14ac:dyDescent="0.3">
      <c r="R749" s="4"/>
      <c r="S749" s="4"/>
    </row>
    <row r="750" spans="18:19" ht="14.25" customHeight="1" x14ac:dyDescent="0.3">
      <c r="R750" s="4"/>
      <c r="S750" s="4"/>
    </row>
    <row r="751" spans="18:19" ht="14.25" customHeight="1" x14ac:dyDescent="0.3">
      <c r="R751" s="4"/>
      <c r="S751" s="4"/>
    </row>
    <row r="752" spans="18:19" ht="14.25" customHeight="1" x14ac:dyDescent="0.3">
      <c r="R752" s="4"/>
      <c r="S752" s="4"/>
    </row>
    <row r="753" spans="18:19" ht="14.25" customHeight="1" x14ac:dyDescent="0.3">
      <c r="R753" s="4"/>
      <c r="S753" s="4"/>
    </row>
    <row r="754" spans="18:19" ht="14.25" customHeight="1" x14ac:dyDescent="0.3">
      <c r="R754" s="4"/>
      <c r="S754" s="4"/>
    </row>
    <row r="755" spans="18:19" ht="14.25" customHeight="1" x14ac:dyDescent="0.3">
      <c r="R755" s="4"/>
      <c r="S755" s="4"/>
    </row>
    <row r="756" spans="18:19" ht="14.25" customHeight="1" x14ac:dyDescent="0.3">
      <c r="R756" s="4"/>
      <c r="S756" s="4"/>
    </row>
    <row r="757" spans="18:19" ht="14.25" customHeight="1" x14ac:dyDescent="0.3">
      <c r="R757" s="4"/>
      <c r="S757" s="4"/>
    </row>
    <row r="758" spans="18:19" ht="14.25" customHeight="1" x14ac:dyDescent="0.3">
      <c r="R758" s="4"/>
      <c r="S758" s="4"/>
    </row>
    <row r="759" spans="18:19" ht="14.25" customHeight="1" x14ac:dyDescent="0.3">
      <c r="R759" s="4"/>
      <c r="S759" s="4"/>
    </row>
    <row r="760" spans="18:19" ht="14.25" customHeight="1" x14ac:dyDescent="0.3">
      <c r="R760" s="4"/>
      <c r="S760" s="4"/>
    </row>
    <row r="761" spans="18:19" ht="14.25" customHeight="1" x14ac:dyDescent="0.3">
      <c r="R761" s="4"/>
      <c r="S761" s="4"/>
    </row>
    <row r="762" spans="18:19" ht="14.25" customHeight="1" x14ac:dyDescent="0.3">
      <c r="R762" s="4"/>
      <c r="S762" s="4"/>
    </row>
    <row r="763" spans="18:19" ht="14.25" customHeight="1" x14ac:dyDescent="0.3">
      <c r="R763" s="4"/>
      <c r="S763" s="4"/>
    </row>
    <row r="764" spans="18:19" ht="14.25" customHeight="1" x14ac:dyDescent="0.3">
      <c r="R764" s="4"/>
      <c r="S764" s="4"/>
    </row>
    <row r="765" spans="18:19" ht="14.25" customHeight="1" x14ac:dyDescent="0.3">
      <c r="R765" s="4"/>
      <c r="S765" s="4"/>
    </row>
    <row r="766" spans="18:19" ht="14.25" customHeight="1" x14ac:dyDescent="0.3">
      <c r="R766" s="4"/>
      <c r="S766" s="4"/>
    </row>
    <row r="767" spans="18:19" ht="14.25" customHeight="1" x14ac:dyDescent="0.3">
      <c r="R767" s="4"/>
      <c r="S767" s="4"/>
    </row>
    <row r="768" spans="18:19" ht="14.25" customHeight="1" x14ac:dyDescent="0.3">
      <c r="R768" s="4"/>
      <c r="S768" s="4"/>
    </row>
    <row r="769" spans="18:19" ht="14.25" customHeight="1" x14ac:dyDescent="0.3">
      <c r="R769" s="4"/>
      <c r="S769" s="4"/>
    </row>
    <row r="770" spans="18:19" ht="14.25" customHeight="1" x14ac:dyDescent="0.3">
      <c r="R770" s="4"/>
      <c r="S770" s="4"/>
    </row>
    <row r="771" spans="18:19" ht="14.25" customHeight="1" x14ac:dyDescent="0.3">
      <c r="R771" s="4"/>
      <c r="S771" s="4"/>
    </row>
    <row r="772" spans="18:19" ht="14.25" customHeight="1" x14ac:dyDescent="0.3">
      <c r="R772" s="4"/>
      <c r="S772" s="4"/>
    </row>
    <row r="773" spans="18:19" ht="14.25" customHeight="1" x14ac:dyDescent="0.3">
      <c r="R773" s="4"/>
      <c r="S773" s="4"/>
    </row>
    <row r="774" spans="18:19" ht="14.25" customHeight="1" x14ac:dyDescent="0.3">
      <c r="R774" s="4"/>
      <c r="S774" s="4"/>
    </row>
    <row r="775" spans="18:19" ht="14.25" customHeight="1" x14ac:dyDescent="0.3">
      <c r="R775" s="4"/>
      <c r="S775" s="4"/>
    </row>
    <row r="776" spans="18:19" ht="14.25" customHeight="1" x14ac:dyDescent="0.3">
      <c r="R776" s="4"/>
      <c r="S776" s="4"/>
    </row>
    <row r="777" spans="18:19" ht="14.25" customHeight="1" x14ac:dyDescent="0.3">
      <c r="R777" s="4"/>
      <c r="S777" s="4"/>
    </row>
    <row r="778" spans="18:19" ht="14.25" customHeight="1" x14ac:dyDescent="0.3">
      <c r="R778" s="4"/>
      <c r="S778" s="4"/>
    </row>
    <row r="779" spans="18:19" ht="14.25" customHeight="1" x14ac:dyDescent="0.3">
      <c r="R779" s="4"/>
      <c r="S779" s="4"/>
    </row>
    <row r="780" spans="18:19" ht="14.25" customHeight="1" x14ac:dyDescent="0.3">
      <c r="R780" s="4"/>
      <c r="S780" s="4"/>
    </row>
    <row r="781" spans="18:19" ht="14.25" customHeight="1" x14ac:dyDescent="0.3">
      <c r="R781" s="4"/>
      <c r="S781" s="4"/>
    </row>
    <row r="782" spans="18:19" ht="14.25" customHeight="1" x14ac:dyDescent="0.3">
      <c r="R782" s="4"/>
      <c r="S782" s="4"/>
    </row>
    <row r="783" spans="18:19" ht="14.25" customHeight="1" x14ac:dyDescent="0.3">
      <c r="R783" s="4"/>
      <c r="S783" s="4"/>
    </row>
    <row r="784" spans="18:19" ht="14.25" customHeight="1" x14ac:dyDescent="0.3">
      <c r="R784" s="4"/>
      <c r="S784" s="4"/>
    </row>
    <row r="785" spans="18:19" ht="14.25" customHeight="1" x14ac:dyDescent="0.3">
      <c r="R785" s="4"/>
      <c r="S785" s="4"/>
    </row>
    <row r="786" spans="18:19" ht="14.25" customHeight="1" x14ac:dyDescent="0.3">
      <c r="R786" s="4"/>
      <c r="S786" s="4"/>
    </row>
    <row r="787" spans="18:19" ht="14.25" customHeight="1" x14ac:dyDescent="0.3">
      <c r="R787" s="4"/>
      <c r="S787" s="4"/>
    </row>
    <row r="788" spans="18:19" ht="14.25" customHeight="1" x14ac:dyDescent="0.3">
      <c r="R788" s="4"/>
      <c r="S788" s="4"/>
    </row>
    <row r="789" spans="18:19" ht="14.25" customHeight="1" x14ac:dyDescent="0.3">
      <c r="R789" s="4"/>
      <c r="S789" s="4"/>
    </row>
    <row r="790" spans="18:19" ht="14.25" customHeight="1" x14ac:dyDescent="0.3">
      <c r="R790" s="4"/>
      <c r="S790" s="4"/>
    </row>
    <row r="791" spans="18:19" ht="14.25" customHeight="1" x14ac:dyDescent="0.3">
      <c r="R791" s="4"/>
      <c r="S791" s="4"/>
    </row>
    <row r="792" spans="18:19" ht="14.25" customHeight="1" x14ac:dyDescent="0.3">
      <c r="R792" s="4"/>
      <c r="S792" s="4"/>
    </row>
    <row r="793" spans="18:19" ht="14.25" customHeight="1" x14ac:dyDescent="0.3">
      <c r="R793" s="4"/>
      <c r="S793" s="4"/>
    </row>
    <row r="794" spans="18:19" ht="14.25" customHeight="1" x14ac:dyDescent="0.3">
      <c r="R794" s="4"/>
      <c r="S794" s="4"/>
    </row>
    <row r="795" spans="18:19" ht="14.25" customHeight="1" x14ac:dyDescent="0.3">
      <c r="R795" s="4"/>
      <c r="S795" s="4"/>
    </row>
    <row r="796" spans="18:19" ht="14.25" customHeight="1" x14ac:dyDescent="0.3">
      <c r="R796" s="4"/>
      <c r="S796" s="4"/>
    </row>
    <row r="797" spans="18:19" ht="14.25" customHeight="1" x14ac:dyDescent="0.3">
      <c r="R797" s="4"/>
      <c r="S797" s="4"/>
    </row>
    <row r="798" spans="18:19" ht="14.25" customHeight="1" x14ac:dyDescent="0.3">
      <c r="R798" s="4"/>
      <c r="S798" s="4"/>
    </row>
    <row r="799" spans="18:19" ht="14.25" customHeight="1" x14ac:dyDescent="0.3">
      <c r="R799" s="4"/>
      <c r="S799" s="4"/>
    </row>
    <row r="800" spans="18:19" ht="14.25" customHeight="1" x14ac:dyDescent="0.3">
      <c r="R800" s="4"/>
      <c r="S800" s="4"/>
    </row>
    <row r="801" spans="18:19" ht="14.25" customHeight="1" x14ac:dyDescent="0.3">
      <c r="R801" s="4"/>
      <c r="S801" s="4"/>
    </row>
    <row r="802" spans="18:19" ht="14.25" customHeight="1" x14ac:dyDescent="0.3">
      <c r="R802" s="4"/>
      <c r="S802" s="4"/>
    </row>
    <row r="803" spans="18:19" ht="14.25" customHeight="1" x14ac:dyDescent="0.3">
      <c r="R803" s="4"/>
      <c r="S803" s="4"/>
    </row>
    <row r="804" spans="18:19" ht="14.25" customHeight="1" x14ac:dyDescent="0.3">
      <c r="R804" s="4"/>
      <c r="S804" s="4"/>
    </row>
    <row r="805" spans="18:19" ht="14.25" customHeight="1" x14ac:dyDescent="0.3">
      <c r="R805" s="4"/>
      <c r="S805" s="4"/>
    </row>
    <row r="806" spans="18:19" ht="14.25" customHeight="1" x14ac:dyDescent="0.3">
      <c r="R806" s="4"/>
      <c r="S806" s="4"/>
    </row>
    <row r="807" spans="18:19" ht="14.25" customHeight="1" x14ac:dyDescent="0.3">
      <c r="R807" s="4"/>
      <c r="S807" s="4"/>
    </row>
    <row r="808" spans="18:19" ht="14.25" customHeight="1" x14ac:dyDescent="0.3">
      <c r="R808" s="4"/>
      <c r="S808" s="4"/>
    </row>
    <row r="809" spans="18:19" ht="14.25" customHeight="1" x14ac:dyDescent="0.3">
      <c r="R809" s="4"/>
      <c r="S809" s="4"/>
    </row>
    <row r="810" spans="18:19" ht="14.25" customHeight="1" x14ac:dyDescent="0.3">
      <c r="R810" s="4"/>
      <c r="S810" s="4"/>
    </row>
    <row r="811" spans="18:19" ht="14.25" customHeight="1" x14ac:dyDescent="0.3">
      <c r="R811" s="4"/>
      <c r="S811" s="4"/>
    </row>
    <row r="812" spans="18:19" ht="14.25" customHeight="1" x14ac:dyDescent="0.3">
      <c r="R812" s="4"/>
      <c r="S812" s="4"/>
    </row>
    <row r="813" spans="18:19" ht="14.25" customHeight="1" x14ac:dyDescent="0.3">
      <c r="R813" s="4"/>
      <c r="S813" s="4"/>
    </row>
    <row r="814" spans="18:19" ht="14.25" customHeight="1" x14ac:dyDescent="0.3">
      <c r="R814" s="4"/>
      <c r="S814" s="4"/>
    </row>
    <row r="815" spans="18:19" ht="14.25" customHeight="1" x14ac:dyDescent="0.3">
      <c r="R815" s="4"/>
      <c r="S815" s="4"/>
    </row>
    <row r="816" spans="18:19" ht="14.25" customHeight="1" x14ac:dyDescent="0.3">
      <c r="R816" s="4"/>
      <c r="S816" s="4"/>
    </row>
    <row r="817" spans="18:19" ht="14.25" customHeight="1" x14ac:dyDescent="0.3">
      <c r="R817" s="4"/>
      <c r="S817" s="4"/>
    </row>
    <row r="818" spans="18:19" ht="14.25" customHeight="1" x14ac:dyDescent="0.3">
      <c r="R818" s="4"/>
      <c r="S818" s="4"/>
    </row>
    <row r="819" spans="18:19" ht="14.25" customHeight="1" x14ac:dyDescent="0.3">
      <c r="R819" s="4"/>
      <c r="S819" s="4"/>
    </row>
    <row r="820" spans="18:19" ht="14.25" customHeight="1" x14ac:dyDescent="0.3">
      <c r="R820" s="4"/>
      <c r="S820" s="4"/>
    </row>
    <row r="821" spans="18:19" ht="14.25" customHeight="1" x14ac:dyDescent="0.3">
      <c r="R821" s="4"/>
      <c r="S821" s="4"/>
    </row>
    <row r="822" spans="18:19" ht="14.25" customHeight="1" x14ac:dyDescent="0.3">
      <c r="R822" s="4"/>
      <c r="S822" s="4"/>
    </row>
    <row r="823" spans="18:19" ht="14.25" customHeight="1" x14ac:dyDescent="0.3">
      <c r="R823" s="4"/>
      <c r="S823" s="4"/>
    </row>
    <row r="824" spans="18:19" ht="14.25" customHeight="1" x14ac:dyDescent="0.3">
      <c r="R824" s="4"/>
      <c r="S824" s="4"/>
    </row>
    <row r="825" spans="18:19" ht="14.25" customHeight="1" x14ac:dyDescent="0.3">
      <c r="R825" s="4"/>
      <c r="S825" s="4"/>
    </row>
    <row r="826" spans="18:19" ht="14.25" customHeight="1" x14ac:dyDescent="0.3">
      <c r="R826" s="4"/>
      <c r="S826" s="4"/>
    </row>
    <row r="827" spans="18:19" ht="14.25" customHeight="1" x14ac:dyDescent="0.3">
      <c r="R827" s="4"/>
      <c r="S827" s="4"/>
    </row>
    <row r="828" spans="18:19" ht="14.25" customHeight="1" x14ac:dyDescent="0.3">
      <c r="R828" s="4"/>
      <c r="S828" s="4"/>
    </row>
    <row r="829" spans="18:19" ht="14.25" customHeight="1" x14ac:dyDescent="0.3">
      <c r="R829" s="4"/>
      <c r="S829" s="4"/>
    </row>
    <row r="830" spans="18:19" ht="14.25" customHeight="1" x14ac:dyDescent="0.3">
      <c r="R830" s="4"/>
      <c r="S830" s="4"/>
    </row>
    <row r="831" spans="18:19" ht="14.25" customHeight="1" x14ac:dyDescent="0.3">
      <c r="R831" s="4"/>
      <c r="S831" s="4"/>
    </row>
    <row r="832" spans="18:19" ht="14.25" customHeight="1" x14ac:dyDescent="0.3">
      <c r="R832" s="4"/>
      <c r="S832" s="4"/>
    </row>
    <row r="833" spans="18:19" ht="14.25" customHeight="1" x14ac:dyDescent="0.3">
      <c r="R833" s="4"/>
      <c r="S833" s="4"/>
    </row>
    <row r="834" spans="18:19" ht="14.25" customHeight="1" x14ac:dyDescent="0.3">
      <c r="R834" s="4"/>
      <c r="S834" s="4"/>
    </row>
    <row r="835" spans="18:19" ht="14.25" customHeight="1" x14ac:dyDescent="0.3">
      <c r="R835" s="4"/>
      <c r="S835" s="4"/>
    </row>
    <row r="836" spans="18:19" ht="14.25" customHeight="1" x14ac:dyDescent="0.3">
      <c r="R836" s="4"/>
      <c r="S836" s="4"/>
    </row>
    <row r="837" spans="18:19" ht="14.25" customHeight="1" x14ac:dyDescent="0.3">
      <c r="R837" s="4"/>
      <c r="S837" s="4"/>
    </row>
    <row r="838" spans="18:19" ht="14.25" customHeight="1" x14ac:dyDescent="0.3">
      <c r="R838" s="4"/>
      <c r="S838" s="4"/>
    </row>
    <row r="839" spans="18:19" ht="14.25" customHeight="1" x14ac:dyDescent="0.3">
      <c r="R839" s="4"/>
      <c r="S839" s="4"/>
    </row>
    <row r="840" spans="18:19" ht="14.25" customHeight="1" x14ac:dyDescent="0.3">
      <c r="R840" s="4"/>
      <c r="S840" s="4"/>
    </row>
    <row r="841" spans="18:19" ht="14.25" customHeight="1" x14ac:dyDescent="0.3">
      <c r="R841" s="4"/>
      <c r="S841" s="4"/>
    </row>
    <row r="842" spans="18:19" ht="14.25" customHeight="1" x14ac:dyDescent="0.3">
      <c r="R842" s="4"/>
      <c r="S842" s="4"/>
    </row>
    <row r="843" spans="18:19" ht="14.25" customHeight="1" x14ac:dyDescent="0.3">
      <c r="R843" s="4"/>
      <c r="S843" s="4"/>
    </row>
    <row r="844" spans="18:19" ht="14.25" customHeight="1" x14ac:dyDescent="0.3">
      <c r="R844" s="4"/>
      <c r="S844" s="4"/>
    </row>
    <row r="845" spans="18:19" ht="14.25" customHeight="1" x14ac:dyDescent="0.3">
      <c r="R845" s="4"/>
      <c r="S845" s="4"/>
    </row>
    <row r="846" spans="18:19" ht="14.25" customHeight="1" x14ac:dyDescent="0.3">
      <c r="R846" s="4"/>
      <c r="S846" s="4"/>
    </row>
    <row r="847" spans="18:19" ht="14.25" customHeight="1" x14ac:dyDescent="0.3">
      <c r="R847" s="4"/>
      <c r="S847" s="4"/>
    </row>
    <row r="848" spans="18:19" ht="14.25" customHeight="1" x14ac:dyDescent="0.3">
      <c r="R848" s="4"/>
      <c r="S848" s="4"/>
    </row>
    <row r="849" spans="18:19" ht="14.25" customHeight="1" x14ac:dyDescent="0.3">
      <c r="R849" s="4"/>
      <c r="S849" s="4"/>
    </row>
    <row r="850" spans="18:19" ht="14.25" customHeight="1" x14ac:dyDescent="0.3">
      <c r="R850" s="4"/>
      <c r="S850" s="4"/>
    </row>
    <row r="851" spans="18:19" ht="14.25" customHeight="1" x14ac:dyDescent="0.3">
      <c r="R851" s="4"/>
      <c r="S851" s="4"/>
    </row>
    <row r="852" spans="18:19" ht="14.25" customHeight="1" x14ac:dyDescent="0.3">
      <c r="R852" s="4"/>
      <c r="S852" s="4"/>
    </row>
    <row r="853" spans="18:19" ht="14.25" customHeight="1" x14ac:dyDescent="0.3">
      <c r="R853" s="4"/>
      <c r="S853" s="4"/>
    </row>
    <row r="854" spans="18:19" ht="14.25" customHeight="1" x14ac:dyDescent="0.3">
      <c r="R854" s="4"/>
      <c r="S854" s="4"/>
    </row>
    <row r="855" spans="18:19" ht="14.25" customHeight="1" x14ac:dyDescent="0.3">
      <c r="R855" s="4"/>
      <c r="S855" s="4"/>
    </row>
    <row r="856" spans="18:19" ht="14.25" customHeight="1" x14ac:dyDescent="0.3">
      <c r="R856" s="4"/>
      <c r="S856" s="4"/>
    </row>
    <row r="857" spans="18:19" ht="14.25" customHeight="1" x14ac:dyDescent="0.3">
      <c r="R857" s="4"/>
      <c r="S857" s="4"/>
    </row>
    <row r="858" spans="18:19" ht="14.25" customHeight="1" x14ac:dyDescent="0.3">
      <c r="R858" s="4"/>
      <c r="S858" s="4"/>
    </row>
    <row r="859" spans="18:19" ht="14.25" customHeight="1" x14ac:dyDescent="0.3">
      <c r="R859" s="4"/>
      <c r="S859" s="4"/>
    </row>
    <row r="860" spans="18:19" ht="14.25" customHeight="1" x14ac:dyDescent="0.3">
      <c r="R860" s="4"/>
      <c r="S860" s="4"/>
    </row>
    <row r="861" spans="18:19" ht="14.25" customHeight="1" x14ac:dyDescent="0.3">
      <c r="R861" s="4"/>
      <c r="S861" s="4"/>
    </row>
    <row r="862" spans="18:19" ht="14.25" customHeight="1" x14ac:dyDescent="0.3">
      <c r="R862" s="4"/>
      <c r="S862" s="4"/>
    </row>
    <row r="863" spans="18:19" ht="14.25" customHeight="1" x14ac:dyDescent="0.3">
      <c r="R863" s="4"/>
      <c r="S863" s="4"/>
    </row>
    <row r="864" spans="18:19" ht="14.25" customHeight="1" x14ac:dyDescent="0.3">
      <c r="R864" s="4"/>
      <c r="S864" s="4"/>
    </row>
    <row r="865" spans="18:19" ht="14.25" customHeight="1" x14ac:dyDescent="0.3">
      <c r="R865" s="4"/>
      <c r="S865" s="4"/>
    </row>
    <row r="866" spans="18:19" ht="14.25" customHeight="1" x14ac:dyDescent="0.3">
      <c r="R866" s="4"/>
      <c r="S866" s="4"/>
    </row>
    <row r="867" spans="18:19" ht="14.25" customHeight="1" x14ac:dyDescent="0.3">
      <c r="R867" s="4"/>
      <c r="S867" s="4"/>
    </row>
    <row r="868" spans="18:19" ht="14.25" customHeight="1" x14ac:dyDescent="0.3">
      <c r="R868" s="4"/>
      <c r="S868" s="4"/>
    </row>
    <row r="869" spans="18:19" ht="14.25" customHeight="1" x14ac:dyDescent="0.3">
      <c r="R869" s="4"/>
      <c r="S869" s="4"/>
    </row>
    <row r="870" spans="18:19" ht="14.25" customHeight="1" x14ac:dyDescent="0.3">
      <c r="R870" s="4"/>
      <c r="S870" s="4"/>
    </row>
    <row r="871" spans="18:19" ht="14.25" customHeight="1" x14ac:dyDescent="0.3">
      <c r="R871" s="4"/>
      <c r="S871" s="4"/>
    </row>
    <row r="872" spans="18:19" ht="14.25" customHeight="1" x14ac:dyDescent="0.3">
      <c r="R872" s="4"/>
      <c r="S872" s="4"/>
    </row>
    <row r="873" spans="18:19" ht="14.25" customHeight="1" x14ac:dyDescent="0.3">
      <c r="R873" s="4"/>
      <c r="S873" s="4"/>
    </row>
    <row r="874" spans="18:19" ht="14.25" customHeight="1" x14ac:dyDescent="0.3">
      <c r="R874" s="4"/>
      <c r="S874" s="4"/>
    </row>
    <row r="875" spans="18:19" ht="14.25" customHeight="1" x14ac:dyDescent="0.3">
      <c r="R875" s="4"/>
      <c r="S875" s="4"/>
    </row>
    <row r="876" spans="18:19" ht="14.25" customHeight="1" x14ac:dyDescent="0.3">
      <c r="R876" s="4"/>
      <c r="S876" s="4"/>
    </row>
    <row r="877" spans="18:19" ht="14.25" customHeight="1" x14ac:dyDescent="0.3">
      <c r="R877" s="4"/>
      <c r="S877" s="4"/>
    </row>
    <row r="878" spans="18:19" ht="14.25" customHeight="1" x14ac:dyDescent="0.3">
      <c r="R878" s="4"/>
      <c r="S878" s="4"/>
    </row>
    <row r="879" spans="18:19" ht="14.25" customHeight="1" x14ac:dyDescent="0.3">
      <c r="R879" s="4"/>
      <c r="S879" s="4"/>
    </row>
    <row r="880" spans="18:19" ht="14.25" customHeight="1" x14ac:dyDescent="0.3">
      <c r="R880" s="4"/>
      <c r="S880" s="4"/>
    </row>
    <row r="881" spans="18:19" ht="14.25" customHeight="1" x14ac:dyDescent="0.3">
      <c r="R881" s="4"/>
      <c r="S881" s="4"/>
    </row>
    <row r="882" spans="18:19" ht="14.25" customHeight="1" x14ac:dyDescent="0.3">
      <c r="R882" s="4"/>
      <c r="S882" s="4"/>
    </row>
    <row r="883" spans="18:19" ht="14.25" customHeight="1" x14ac:dyDescent="0.3">
      <c r="R883" s="4"/>
      <c r="S883" s="4"/>
    </row>
    <row r="884" spans="18:19" ht="14.25" customHeight="1" x14ac:dyDescent="0.3">
      <c r="R884" s="4"/>
      <c r="S884" s="4"/>
    </row>
    <row r="885" spans="18:19" ht="14.25" customHeight="1" x14ac:dyDescent="0.3">
      <c r="R885" s="4"/>
      <c r="S885" s="4"/>
    </row>
    <row r="886" spans="18:19" ht="14.25" customHeight="1" x14ac:dyDescent="0.3">
      <c r="R886" s="4"/>
      <c r="S886" s="4"/>
    </row>
    <row r="887" spans="18:19" ht="14.25" customHeight="1" x14ac:dyDescent="0.3">
      <c r="R887" s="4"/>
      <c r="S887" s="4"/>
    </row>
    <row r="888" spans="18:19" ht="14.25" customHeight="1" x14ac:dyDescent="0.3">
      <c r="R888" s="4"/>
      <c r="S888" s="4"/>
    </row>
    <row r="889" spans="18:19" ht="14.25" customHeight="1" x14ac:dyDescent="0.3">
      <c r="R889" s="4"/>
      <c r="S889" s="4"/>
    </row>
    <row r="890" spans="18:19" ht="14.25" customHeight="1" x14ac:dyDescent="0.3">
      <c r="R890" s="4"/>
      <c r="S890" s="4"/>
    </row>
    <row r="891" spans="18:19" ht="14.25" customHeight="1" x14ac:dyDescent="0.3">
      <c r="R891" s="4"/>
      <c r="S891" s="4"/>
    </row>
    <row r="892" spans="18:19" ht="14.25" customHeight="1" x14ac:dyDescent="0.3">
      <c r="R892" s="4"/>
      <c r="S892" s="4"/>
    </row>
    <row r="893" spans="18:19" ht="14.25" customHeight="1" x14ac:dyDescent="0.3">
      <c r="R893" s="4"/>
      <c r="S893" s="4"/>
    </row>
    <row r="894" spans="18:19" ht="14.25" customHeight="1" x14ac:dyDescent="0.3">
      <c r="R894" s="4"/>
      <c r="S894" s="4"/>
    </row>
    <row r="895" spans="18:19" ht="14.25" customHeight="1" x14ac:dyDescent="0.3">
      <c r="R895" s="4"/>
      <c r="S895" s="4"/>
    </row>
    <row r="896" spans="18:19" ht="14.25" customHeight="1" x14ac:dyDescent="0.3">
      <c r="R896" s="4"/>
      <c r="S896" s="4"/>
    </row>
    <row r="897" spans="18:19" ht="14.25" customHeight="1" x14ac:dyDescent="0.3">
      <c r="R897" s="4"/>
      <c r="S897" s="4"/>
    </row>
    <row r="898" spans="18:19" ht="14.25" customHeight="1" x14ac:dyDescent="0.3">
      <c r="R898" s="4"/>
      <c r="S898" s="4"/>
    </row>
    <row r="899" spans="18:19" ht="14.25" customHeight="1" x14ac:dyDescent="0.3">
      <c r="R899" s="4"/>
      <c r="S899" s="4"/>
    </row>
    <row r="900" spans="18:19" ht="14.25" customHeight="1" x14ac:dyDescent="0.3">
      <c r="R900" s="4"/>
      <c r="S900" s="4"/>
    </row>
    <row r="901" spans="18:19" ht="14.25" customHeight="1" x14ac:dyDescent="0.3">
      <c r="R901" s="4"/>
      <c r="S901" s="4"/>
    </row>
    <row r="902" spans="18:19" ht="14.25" customHeight="1" x14ac:dyDescent="0.3">
      <c r="R902" s="4"/>
      <c r="S902" s="4"/>
    </row>
    <row r="903" spans="18:19" ht="14.25" customHeight="1" x14ac:dyDescent="0.3">
      <c r="R903" s="4"/>
      <c r="S903" s="4"/>
    </row>
    <row r="904" spans="18:19" ht="14.25" customHeight="1" x14ac:dyDescent="0.3">
      <c r="R904" s="4"/>
      <c r="S904" s="4"/>
    </row>
    <row r="905" spans="18:19" ht="14.25" customHeight="1" x14ac:dyDescent="0.3">
      <c r="R905" s="4"/>
      <c r="S905" s="4"/>
    </row>
    <row r="906" spans="18:19" ht="14.25" customHeight="1" x14ac:dyDescent="0.3">
      <c r="R906" s="4"/>
      <c r="S906" s="4"/>
    </row>
    <row r="907" spans="18:19" ht="14.25" customHeight="1" x14ac:dyDescent="0.3">
      <c r="R907" s="4"/>
      <c r="S907" s="4"/>
    </row>
    <row r="908" spans="18:19" ht="14.25" customHeight="1" x14ac:dyDescent="0.3">
      <c r="R908" s="4"/>
      <c r="S908" s="4"/>
    </row>
    <row r="909" spans="18:19" ht="14.25" customHeight="1" x14ac:dyDescent="0.3">
      <c r="R909" s="4"/>
      <c r="S909" s="4"/>
    </row>
    <row r="910" spans="18:19" ht="14.25" customHeight="1" x14ac:dyDescent="0.3">
      <c r="R910" s="4"/>
      <c r="S910" s="4"/>
    </row>
    <row r="911" spans="18:19" ht="14.25" customHeight="1" x14ac:dyDescent="0.3">
      <c r="R911" s="4"/>
      <c r="S911" s="4"/>
    </row>
    <row r="912" spans="18:19" ht="14.25" customHeight="1" x14ac:dyDescent="0.3">
      <c r="R912" s="4"/>
      <c r="S912" s="4"/>
    </row>
    <row r="913" spans="18:19" ht="14.25" customHeight="1" x14ac:dyDescent="0.3">
      <c r="R913" s="4"/>
      <c r="S913" s="4"/>
    </row>
    <row r="914" spans="18:19" ht="14.25" customHeight="1" x14ac:dyDescent="0.3">
      <c r="R914" s="4"/>
      <c r="S914" s="4"/>
    </row>
    <row r="915" spans="18:19" ht="14.25" customHeight="1" x14ac:dyDescent="0.3">
      <c r="R915" s="4"/>
      <c r="S915" s="4"/>
    </row>
    <row r="916" spans="18:19" ht="14.25" customHeight="1" x14ac:dyDescent="0.3">
      <c r="R916" s="4"/>
      <c r="S916" s="4"/>
    </row>
    <row r="917" spans="18:19" ht="14.25" customHeight="1" x14ac:dyDescent="0.3">
      <c r="R917" s="4"/>
      <c r="S917" s="4"/>
    </row>
    <row r="918" spans="18:19" ht="14.25" customHeight="1" x14ac:dyDescent="0.3">
      <c r="R918" s="4"/>
      <c r="S918" s="4"/>
    </row>
    <row r="919" spans="18:19" ht="14.25" customHeight="1" x14ac:dyDescent="0.3">
      <c r="R919" s="4"/>
      <c r="S919" s="4"/>
    </row>
    <row r="920" spans="18:19" ht="14.25" customHeight="1" x14ac:dyDescent="0.3">
      <c r="R920" s="4"/>
      <c r="S920" s="4"/>
    </row>
    <row r="921" spans="18:19" ht="14.25" customHeight="1" x14ac:dyDescent="0.3">
      <c r="R921" s="4"/>
      <c r="S921" s="4"/>
    </row>
    <row r="922" spans="18:19" ht="14.25" customHeight="1" x14ac:dyDescent="0.3">
      <c r="R922" s="4"/>
      <c r="S922" s="4"/>
    </row>
    <row r="923" spans="18:19" ht="14.25" customHeight="1" x14ac:dyDescent="0.3">
      <c r="R923" s="4"/>
      <c r="S923" s="4"/>
    </row>
    <row r="924" spans="18:19" ht="14.25" customHeight="1" x14ac:dyDescent="0.3">
      <c r="R924" s="4"/>
      <c r="S924" s="4"/>
    </row>
    <row r="925" spans="18:19" ht="14.25" customHeight="1" x14ac:dyDescent="0.3">
      <c r="R925" s="4"/>
      <c r="S925" s="4"/>
    </row>
    <row r="926" spans="18:19" ht="14.25" customHeight="1" x14ac:dyDescent="0.3">
      <c r="R926" s="4"/>
      <c r="S926" s="4"/>
    </row>
    <row r="927" spans="18:19" ht="14.25" customHeight="1" x14ac:dyDescent="0.3">
      <c r="R927" s="4"/>
      <c r="S927" s="4"/>
    </row>
    <row r="928" spans="18:19" ht="14.25" customHeight="1" x14ac:dyDescent="0.3">
      <c r="R928" s="4"/>
      <c r="S928" s="4"/>
    </row>
    <row r="929" spans="18:19" ht="14.25" customHeight="1" x14ac:dyDescent="0.3">
      <c r="R929" s="4"/>
      <c r="S929" s="4"/>
    </row>
    <row r="930" spans="18:19" ht="14.25" customHeight="1" x14ac:dyDescent="0.3">
      <c r="R930" s="4"/>
      <c r="S930" s="4"/>
    </row>
    <row r="931" spans="18:19" ht="14.25" customHeight="1" x14ac:dyDescent="0.3">
      <c r="R931" s="4"/>
      <c r="S931" s="4"/>
    </row>
    <row r="932" spans="18:19" ht="14.25" customHeight="1" x14ac:dyDescent="0.3">
      <c r="R932" s="4"/>
      <c r="S932" s="4"/>
    </row>
    <row r="933" spans="18:19" ht="14.25" customHeight="1" x14ac:dyDescent="0.3">
      <c r="R933" s="4"/>
      <c r="S933" s="4"/>
    </row>
    <row r="934" spans="18:19" ht="14.25" customHeight="1" x14ac:dyDescent="0.3">
      <c r="R934" s="4"/>
      <c r="S934" s="4"/>
    </row>
    <row r="935" spans="18:19" ht="14.25" customHeight="1" x14ac:dyDescent="0.3">
      <c r="R935" s="4"/>
      <c r="S935" s="4"/>
    </row>
    <row r="936" spans="18:19" ht="14.25" customHeight="1" x14ac:dyDescent="0.3">
      <c r="R936" s="4"/>
      <c r="S936" s="4"/>
    </row>
    <row r="937" spans="18:19" ht="14.25" customHeight="1" x14ac:dyDescent="0.3">
      <c r="R937" s="4"/>
      <c r="S937" s="4"/>
    </row>
    <row r="938" spans="18:19" ht="14.25" customHeight="1" x14ac:dyDescent="0.3">
      <c r="R938" s="4"/>
      <c r="S938" s="4"/>
    </row>
    <row r="939" spans="18:19" ht="14.25" customHeight="1" x14ac:dyDescent="0.3">
      <c r="R939" s="4"/>
      <c r="S939" s="4"/>
    </row>
    <row r="940" spans="18:19" ht="14.25" customHeight="1" x14ac:dyDescent="0.3">
      <c r="R940" s="4"/>
      <c r="S940" s="4"/>
    </row>
    <row r="941" spans="18:19" ht="14.25" customHeight="1" x14ac:dyDescent="0.3">
      <c r="R941" s="4"/>
      <c r="S941" s="4"/>
    </row>
    <row r="942" spans="18:19" ht="14.25" customHeight="1" x14ac:dyDescent="0.3">
      <c r="R942" s="4"/>
      <c r="S942" s="4"/>
    </row>
    <row r="943" spans="18:19" ht="14.25" customHeight="1" x14ac:dyDescent="0.3">
      <c r="R943" s="4"/>
      <c r="S943" s="4"/>
    </row>
    <row r="944" spans="18:19" ht="14.25" customHeight="1" x14ac:dyDescent="0.3">
      <c r="R944" s="4"/>
      <c r="S944" s="4"/>
    </row>
    <row r="945" spans="18:19" ht="14.25" customHeight="1" x14ac:dyDescent="0.3">
      <c r="R945" s="4"/>
      <c r="S945" s="4"/>
    </row>
    <row r="946" spans="18:19" ht="14.25" customHeight="1" x14ac:dyDescent="0.3">
      <c r="R946" s="4"/>
      <c r="S946" s="4"/>
    </row>
    <row r="947" spans="18:19" ht="14.25" customHeight="1" x14ac:dyDescent="0.3">
      <c r="R947" s="4"/>
      <c r="S947" s="4"/>
    </row>
    <row r="948" spans="18:19" ht="14.25" customHeight="1" x14ac:dyDescent="0.3">
      <c r="R948" s="4"/>
      <c r="S948" s="4"/>
    </row>
    <row r="949" spans="18:19" ht="14.25" customHeight="1" x14ac:dyDescent="0.3">
      <c r="R949" s="4"/>
      <c r="S949" s="4"/>
    </row>
    <row r="950" spans="18:19" ht="14.25" customHeight="1" x14ac:dyDescent="0.3">
      <c r="R950" s="4"/>
      <c r="S950" s="4"/>
    </row>
    <row r="951" spans="18:19" ht="14.25" customHeight="1" x14ac:dyDescent="0.3">
      <c r="R951" s="4"/>
      <c r="S951" s="4"/>
    </row>
    <row r="952" spans="18:19" ht="14.25" customHeight="1" x14ac:dyDescent="0.3">
      <c r="R952" s="4"/>
      <c r="S952" s="4"/>
    </row>
    <row r="953" spans="18:19" ht="14.25" customHeight="1" x14ac:dyDescent="0.3">
      <c r="R953" s="4"/>
      <c r="S953" s="4"/>
    </row>
    <row r="954" spans="18:19" ht="14.25" customHeight="1" x14ac:dyDescent="0.3">
      <c r="R954" s="4"/>
      <c r="S954" s="4"/>
    </row>
    <row r="955" spans="18:19" ht="14.25" customHeight="1" x14ac:dyDescent="0.3">
      <c r="R955" s="4"/>
      <c r="S955" s="4"/>
    </row>
    <row r="956" spans="18:19" ht="14.25" customHeight="1" x14ac:dyDescent="0.3">
      <c r="R956" s="4"/>
      <c r="S956" s="4"/>
    </row>
    <row r="957" spans="18:19" ht="14.25" customHeight="1" x14ac:dyDescent="0.3">
      <c r="R957" s="4"/>
      <c r="S957" s="4"/>
    </row>
    <row r="958" spans="18:19" ht="14.25" customHeight="1" x14ac:dyDescent="0.3">
      <c r="R958" s="4"/>
      <c r="S958" s="4"/>
    </row>
    <row r="959" spans="18:19" ht="14.25" customHeight="1" x14ac:dyDescent="0.3">
      <c r="R959" s="4"/>
      <c r="S959" s="4"/>
    </row>
    <row r="960" spans="18:19" ht="14.25" customHeight="1" x14ac:dyDescent="0.3">
      <c r="R960" s="4"/>
      <c r="S960" s="4"/>
    </row>
    <row r="961" spans="18:19" ht="14.25" customHeight="1" x14ac:dyDescent="0.3">
      <c r="R961" s="4"/>
      <c r="S961" s="4"/>
    </row>
    <row r="962" spans="18:19" ht="14.25" customHeight="1" x14ac:dyDescent="0.3">
      <c r="R962" s="4"/>
      <c r="S962" s="4"/>
    </row>
    <row r="963" spans="18:19" ht="14.25" customHeight="1" x14ac:dyDescent="0.3">
      <c r="R963" s="4"/>
      <c r="S963" s="4"/>
    </row>
    <row r="964" spans="18:19" ht="14.25" customHeight="1" x14ac:dyDescent="0.3">
      <c r="R964" s="4"/>
      <c r="S964" s="4"/>
    </row>
    <row r="965" spans="18:19" ht="14.25" customHeight="1" x14ac:dyDescent="0.3">
      <c r="R965" s="4"/>
      <c r="S965" s="4"/>
    </row>
    <row r="966" spans="18:19" ht="14.25" customHeight="1" x14ac:dyDescent="0.3">
      <c r="R966" s="4"/>
      <c r="S966" s="4"/>
    </row>
    <row r="967" spans="18:19" ht="14.25" customHeight="1" x14ac:dyDescent="0.3">
      <c r="R967" s="4"/>
      <c r="S967" s="4"/>
    </row>
    <row r="968" spans="18:19" ht="14.25" customHeight="1" x14ac:dyDescent="0.3">
      <c r="R968" s="4"/>
      <c r="S968" s="4"/>
    </row>
    <row r="969" spans="18:19" ht="14.25" customHeight="1" x14ac:dyDescent="0.3">
      <c r="R969" s="4"/>
      <c r="S969" s="4"/>
    </row>
    <row r="970" spans="18:19" ht="14.25" customHeight="1" x14ac:dyDescent="0.3">
      <c r="R970" s="4"/>
      <c r="S970" s="4"/>
    </row>
    <row r="971" spans="18:19" ht="14.25" customHeight="1" x14ac:dyDescent="0.3">
      <c r="R971" s="4"/>
      <c r="S971" s="4"/>
    </row>
    <row r="972" spans="18:19" ht="14.25" customHeight="1" x14ac:dyDescent="0.3">
      <c r="R972" s="4"/>
      <c r="S972" s="4"/>
    </row>
    <row r="973" spans="18:19" ht="14.25" customHeight="1" x14ac:dyDescent="0.3">
      <c r="R973" s="4"/>
      <c r="S973" s="4"/>
    </row>
    <row r="974" spans="18:19" ht="14.25" customHeight="1" x14ac:dyDescent="0.3">
      <c r="R974" s="4"/>
      <c r="S974" s="4"/>
    </row>
    <row r="975" spans="18:19" ht="14.25" customHeight="1" x14ac:dyDescent="0.3">
      <c r="R975" s="4"/>
      <c r="S975" s="4"/>
    </row>
    <row r="976" spans="18:19" ht="14.25" customHeight="1" x14ac:dyDescent="0.3">
      <c r="R976" s="4"/>
      <c r="S976" s="4"/>
    </row>
    <row r="977" spans="18:19" ht="14.25" customHeight="1" x14ac:dyDescent="0.3">
      <c r="R977" s="4"/>
      <c r="S977" s="4"/>
    </row>
    <row r="978" spans="18:19" ht="14.25" customHeight="1" x14ac:dyDescent="0.3">
      <c r="R978" s="4"/>
      <c r="S978" s="4"/>
    </row>
    <row r="979" spans="18:19" ht="14.25" customHeight="1" x14ac:dyDescent="0.3">
      <c r="R979" s="4"/>
      <c r="S979" s="4"/>
    </row>
    <row r="980" spans="18:19" ht="14.25" customHeight="1" x14ac:dyDescent="0.3">
      <c r="R980" s="4"/>
      <c r="S980" s="4"/>
    </row>
    <row r="981" spans="18:19" ht="14.25" customHeight="1" x14ac:dyDescent="0.3">
      <c r="R981" s="4"/>
      <c r="S981" s="4"/>
    </row>
    <row r="982" spans="18:19" ht="14.25" customHeight="1" x14ac:dyDescent="0.3">
      <c r="R982" s="4"/>
      <c r="S982" s="4"/>
    </row>
    <row r="983" spans="18:19" ht="14.25" customHeight="1" x14ac:dyDescent="0.3">
      <c r="R983" s="4"/>
      <c r="S983" s="4"/>
    </row>
    <row r="984" spans="18:19" ht="14.25" customHeight="1" x14ac:dyDescent="0.3">
      <c r="R984" s="4"/>
      <c r="S984" s="4"/>
    </row>
    <row r="985" spans="18:19" ht="14.25" customHeight="1" x14ac:dyDescent="0.3">
      <c r="R985" s="4"/>
      <c r="S985" s="4"/>
    </row>
    <row r="986" spans="18:19" ht="14.25" customHeight="1" x14ac:dyDescent="0.3">
      <c r="R986" s="4"/>
      <c r="S986" s="4"/>
    </row>
    <row r="987" spans="18:19" ht="14.25" customHeight="1" x14ac:dyDescent="0.3">
      <c r="R987" s="4"/>
      <c r="S987" s="4"/>
    </row>
    <row r="988" spans="18:19" ht="14.25" customHeight="1" x14ac:dyDescent="0.3">
      <c r="R988" s="4"/>
      <c r="S988" s="4"/>
    </row>
    <row r="989" spans="18:19" ht="14.25" customHeight="1" x14ac:dyDescent="0.3">
      <c r="R989" s="4"/>
      <c r="S989" s="4"/>
    </row>
    <row r="990" spans="18:19" ht="14.25" customHeight="1" x14ac:dyDescent="0.3">
      <c r="R990" s="4"/>
      <c r="S990" s="4"/>
    </row>
    <row r="991" spans="18:19" ht="14.25" customHeight="1" x14ac:dyDescent="0.3">
      <c r="R991" s="4"/>
      <c r="S991" s="4"/>
    </row>
    <row r="992" spans="18:19" ht="14.25" customHeight="1" x14ac:dyDescent="0.3">
      <c r="R992" s="4"/>
      <c r="S992" s="4"/>
    </row>
    <row r="993" spans="18:19" ht="14.25" customHeight="1" x14ac:dyDescent="0.3">
      <c r="R993" s="4"/>
      <c r="S993" s="4"/>
    </row>
    <row r="994" spans="18:19" ht="14.25" customHeight="1" x14ac:dyDescent="0.3">
      <c r="R994" s="4"/>
      <c r="S994" s="4"/>
    </row>
    <row r="995" spans="18:19" ht="14.25" customHeight="1" x14ac:dyDescent="0.3">
      <c r="R995" s="4"/>
      <c r="S995" s="4"/>
    </row>
    <row r="996" spans="18:19" ht="14.25" customHeight="1" x14ac:dyDescent="0.3">
      <c r="R996" s="4"/>
      <c r="S996" s="4"/>
    </row>
    <row r="997" spans="18:19" ht="14.25" customHeight="1" x14ac:dyDescent="0.3">
      <c r="R997" s="4"/>
      <c r="S997" s="4"/>
    </row>
    <row r="998" spans="18:19" ht="14.25" customHeight="1" x14ac:dyDescent="0.3">
      <c r="R998" s="4"/>
      <c r="S998" s="4"/>
    </row>
    <row r="999" spans="18:19" ht="14.25" customHeight="1" x14ac:dyDescent="0.3">
      <c r="R999" s="4"/>
      <c r="S999" s="4"/>
    </row>
    <row r="1000" spans="18:19" ht="14.25" customHeight="1" x14ac:dyDescent="0.3">
      <c r="R1000" s="4"/>
      <c r="S10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000"/>
  <sheetViews>
    <sheetView tabSelected="1" topLeftCell="Y1" workbookViewId="0">
      <pane ySplit="1" topLeftCell="A2" activePane="bottomLeft" state="frozen"/>
      <selection pane="bottomLeft" activeCell="Y1" sqref="Y1"/>
    </sheetView>
  </sheetViews>
  <sheetFormatPr defaultColWidth="14.44140625" defaultRowHeight="15" customHeight="1" x14ac:dyDescent="0.3"/>
  <cols>
    <col min="1" max="1" width="4.5546875" customWidth="1"/>
    <col min="2" max="2" width="27.44140625" customWidth="1"/>
    <col min="3" max="4" width="8.6640625" customWidth="1"/>
    <col min="5" max="5" width="18.44140625" customWidth="1"/>
    <col min="6" max="6" width="8.6640625" customWidth="1"/>
    <col min="7" max="7" width="14.33203125" customWidth="1"/>
    <col min="8" max="17" width="8.6640625" customWidth="1"/>
    <col min="18" max="19" width="13.33203125" customWidth="1"/>
    <col min="20" max="20" width="15.44140625" customWidth="1"/>
    <col min="21" max="23" width="8.6640625" customWidth="1"/>
    <col min="24" max="34" width="16.44140625" customWidth="1"/>
    <col min="35" max="35" width="16.88671875" customWidth="1"/>
    <col min="36" max="37" width="18.109375" customWidth="1"/>
    <col min="38" max="38" width="18.33203125" customWidth="1"/>
    <col min="39" max="39" width="18.109375" customWidth="1"/>
    <col min="40" max="47" width="18.33203125" customWidth="1"/>
    <col min="48" max="48" width="18.44140625" customWidth="1"/>
    <col min="49" max="50" width="18.33203125" customWidth="1"/>
    <col min="51" max="52" width="18.44140625" customWidth="1"/>
    <col min="53" max="53" width="18.109375" customWidth="1"/>
    <col min="54" max="54" width="18.33203125" customWidth="1"/>
    <col min="55" max="55" width="18.44140625" customWidth="1"/>
    <col min="56" max="56" width="25.109375" customWidth="1"/>
    <col min="57" max="57" width="18.33203125" customWidth="1"/>
  </cols>
  <sheetData>
    <row r="1" spans="1:57" ht="60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94</v>
      </c>
      <c r="I1" s="2" t="s">
        <v>8</v>
      </c>
      <c r="J1" s="2" t="s">
        <v>95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96</v>
      </c>
      <c r="T1" s="3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23</v>
      </c>
      <c r="AJ1" s="2" t="s">
        <v>24</v>
      </c>
      <c r="AK1" s="2" t="s">
        <v>25</v>
      </c>
      <c r="AL1" s="2" t="s">
        <v>26</v>
      </c>
      <c r="AM1" s="2" t="s">
        <v>27</v>
      </c>
      <c r="AN1" s="2" t="s">
        <v>28</v>
      </c>
      <c r="AO1" s="2" t="s">
        <v>29</v>
      </c>
      <c r="AP1" s="2" t="s">
        <v>30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36</v>
      </c>
      <c r="AW1" s="2" t="s">
        <v>37</v>
      </c>
      <c r="AX1" s="2" t="s">
        <v>38</v>
      </c>
      <c r="AY1" s="2" t="s">
        <v>39</v>
      </c>
      <c r="AZ1" s="2" t="s">
        <v>40</v>
      </c>
      <c r="BA1" s="2" t="s">
        <v>41</v>
      </c>
      <c r="BB1" s="2" t="s">
        <v>42</v>
      </c>
      <c r="BC1" s="2" t="s">
        <v>43</v>
      </c>
      <c r="BD1" s="2" t="s">
        <v>44</v>
      </c>
      <c r="BE1" s="2" t="s">
        <v>45</v>
      </c>
    </row>
    <row r="2" spans="1:57" ht="14.25" customHeight="1" x14ac:dyDescent="0.3">
      <c r="A2" s="1">
        <v>1</v>
      </c>
      <c r="B2" s="1" t="s">
        <v>107</v>
      </c>
      <c r="C2" s="1">
        <v>37</v>
      </c>
      <c r="D2" s="1">
        <v>0</v>
      </c>
      <c r="E2" s="1">
        <v>9125776440</v>
      </c>
      <c r="F2" s="1">
        <v>1</v>
      </c>
      <c r="G2" s="1" t="s">
        <v>108</v>
      </c>
      <c r="H2" s="1">
        <v>8</v>
      </c>
      <c r="I2" s="1">
        <v>6</v>
      </c>
      <c r="J2" s="1">
        <v>0</v>
      </c>
      <c r="K2" s="1">
        <v>0.2</v>
      </c>
      <c r="L2" s="1">
        <v>3</v>
      </c>
      <c r="M2" s="1">
        <v>0</v>
      </c>
      <c r="N2" s="1">
        <v>2</v>
      </c>
      <c r="O2" s="1">
        <v>15</v>
      </c>
      <c r="R2" s="4"/>
      <c r="S2" s="4">
        <v>750</v>
      </c>
      <c r="T2" s="5">
        <f t="shared" ref="T2:T3" si="0">S2*O2</f>
        <v>11250</v>
      </c>
      <c r="U2" s="1">
        <v>0</v>
      </c>
      <c r="W2" s="1">
        <v>0</v>
      </c>
    </row>
    <row r="3" spans="1:57" ht="14.25" customHeight="1" x14ac:dyDescent="0.3">
      <c r="A3" s="1">
        <v>2</v>
      </c>
      <c r="B3" s="1" t="s">
        <v>109</v>
      </c>
      <c r="C3" s="1">
        <v>65</v>
      </c>
      <c r="D3" s="1">
        <v>0</v>
      </c>
      <c r="F3" s="1">
        <v>1</v>
      </c>
      <c r="G3" s="1" t="s">
        <v>110</v>
      </c>
      <c r="H3" s="1">
        <v>4</v>
      </c>
      <c r="I3" s="1">
        <v>4</v>
      </c>
      <c r="J3" s="1">
        <v>0</v>
      </c>
      <c r="K3" s="1">
        <v>3</v>
      </c>
      <c r="L3" s="1">
        <v>30</v>
      </c>
      <c r="M3" s="1">
        <v>1</v>
      </c>
      <c r="N3" s="1">
        <v>2</v>
      </c>
      <c r="O3" s="1">
        <v>400</v>
      </c>
      <c r="R3" s="4"/>
      <c r="S3" s="4">
        <v>1020</v>
      </c>
      <c r="T3" s="5">
        <f t="shared" si="0"/>
        <v>408000</v>
      </c>
      <c r="U3" s="1">
        <v>1</v>
      </c>
      <c r="V3" s="1" t="s">
        <v>111</v>
      </c>
      <c r="W3" s="1">
        <v>0</v>
      </c>
    </row>
    <row r="4" spans="1:57" ht="14.25" customHeight="1" x14ac:dyDescent="0.3">
      <c r="A4" s="1">
        <v>3</v>
      </c>
      <c r="B4" s="1" t="s">
        <v>112</v>
      </c>
      <c r="C4" s="1">
        <v>68</v>
      </c>
      <c r="D4" s="1">
        <v>1</v>
      </c>
      <c r="E4" s="1">
        <v>9070892214</v>
      </c>
      <c r="F4" s="1">
        <v>3</v>
      </c>
      <c r="G4" s="1" t="s">
        <v>113</v>
      </c>
      <c r="H4" s="1">
        <v>1</v>
      </c>
      <c r="I4" s="1">
        <v>3</v>
      </c>
      <c r="J4" s="1">
        <v>1</v>
      </c>
      <c r="K4" s="1">
        <v>0.5</v>
      </c>
      <c r="L4" s="1">
        <v>20</v>
      </c>
      <c r="M4" s="1">
        <v>0</v>
      </c>
      <c r="N4" s="1">
        <v>2</v>
      </c>
      <c r="O4" s="1">
        <v>40</v>
      </c>
      <c r="R4" s="4"/>
      <c r="S4" s="4">
        <v>750</v>
      </c>
      <c r="T4" s="5">
        <f t="shared" ref="T4:T20" si="1">S4*O4*N4</f>
        <v>60000</v>
      </c>
      <c r="U4" s="1">
        <v>1</v>
      </c>
      <c r="V4" s="1" t="s">
        <v>111</v>
      </c>
      <c r="W4" s="1">
        <v>1</v>
      </c>
      <c r="Y4" s="1">
        <v>0</v>
      </c>
      <c r="Z4" s="1">
        <v>0</v>
      </c>
      <c r="AA4" s="1">
        <v>1</v>
      </c>
      <c r="AB4" s="1">
        <v>0</v>
      </c>
      <c r="AC4" s="1">
        <v>1</v>
      </c>
      <c r="AD4" s="1">
        <v>1</v>
      </c>
      <c r="AE4" s="1">
        <v>0</v>
      </c>
      <c r="AF4" s="1">
        <v>0</v>
      </c>
      <c r="AG4" s="1">
        <v>1</v>
      </c>
      <c r="AH4" s="1">
        <v>1</v>
      </c>
    </row>
    <row r="5" spans="1:57" ht="14.25" customHeight="1" x14ac:dyDescent="0.3">
      <c r="A5" s="1">
        <v>4</v>
      </c>
      <c r="B5" s="1" t="s">
        <v>114</v>
      </c>
      <c r="C5" s="1">
        <v>67</v>
      </c>
      <c r="D5" s="1">
        <v>1</v>
      </c>
      <c r="E5" s="1">
        <v>9468103097</v>
      </c>
      <c r="F5" s="1">
        <v>1</v>
      </c>
      <c r="G5" s="1" t="s">
        <v>113</v>
      </c>
      <c r="H5" s="1">
        <v>1</v>
      </c>
      <c r="I5" s="1">
        <v>2</v>
      </c>
      <c r="J5" s="1">
        <v>1</v>
      </c>
      <c r="K5" s="1">
        <v>35</v>
      </c>
      <c r="L5" s="1">
        <v>2</v>
      </c>
      <c r="M5" s="1">
        <v>0</v>
      </c>
      <c r="N5" s="1">
        <v>2</v>
      </c>
      <c r="O5" s="1">
        <v>70</v>
      </c>
      <c r="R5" s="4"/>
      <c r="S5" s="4">
        <v>750</v>
      </c>
      <c r="T5" s="5">
        <f t="shared" si="1"/>
        <v>105000</v>
      </c>
      <c r="U5" s="1">
        <v>1</v>
      </c>
      <c r="V5" s="1" t="s">
        <v>111</v>
      </c>
      <c r="W5" s="1">
        <v>1</v>
      </c>
      <c r="Y5" s="1">
        <v>0</v>
      </c>
      <c r="Z5" s="1">
        <v>1</v>
      </c>
      <c r="AA5" s="1">
        <v>1</v>
      </c>
      <c r="AB5" s="1">
        <v>0</v>
      </c>
      <c r="AC5" s="1">
        <v>1</v>
      </c>
      <c r="AD5" s="1">
        <v>1</v>
      </c>
      <c r="AE5" s="1">
        <v>0</v>
      </c>
      <c r="AF5" s="1">
        <v>0</v>
      </c>
      <c r="AG5" s="1">
        <v>1</v>
      </c>
      <c r="AH5" s="1">
        <v>0</v>
      </c>
    </row>
    <row r="6" spans="1:57" ht="14.25" customHeight="1" x14ac:dyDescent="0.3">
      <c r="A6" s="1">
        <v>5</v>
      </c>
      <c r="B6" s="1" t="s">
        <v>115</v>
      </c>
      <c r="C6" s="1">
        <v>68</v>
      </c>
      <c r="D6" s="1">
        <v>1</v>
      </c>
      <c r="E6" s="6"/>
      <c r="F6" s="1">
        <v>1</v>
      </c>
      <c r="G6" s="1" t="s">
        <v>108</v>
      </c>
      <c r="H6" s="1">
        <v>2</v>
      </c>
      <c r="I6" s="1">
        <v>8</v>
      </c>
      <c r="J6" s="1">
        <v>1</v>
      </c>
      <c r="K6" s="1">
        <v>0.25</v>
      </c>
      <c r="L6" s="1">
        <v>11</v>
      </c>
      <c r="M6" s="1">
        <v>0</v>
      </c>
      <c r="N6" s="1">
        <v>2</v>
      </c>
      <c r="O6" s="1">
        <v>40</v>
      </c>
      <c r="R6" s="4"/>
      <c r="S6" s="4">
        <v>750</v>
      </c>
      <c r="T6" s="5">
        <f t="shared" si="1"/>
        <v>60000</v>
      </c>
      <c r="U6" s="1">
        <v>1</v>
      </c>
      <c r="V6" s="1" t="s">
        <v>111</v>
      </c>
      <c r="W6" s="1">
        <v>1</v>
      </c>
      <c r="Y6" s="1">
        <v>0</v>
      </c>
      <c r="Z6" s="1">
        <v>1</v>
      </c>
      <c r="AA6" s="1">
        <v>1</v>
      </c>
      <c r="AB6" s="1">
        <v>0</v>
      </c>
      <c r="AC6" s="1">
        <v>1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</row>
    <row r="7" spans="1:57" ht="14.25" customHeight="1" x14ac:dyDescent="0.3">
      <c r="A7" s="1">
        <v>6</v>
      </c>
      <c r="B7" s="1" t="s">
        <v>116</v>
      </c>
      <c r="C7" s="1">
        <v>65</v>
      </c>
      <c r="D7" s="1">
        <v>0</v>
      </c>
      <c r="F7" s="1">
        <v>1</v>
      </c>
      <c r="G7" s="1" t="s">
        <v>108</v>
      </c>
      <c r="H7" s="1">
        <v>0</v>
      </c>
      <c r="I7" s="1">
        <v>7</v>
      </c>
      <c r="J7" s="1">
        <v>1</v>
      </c>
      <c r="K7" s="1">
        <v>0.5</v>
      </c>
      <c r="L7" s="1">
        <v>15</v>
      </c>
      <c r="M7" s="1">
        <v>0</v>
      </c>
      <c r="N7" s="1">
        <v>2</v>
      </c>
      <c r="O7" s="1">
        <v>20</v>
      </c>
      <c r="R7" s="4"/>
      <c r="S7" s="4">
        <v>750</v>
      </c>
      <c r="T7" s="5">
        <f t="shared" si="1"/>
        <v>30000</v>
      </c>
      <c r="U7" s="1">
        <v>1</v>
      </c>
      <c r="V7" s="1" t="s">
        <v>111</v>
      </c>
      <c r="W7" s="1">
        <v>0</v>
      </c>
    </row>
    <row r="8" spans="1:57" ht="14.25" customHeight="1" x14ac:dyDescent="0.3">
      <c r="A8" s="1">
        <v>7</v>
      </c>
      <c r="B8" s="1" t="s">
        <v>117</v>
      </c>
      <c r="C8" s="1">
        <v>28</v>
      </c>
      <c r="D8" s="1">
        <v>0</v>
      </c>
      <c r="E8" s="6">
        <v>9518228519</v>
      </c>
      <c r="F8" s="1">
        <v>0</v>
      </c>
      <c r="G8" s="1" t="s">
        <v>113</v>
      </c>
      <c r="H8" s="1">
        <v>4</v>
      </c>
      <c r="I8" s="1">
        <v>4</v>
      </c>
      <c r="J8" s="1">
        <v>0</v>
      </c>
      <c r="K8" s="1">
        <v>0.15</v>
      </c>
      <c r="L8" s="1">
        <v>3</v>
      </c>
      <c r="M8" s="1">
        <v>1</v>
      </c>
      <c r="N8" s="1">
        <v>2</v>
      </c>
      <c r="O8" s="1">
        <v>20</v>
      </c>
      <c r="P8" s="1">
        <v>0</v>
      </c>
      <c r="Q8" s="1">
        <v>50</v>
      </c>
      <c r="R8" s="4">
        <v>25</v>
      </c>
      <c r="S8" s="4">
        <v>750</v>
      </c>
      <c r="T8" s="5">
        <f t="shared" si="1"/>
        <v>30000</v>
      </c>
      <c r="U8" s="1">
        <v>1</v>
      </c>
      <c r="V8" s="1" t="s">
        <v>118</v>
      </c>
      <c r="W8" s="1">
        <v>1</v>
      </c>
      <c r="X8" s="1" t="s">
        <v>119</v>
      </c>
    </row>
    <row r="9" spans="1:57" ht="14.25" customHeight="1" x14ac:dyDescent="0.3">
      <c r="A9" s="1">
        <v>8</v>
      </c>
      <c r="B9" s="1" t="s">
        <v>120</v>
      </c>
      <c r="C9" s="1">
        <v>59</v>
      </c>
      <c r="D9" s="1">
        <v>1</v>
      </c>
      <c r="F9" s="1">
        <v>1</v>
      </c>
      <c r="G9" s="1" t="s">
        <v>113</v>
      </c>
      <c r="H9" s="1">
        <v>2</v>
      </c>
      <c r="I9" s="1">
        <v>4</v>
      </c>
      <c r="J9" s="1">
        <v>0</v>
      </c>
      <c r="K9" s="1">
        <v>1.5</v>
      </c>
      <c r="L9" s="1">
        <v>20</v>
      </c>
      <c r="M9" s="1">
        <v>1</v>
      </c>
      <c r="N9" s="1">
        <v>2</v>
      </c>
      <c r="O9" s="1">
        <v>100</v>
      </c>
      <c r="R9" s="4"/>
      <c r="S9" s="4">
        <v>750</v>
      </c>
      <c r="T9" s="5">
        <f t="shared" si="1"/>
        <v>150000</v>
      </c>
      <c r="U9" s="1">
        <v>1</v>
      </c>
      <c r="V9" s="1" t="s">
        <v>111</v>
      </c>
      <c r="W9" s="1">
        <v>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1</v>
      </c>
      <c r="AF9" s="1">
        <v>0</v>
      </c>
      <c r="AG9" s="1">
        <v>0</v>
      </c>
      <c r="AH9" s="1">
        <v>0</v>
      </c>
    </row>
    <row r="10" spans="1:57" ht="14.25" customHeight="1" x14ac:dyDescent="0.3">
      <c r="A10" s="1">
        <v>9</v>
      </c>
      <c r="B10" s="1" t="s">
        <v>121</v>
      </c>
      <c r="C10" s="1">
        <v>74</v>
      </c>
      <c r="D10" s="1">
        <v>1</v>
      </c>
      <c r="E10" s="1">
        <v>9070364440</v>
      </c>
      <c r="F10" s="1">
        <v>3</v>
      </c>
      <c r="G10" s="1" t="s">
        <v>113</v>
      </c>
      <c r="H10" s="1">
        <v>1</v>
      </c>
      <c r="I10" s="1">
        <v>3</v>
      </c>
      <c r="J10" s="1">
        <v>1</v>
      </c>
      <c r="K10" s="1">
        <v>0.25</v>
      </c>
      <c r="L10" s="1">
        <v>7</v>
      </c>
      <c r="M10" s="1">
        <v>0</v>
      </c>
      <c r="N10" s="1">
        <v>2</v>
      </c>
      <c r="O10" s="1">
        <v>30</v>
      </c>
      <c r="R10" s="4"/>
      <c r="S10" s="4">
        <v>750</v>
      </c>
      <c r="T10" s="5">
        <f t="shared" si="1"/>
        <v>45000</v>
      </c>
      <c r="U10" s="1">
        <v>1</v>
      </c>
      <c r="V10" s="1" t="s">
        <v>111</v>
      </c>
      <c r="W10" s="1">
        <v>0</v>
      </c>
    </row>
    <row r="11" spans="1:57" ht="14.25" customHeight="1" x14ac:dyDescent="0.3">
      <c r="A11" s="1">
        <v>10</v>
      </c>
      <c r="B11" s="1" t="s">
        <v>122</v>
      </c>
      <c r="C11" s="1">
        <v>67</v>
      </c>
      <c r="D11" s="1">
        <v>1</v>
      </c>
      <c r="E11" s="1">
        <v>9945791275</v>
      </c>
      <c r="F11" s="1">
        <v>1</v>
      </c>
      <c r="G11" s="1" t="s">
        <v>108</v>
      </c>
      <c r="H11" s="1">
        <v>1</v>
      </c>
      <c r="I11" s="1">
        <v>3</v>
      </c>
      <c r="J11" s="1">
        <v>1</v>
      </c>
      <c r="K11" s="1">
        <v>3</v>
      </c>
      <c r="L11" s="1">
        <v>45</v>
      </c>
      <c r="M11" s="1">
        <v>0</v>
      </c>
      <c r="N11" s="1">
        <v>2</v>
      </c>
      <c r="O11" s="1">
        <v>40</v>
      </c>
      <c r="R11" s="4"/>
      <c r="S11" s="4">
        <v>600</v>
      </c>
      <c r="T11" s="5">
        <f t="shared" si="1"/>
        <v>48000</v>
      </c>
      <c r="U11" s="1">
        <v>1</v>
      </c>
      <c r="V11" s="1" t="s">
        <v>123</v>
      </c>
      <c r="W11" s="1">
        <v>0</v>
      </c>
    </row>
    <row r="12" spans="1:57" ht="14.25" customHeight="1" x14ac:dyDescent="0.3">
      <c r="A12" s="1">
        <v>11</v>
      </c>
      <c r="B12" s="1" t="s">
        <v>124</v>
      </c>
      <c r="C12" s="1">
        <v>61</v>
      </c>
      <c r="D12" s="1">
        <v>1</v>
      </c>
      <c r="E12" s="1">
        <v>9462900391</v>
      </c>
      <c r="F12" s="1">
        <v>1</v>
      </c>
      <c r="G12" s="1" t="s">
        <v>108</v>
      </c>
      <c r="H12" s="1">
        <v>2</v>
      </c>
      <c r="I12" s="1">
        <v>5</v>
      </c>
      <c r="J12" s="1">
        <v>0</v>
      </c>
      <c r="K12" s="1">
        <v>1</v>
      </c>
      <c r="L12" s="1">
        <v>40</v>
      </c>
      <c r="M12" s="1">
        <v>0</v>
      </c>
      <c r="N12" s="1">
        <v>2</v>
      </c>
      <c r="O12" s="1">
        <v>60</v>
      </c>
      <c r="P12" s="7"/>
      <c r="R12" s="4"/>
      <c r="S12" s="4">
        <v>600</v>
      </c>
      <c r="T12" s="5">
        <f t="shared" si="1"/>
        <v>72000</v>
      </c>
      <c r="U12" s="1">
        <v>1</v>
      </c>
      <c r="V12" s="1" t="s">
        <v>123</v>
      </c>
      <c r="W12" s="1">
        <v>1</v>
      </c>
      <c r="Y12" s="1">
        <v>0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0</v>
      </c>
      <c r="AF12" s="1">
        <v>0</v>
      </c>
      <c r="AG12" s="1">
        <v>1</v>
      </c>
      <c r="AH12" s="1">
        <v>1</v>
      </c>
    </row>
    <row r="13" spans="1:57" ht="14.25" customHeight="1" x14ac:dyDescent="0.3">
      <c r="A13" s="1">
        <v>12</v>
      </c>
      <c r="B13" s="1" t="s">
        <v>125</v>
      </c>
      <c r="C13" s="1">
        <v>58</v>
      </c>
      <c r="D13" s="1">
        <v>1</v>
      </c>
      <c r="E13" s="1">
        <v>9974570133</v>
      </c>
      <c r="F13" s="1">
        <v>1</v>
      </c>
      <c r="G13" s="1" t="s">
        <v>108</v>
      </c>
      <c r="H13" s="1">
        <v>3</v>
      </c>
      <c r="I13" s="1">
        <v>9</v>
      </c>
      <c r="J13" s="1">
        <v>0</v>
      </c>
      <c r="K13" s="1">
        <v>1</v>
      </c>
      <c r="L13" s="1">
        <v>36</v>
      </c>
      <c r="M13" s="1">
        <v>1</v>
      </c>
      <c r="N13" s="1">
        <v>2</v>
      </c>
      <c r="O13" s="1">
        <v>50</v>
      </c>
      <c r="R13" s="4"/>
      <c r="S13" s="4">
        <v>750</v>
      </c>
      <c r="T13" s="5">
        <f t="shared" si="1"/>
        <v>75000</v>
      </c>
      <c r="U13" s="1">
        <v>0</v>
      </c>
      <c r="W13" s="1">
        <v>0</v>
      </c>
    </row>
    <row r="14" spans="1:57" ht="14.25" customHeight="1" x14ac:dyDescent="0.3">
      <c r="A14" s="1">
        <v>13</v>
      </c>
      <c r="B14" s="1" t="s">
        <v>126</v>
      </c>
      <c r="C14" s="1">
        <v>66</v>
      </c>
      <c r="D14" s="1">
        <v>1</v>
      </c>
      <c r="E14" s="1">
        <v>9207249530</v>
      </c>
      <c r="F14" s="1">
        <v>1</v>
      </c>
      <c r="G14" s="1" t="s">
        <v>113</v>
      </c>
      <c r="H14" s="1">
        <v>1</v>
      </c>
      <c r="I14" s="1">
        <v>2</v>
      </c>
      <c r="J14" s="1">
        <v>0</v>
      </c>
      <c r="K14" s="1">
        <v>0.3</v>
      </c>
      <c r="L14" s="1">
        <v>30</v>
      </c>
      <c r="M14" s="1">
        <v>0</v>
      </c>
      <c r="N14" s="1">
        <v>2</v>
      </c>
      <c r="O14" s="1">
        <v>35</v>
      </c>
      <c r="R14" s="4"/>
      <c r="S14" s="4">
        <v>750</v>
      </c>
      <c r="T14" s="5">
        <f t="shared" si="1"/>
        <v>52500</v>
      </c>
      <c r="U14" s="1">
        <v>0</v>
      </c>
      <c r="W14" s="1">
        <v>0</v>
      </c>
    </row>
    <row r="15" spans="1:57" ht="14.25" customHeight="1" x14ac:dyDescent="0.3">
      <c r="A15" s="1">
        <v>14</v>
      </c>
      <c r="B15" s="1" t="s">
        <v>127</v>
      </c>
      <c r="C15" s="1">
        <v>35</v>
      </c>
      <c r="D15" s="1">
        <v>0</v>
      </c>
      <c r="E15" s="1">
        <v>9638523787</v>
      </c>
      <c r="F15" s="1">
        <v>0</v>
      </c>
      <c r="G15" s="1" t="s">
        <v>128</v>
      </c>
      <c r="H15" s="1">
        <v>3</v>
      </c>
      <c r="I15" s="1">
        <v>5</v>
      </c>
      <c r="J15" s="1">
        <v>1</v>
      </c>
      <c r="K15" s="1">
        <v>1.5</v>
      </c>
      <c r="L15" s="1">
        <v>5</v>
      </c>
      <c r="M15" s="1">
        <v>0</v>
      </c>
      <c r="N15" s="1">
        <v>2</v>
      </c>
      <c r="O15" s="1">
        <v>110</v>
      </c>
      <c r="R15" s="4"/>
      <c r="S15" s="4">
        <v>800</v>
      </c>
      <c r="T15" s="5">
        <f t="shared" si="1"/>
        <v>176000</v>
      </c>
      <c r="U15" s="1">
        <v>0</v>
      </c>
      <c r="W15" s="1">
        <v>1</v>
      </c>
      <c r="Y15" s="1">
        <v>0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0</v>
      </c>
      <c r="AG15" s="1">
        <v>1</v>
      </c>
      <c r="AH15" s="1">
        <v>1</v>
      </c>
    </row>
    <row r="16" spans="1:57" ht="14.25" customHeight="1" x14ac:dyDescent="0.3">
      <c r="A16" s="1">
        <v>15</v>
      </c>
      <c r="B16" s="1" t="s">
        <v>129</v>
      </c>
      <c r="C16" s="1">
        <v>55</v>
      </c>
      <c r="D16" s="1">
        <v>0</v>
      </c>
      <c r="E16" s="1">
        <v>9487297050</v>
      </c>
      <c r="F16" s="1">
        <v>1</v>
      </c>
      <c r="G16" s="1" t="s">
        <v>108</v>
      </c>
      <c r="H16" s="1">
        <v>6</v>
      </c>
      <c r="I16" s="1">
        <v>2</v>
      </c>
      <c r="J16" s="1">
        <v>1</v>
      </c>
      <c r="K16" s="1">
        <v>0.5</v>
      </c>
      <c r="L16" s="7">
        <v>20</v>
      </c>
      <c r="M16" s="1">
        <v>1</v>
      </c>
      <c r="N16" s="1">
        <v>2</v>
      </c>
      <c r="O16" s="1">
        <v>50</v>
      </c>
      <c r="P16" s="8"/>
      <c r="R16" s="4"/>
      <c r="S16" s="4">
        <v>750</v>
      </c>
      <c r="T16" s="5">
        <f t="shared" si="1"/>
        <v>75000</v>
      </c>
      <c r="U16" s="1">
        <v>1</v>
      </c>
      <c r="V16" s="1" t="s">
        <v>123</v>
      </c>
      <c r="W16" s="1">
        <v>1</v>
      </c>
      <c r="Y16" s="1">
        <v>0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1</v>
      </c>
    </row>
    <row r="17" spans="1:34" ht="14.25" customHeight="1" x14ac:dyDescent="0.3">
      <c r="A17" s="1">
        <v>16</v>
      </c>
      <c r="B17" s="1" t="s">
        <v>130</v>
      </c>
      <c r="C17" s="1">
        <v>72</v>
      </c>
      <c r="D17" s="1">
        <v>1</v>
      </c>
      <c r="F17" s="1">
        <v>3</v>
      </c>
      <c r="G17" s="1" t="s">
        <v>110</v>
      </c>
      <c r="H17" s="1">
        <v>1</v>
      </c>
      <c r="I17" s="1">
        <v>2</v>
      </c>
      <c r="J17" s="1">
        <v>1</v>
      </c>
      <c r="K17" s="1">
        <v>2</v>
      </c>
      <c r="L17" s="1">
        <v>30</v>
      </c>
      <c r="M17" s="1">
        <v>0</v>
      </c>
      <c r="N17" s="1">
        <v>2</v>
      </c>
      <c r="O17" s="1">
        <v>100</v>
      </c>
      <c r="R17" s="4"/>
      <c r="S17" s="4">
        <v>750</v>
      </c>
      <c r="T17" s="5">
        <f t="shared" si="1"/>
        <v>150000</v>
      </c>
      <c r="U17" s="1">
        <v>1</v>
      </c>
      <c r="V17" s="1" t="s">
        <v>111</v>
      </c>
      <c r="W17" s="1">
        <v>1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1</v>
      </c>
      <c r="AE17" s="1">
        <v>0</v>
      </c>
      <c r="AF17" s="1">
        <v>0</v>
      </c>
      <c r="AG17" s="1">
        <v>1</v>
      </c>
      <c r="AH17" s="1">
        <v>0</v>
      </c>
    </row>
    <row r="18" spans="1:34" ht="14.25" customHeight="1" x14ac:dyDescent="0.3">
      <c r="A18" s="1">
        <v>17</v>
      </c>
      <c r="B18" s="1" t="s">
        <v>131</v>
      </c>
      <c r="C18" s="1">
        <v>51</v>
      </c>
      <c r="D18" s="1">
        <v>1</v>
      </c>
      <c r="E18" s="1">
        <v>9987279500</v>
      </c>
      <c r="F18" s="1">
        <v>1</v>
      </c>
      <c r="G18" s="1" t="s">
        <v>113</v>
      </c>
      <c r="H18" s="1">
        <v>6</v>
      </c>
      <c r="I18" s="1">
        <v>4</v>
      </c>
      <c r="J18" s="1">
        <v>1</v>
      </c>
      <c r="K18" s="1">
        <v>0.25</v>
      </c>
      <c r="L18" s="1">
        <v>13</v>
      </c>
      <c r="M18" s="1">
        <v>1</v>
      </c>
      <c r="N18" s="1">
        <v>2</v>
      </c>
      <c r="O18" s="1">
        <v>28</v>
      </c>
      <c r="R18" s="4"/>
      <c r="S18" s="4">
        <v>1020</v>
      </c>
      <c r="T18" s="5">
        <f t="shared" si="1"/>
        <v>57120</v>
      </c>
      <c r="U18" s="1">
        <v>1</v>
      </c>
      <c r="V18" s="1" t="s">
        <v>111</v>
      </c>
      <c r="W18" s="1">
        <v>1</v>
      </c>
      <c r="Y18" s="1">
        <v>0</v>
      </c>
      <c r="Z18" s="1">
        <v>0</v>
      </c>
      <c r="AA18" s="1">
        <v>1</v>
      </c>
      <c r="AB18" s="1">
        <v>0</v>
      </c>
      <c r="AC18" s="1">
        <v>1</v>
      </c>
      <c r="AD18" s="1">
        <v>1</v>
      </c>
      <c r="AE18" s="1">
        <v>0</v>
      </c>
      <c r="AF18" s="1">
        <v>0</v>
      </c>
      <c r="AG18" s="1">
        <v>1</v>
      </c>
      <c r="AH18" s="1">
        <v>0</v>
      </c>
    </row>
    <row r="19" spans="1:34" ht="14.25" customHeight="1" x14ac:dyDescent="0.3">
      <c r="A19" s="1">
        <v>18</v>
      </c>
      <c r="B19" s="1" t="s">
        <v>132</v>
      </c>
      <c r="C19" s="1">
        <v>63</v>
      </c>
      <c r="D19" s="1">
        <v>1</v>
      </c>
      <c r="E19" s="1">
        <v>9930235419</v>
      </c>
      <c r="F19" s="1">
        <v>1</v>
      </c>
      <c r="G19" s="1" t="s">
        <v>113</v>
      </c>
      <c r="H19" s="1">
        <v>1</v>
      </c>
      <c r="I19" s="1">
        <v>3</v>
      </c>
      <c r="J19" s="1">
        <v>0</v>
      </c>
      <c r="K19" s="1">
        <v>0.2</v>
      </c>
      <c r="L19" s="1">
        <v>30</v>
      </c>
      <c r="M19" s="1">
        <v>0</v>
      </c>
      <c r="N19" s="1">
        <v>2</v>
      </c>
      <c r="O19" s="1">
        <v>18</v>
      </c>
      <c r="R19" s="4"/>
      <c r="S19" s="4">
        <v>750</v>
      </c>
      <c r="T19" s="5">
        <f t="shared" si="1"/>
        <v>27000</v>
      </c>
      <c r="U19" s="1">
        <v>1</v>
      </c>
      <c r="V19" s="1" t="s">
        <v>111</v>
      </c>
      <c r="W19" s="1">
        <v>1</v>
      </c>
      <c r="Y19" s="1">
        <v>0</v>
      </c>
      <c r="Z19" s="1">
        <v>0</v>
      </c>
      <c r="AA19" s="1">
        <v>1</v>
      </c>
      <c r="AB19" s="1">
        <v>0</v>
      </c>
      <c r="AC19" s="1">
        <v>1</v>
      </c>
      <c r="AD19" s="1">
        <v>1</v>
      </c>
      <c r="AE19" s="1">
        <v>0</v>
      </c>
      <c r="AF19" s="1">
        <v>0</v>
      </c>
      <c r="AG19" s="1">
        <v>1</v>
      </c>
      <c r="AH19" s="1">
        <v>0</v>
      </c>
    </row>
    <row r="20" spans="1:34" ht="14.25" customHeight="1" x14ac:dyDescent="0.3">
      <c r="A20" s="1">
        <v>19</v>
      </c>
      <c r="B20" s="1" t="s">
        <v>133</v>
      </c>
      <c r="C20" s="1">
        <v>45</v>
      </c>
      <c r="D20" s="1">
        <v>1</v>
      </c>
      <c r="E20" s="1">
        <v>9534463825</v>
      </c>
      <c r="F20" s="1">
        <v>1</v>
      </c>
      <c r="G20" s="1" t="s">
        <v>108</v>
      </c>
      <c r="H20" s="1">
        <v>2</v>
      </c>
      <c r="I20" s="1">
        <v>4</v>
      </c>
      <c r="J20" s="1">
        <v>0</v>
      </c>
      <c r="K20" s="1">
        <v>0.3</v>
      </c>
      <c r="L20" s="1">
        <v>5</v>
      </c>
      <c r="M20" s="1">
        <v>1</v>
      </c>
      <c r="N20" s="1">
        <v>2</v>
      </c>
      <c r="O20" s="1">
        <v>17</v>
      </c>
      <c r="R20" s="4"/>
      <c r="S20" s="4">
        <v>750</v>
      </c>
      <c r="T20" s="5">
        <f t="shared" si="1"/>
        <v>25500</v>
      </c>
      <c r="U20" s="1">
        <v>1</v>
      </c>
      <c r="V20" s="1" t="s">
        <v>134</v>
      </c>
      <c r="W20" s="1">
        <v>1</v>
      </c>
      <c r="Y20" s="1">
        <v>0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  <row r="21" spans="1:34" ht="14.25" customHeight="1" x14ac:dyDescent="0.3">
      <c r="R21" s="4"/>
      <c r="S21" s="4"/>
      <c r="T21" s="4"/>
    </row>
    <row r="22" spans="1:34" ht="14.25" customHeight="1" x14ac:dyDescent="0.3">
      <c r="R22" s="4"/>
      <c r="S22" s="4"/>
      <c r="T22" s="4"/>
    </row>
    <row r="23" spans="1:34" ht="14.25" customHeight="1" x14ac:dyDescent="0.3">
      <c r="R23" s="4"/>
      <c r="S23" s="4"/>
      <c r="T23" s="4"/>
    </row>
    <row r="24" spans="1:34" ht="14.25" customHeight="1" x14ac:dyDescent="0.3">
      <c r="R24" s="4"/>
      <c r="S24" s="4"/>
      <c r="T24" s="4"/>
    </row>
    <row r="25" spans="1:34" ht="14.25" customHeight="1" x14ac:dyDescent="0.3">
      <c r="R25" s="4"/>
      <c r="S25" s="4"/>
      <c r="T25" s="4"/>
    </row>
    <row r="26" spans="1:34" ht="14.25" customHeight="1" x14ac:dyDescent="0.3">
      <c r="R26" s="4"/>
      <c r="S26" s="4"/>
      <c r="T26" s="4"/>
    </row>
    <row r="27" spans="1:34" ht="14.25" customHeight="1" x14ac:dyDescent="0.3">
      <c r="R27" s="4"/>
      <c r="S27" s="4"/>
      <c r="T27" s="4"/>
    </row>
    <row r="28" spans="1:34" ht="14.25" customHeight="1" x14ac:dyDescent="0.3">
      <c r="R28" s="4"/>
      <c r="S28" s="4"/>
      <c r="T28" s="4"/>
    </row>
    <row r="29" spans="1:34" ht="14.25" customHeight="1" x14ac:dyDescent="0.3">
      <c r="R29" s="4"/>
      <c r="S29" s="4"/>
      <c r="T29" s="4"/>
    </row>
    <row r="30" spans="1:34" ht="14.25" customHeight="1" x14ac:dyDescent="0.3">
      <c r="R30" s="4"/>
      <c r="S30" s="4"/>
      <c r="T30" s="4"/>
    </row>
    <row r="31" spans="1:34" ht="14.25" customHeight="1" x14ac:dyDescent="0.3">
      <c r="R31" s="4"/>
      <c r="S31" s="4"/>
      <c r="T31" s="4"/>
    </row>
    <row r="32" spans="1:34" ht="14.25" customHeight="1" x14ac:dyDescent="0.3">
      <c r="R32" s="4"/>
      <c r="S32" s="4"/>
      <c r="T32" s="4"/>
    </row>
    <row r="33" spans="18:20" ht="14.25" customHeight="1" x14ac:dyDescent="0.3">
      <c r="R33" s="4"/>
      <c r="S33" s="4"/>
      <c r="T33" s="4"/>
    </row>
    <row r="34" spans="18:20" ht="14.25" customHeight="1" x14ac:dyDescent="0.3">
      <c r="R34" s="4"/>
      <c r="S34" s="4"/>
      <c r="T34" s="4"/>
    </row>
    <row r="35" spans="18:20" ht="14.25" customHeight="1" x14ac:dyDescent="0.3">
      <c r="R35" s="4"/>
      <c r="S35" s="4"/>
      <c r="T35" s="4"/>
    </row>
    <row r="36" spans="18:20" ht="14.25" customHeight="1" x14ac:dyDescent="0.3">
      <c r="R36" s="4"/>
      <c r="S36" s="4"/>
      <c r="T36" s="4"/>
    </row>
    <row r="37" spans="18:20" ht="14.25" customHeight="1" x14ac:dyDescent="0.3">
      <c r="R37" s="4"/>
      <c r="S37" s="4"/>
      <c r="T37" s="4"/>
    </row>
    <row r="38" spans="18:20" ht="14.25" customHeight="1" x14ac:dyDescent="0.3">
      <c r="R38" s="4"/>
      <c r="S38" s="4"/>
      <c r="T38" s="4"/>
    </row>
    <row r="39" spans="18:20" ht="14.25" customHeight="1" x14ac:dyDescent="0.3">
      <c r="R39" s="4"/>
      <c r="S39" s="4"/>
      <c r="T39" s="4"/>
    </row>
    <row r="40" spans="18:20" ht="14.25" customHeight="1" x14ac:dyDescent="0.3">
      <c r="R40" s="4"/>
      <c r="S40" s="4"/>
      <c r="T40" s="4"/>
    </row>
    <row r="41" spans="18:20" ht="14.25" customHeight="1" x14ac:dyDescent="0.3">
      <c r="R41" s="4"/>
      <c r="S41" s="4"/>
      <c r="T41" s="4"/>
    </row>
    <row r="42" spans="18:20" ht="14.25" customHeight="1" x14ac:dyDescent="0.3">
      <c r="R42" s="4"/>
      <c r="S42" s="4"/>
      <c r="T42" s="4"/>
    </row>
    <row r="43" spans="18:20" ht="14.25" customHeight="1" x14ac:dyDescent="0.3">
      <c r="R43" s="4"/>
      <c r="S43" s="4"/>
      <c r="T43" s="4"/>
    </row>
    <row r="44" spans="18:20" ht="14.25" customHeight="1" x14ac:dyDescent="0.3">
      <c r="R44" s="4"/>
      <c r="S44" s="4"/>
      <c r="T44" s="4"/>
    </row>
    <row r="45" spans="18:20" ht="14.25" customHeight="1" x14ac:dyDescent="0.3">
      <c r="R45" s="4"/>
      <c r="S45" s="4"/>
      <c r="T45" s="4"/>
    </row>
    <row r="46" spans="18:20" ht="14.25" customHeight="1" x14ac:dyDescent="0.3">
      <c r="R46" s="4"/>
      <c r="S46" s="4"/>
      <c r="T46" s="4"/>
    </row>
    <row r="47" spans="18:20" ht="14.25" customHeight="1" x14ac:dyDescent="0.3">
      <c r="R47" s="4"/>
      <c r="S47" s="4"/>
      <c r="T47" s="4"/>
    </row>
    <row r="48" spans="18:20" ht="14.25" customHeight="1" x14ac:dyDescent="0.3">
      <c r="R48" s="4"/>
      <c r="S48" s="4"/>
      <c r="T48" s="4"/>
    </row>
    <row r="49" spans="18:20" ht="14.25" customHeight="1" x14ac:dyDescent="0.3">
      <c r="R49" s="4"/>
      <c r="S49" s="4"/>
      <c r="T49" s="4"/>
    </row>
    <row r="50" spans="18:20" ht="14.25" customHeight="1" x14ac:dyDescent="0.3">
      <c r="R50" s="4"/>
      <c r="S50" s="4"/>
      <c r="T50" s="4"/>
    </row>
    <row r="51" spans="18:20" ht="14.25" customHeight="1" x14ac:dyDescent="0.3">
      <c r="R51" s="4"/>
      <c r="S51" s="4"/>
      <c r="T51" s="4"/>
    </row>
    <row r="52" spans="18:20" ht="14.25" customHeight="1" x14ac:dyDescent="0.3">
      <c r="R52" s="4"/>
      <c r="S52" s="4"/>
      <c r="T52" s="4"/>
    </row>
    <row r="53" spans="18:20" ht="14.25" customHeight="1" x14ac:dyDescent="0.3">
      <c r="R53" s="4"/>
      <c r="S53" s="4"/>
      <c r="T53" s="4"/>
    </row>
    <row r="54" spans="18:20" ht="14.25" customHeight="1" x14ac:dyDescent="0.3">
      <c r="R54" s="4"/>
      <c r="S54" s="4"/>
      <c r="T54" s="4"/>
    </row>
    <row r="55" spans="18:20" ht="14.25" customHeight="1" x14ac:dyDescent="0.3">
      <c r="R55" s="4"/>
      <c r="S55" s="4"/>
      <c r="T55" s="4"/>
    </row>
    <row r="56" spans="18:20" ht="14.25" customHeight="1" x14ac:dyDescent="0.3">
      <c r="R56" s="4"/>
      <c r="S56" s="4"/>
      <c r="T56" s="4"/>
    </row>
    <row r="57" spans="18:20" ht="14.25" customHeight="1" x14ac:dyDescent="0.3">
      <c r="R57" s="4"/>
      <c r="S57" s="4"/>
      <c r="T57" s="4"/>
    </row>
    <row r="58" spans="18:20" ht="14.25" customHeight="1" x14ac:dyDescent="0.3">
      <c r="R58" s="4"/>
      <c r="S58" s="4"/>
      <c r="T58" s="4"/>
    </row>
    <row r="59" spans="18:20" ht="14.25" customHeight="1" x14ac:dyDescent="0.3">
      <c r="R59" s="4"/>
      <c r="S59" s="4"/>
      <c r="T59" s="4"/>
    </row>
    <row r="60" spans="18:20" ht="14.25" customHeight="1" x14ac:dyDescent="0.3">
      <c r="R60" s="4"/>
      <c r="S60" s="4"/>
      <c r="T60" s="4"/>
    </row>
    <row r="61" spans="18:20" ht="14.25" customHeight="1" x14ac:dyDescent="0.3">
      <c r="R61" s="4"/>
      <c r="S61" s="4"/>
      <c r="T61" s="4"/>
    </row>
    <row r="62" spans="18:20" ht="14.25" customHeight="1" x14ac:dyDescent="0.3">
      <c r="R62" s="4"/>
      <c r="S62" s="4"/>
      <c r="T62" s="4"/>
    </row>
    <row r="63" spans="18:20" ht="14.25" customHeight="1" x14ac:dyDescent="0.3">
      <c r="R63" s="4"/>
      <c r="S63" s="4"/>
      <c r="T63" s="4"/>
    </row>
    <row r="64" spans="18:20" ht="14.25" customHeight="1" x14ac:dyDescent="0.3">
      <c r="R64" s="4"/>
      <c r="S64" s="4"/>
      <c r="T64" s="4"/>
    </row>
    <row r="65" spans="18:20" ht="14.25" customHeight="1" x14ac:dyDescent="0.3">
      <c r="R65" s="4"/>
      <c r="S65" s="4"/>
      <c r="T65" s="4"/>
    </row>
    <row r="66" spans="18:20" ht="14.25" customHeight="1" x14ac:dyDescent="0.3">
      <c r="R66" s="4"/>
      <c r="S66" s="4"/>
      <c r="T66" s="4"/>
    </row>
    <row r="67" spans="18:20" ht="14.25" customHeight="1" x14ac:dyDescent="0.3">
      <c r="R67" s="4"/>
      <c r="S67" s="4"/>
      <c r="T67" s="4"/>
    </row>
    <row r="68" spans="18:20" ht="14.25" customHeight="1" x14ac:dyDescent="0.3">
      <c r="R68" s="4"/>
      <c r="S68" s="4"/>
      <c r="T68" s="4"/>
    </row>
    <row r="69" spans="18:20" ht="14.25" customHeight="1" x14ac:dyDescent="0.3">
      <c r="R69" s="4"/>
      <c r="S69" s="4"/>
      <c r="T69" s="4"/>
    </row>
    <row r="70" spans="18:20" ht="14.25" customHeight="1" x14ac:dyDescent="0.3">
      <c r="R70" s="4"/>
      <c r="S70" s="4"/>
      <c r="T70" s="4"/>
    </row>
    <row r="71" spans="18:20" ht="14.25" customHeight="1" x14ac:dyDescent="0.3">
      <c r="R71" s="4"/>
      <c r="S71" s="4"/>
      <c r="T71" s="4"/>
    </row>
    <row r="72" spans="18:20" ht="14.25" customHeight="1" x14ac:dyDescent="0.3">
      <c r="R72" s="4"/>
      <c r="S72" s="4"/>
      <c r="T72" s="4"/>
    </row>
    <row r="73" spans="18:20" ht="14.25" customHeight="1" x14ac:dyDescent="0.3">
      <c r="R73" s="4"/>
      <c r="S73" s="4"/>
      <c r="T73" s="4"/>
    </row>
    <row r="74" spans="18:20" ht="14.25" customHeight="1" x14ac:dyDescent="0.3">
      <c r="R74" s="4"/>
      <c r="S74" s="4"/>
      <c r="T74" s="4"/>
    </row>
    <row r="75" spans="18:20" ht="14.25" customHeight="1" x14ac:dyDescent="0.3">
      <c r="R75" s="4"/>
      <c r="S75" s="4"/>
      <c r="T75" s="4"/>
    </row>
    <row r="76" spans="18:20" ht="14.25" customHeight="1" x14ac:dyDescent="0.3">
      <c r="R76" s="4"/>
      <c r="S76" s="4"/>
      <c r="T76" s="4"/>
    </row>
    <row r="77" spans="18:20" ht="14.25" customHeight="1" x14ac:dyDescent="0.3">
      <c r="R77" s="4"/>
      <c r="S77" s="4"/>
      <c r="T77" s="4"/>
    </row>
    <row r="78" spans="18:20" ht="14.25" customHeight="1" x14ac:dyDescent="0.3">
      <c r="R78" s="4"/>
      <c r="S78" s="4"/>
      <c r="T78" s="4"/>
    </row>
    <row r="79" spans="18:20" ht="14.25" customHeight="1" x14ac:dyDescent="0.3">
      <c r="R79" s="4"/>
      <c r="S79" s="4"/>
      <c r="T79" s="4"/>
    </row>
    <row r="80" spans="18:20" ht="14.25" customHeight="1" x14ac:dyDescent="0.3">
      <c r="R80" s="4"/>
      <c r="S80" s="4"/>
      <c r="T80" s="4"/>
    </row>
    <row r="81" spans="18:20" ht="14.25" customHeight="1" x14ac:dyDescent="0.3">
      <c r="R81" s="4"/>
      <c r="S81" s="4"/>
      <c r="T81" s="4"/>
    </row>
    <row r="82" spans="18:20" ht="14.25" customHeight="1" x14ac:dyDescent="0.3">
      <c r="R82" s="4"/>
      <c r="S82" s="4"/>
      <c r="T82" s="4"/>
    </row>
    <row r="83" spans="18:20" ht="14.25" customHeight="1" x14ac:dyDescent="0.3">
      <c r="R83" s="4"/>
      <c r="S83" s="4"/>
      <c r="T83" s="4"/>
    </row>
    <row r="84" spans="18:20" ht="14.25" customHeight="1" x14ac:dyDescent="0.3">
      <c r="R84" s="4"/>
      <c r="S84" s="4"/>
      <c r="T84" s="4"/>
    </row>
    <row r="85" spans="18:20" ht="14.25" customHeight="1" x14ac:dyDescent="0.3">
      <c r="R85" s="4"/>
      <c r="S85" s="4"/>
      <c r="T85" s="4"/>
    </row>
    <row r="86" spans="18:20" ht="14.25" customHeight="1" x14ac:dyDescent="0.3">
      <c r="R86" s="4"/>
      <c r="S86" s="4"/>
      <c r="T86" s="4"/>
    </row>
    <row r="87" spans="18:20" ht="14.25" customHeight="1" x14ac:dyDescent="0.3">
      <c r="R87" s="4"/>
      <c r="S87" s="4"/>
      <c r="T87" s="4"/>
    </row>
    <row r="88" spans="18:20" ht="14.25" customHeight="1" x14ac:dyDescent="0.3">
      <c r="R88" s="4"/>
      <c r="S88" s="4"/>
      <c r="T88" s="4"/>
    </row>
    <row r="89" spans="18:20" ht="14.25" customHeight="1" x14ac:dyDescent="0.3">
      <c r="R89" s="4"/>
      <c r="S89" s="4"/>
      <c r="T89" s="4"/>
    </row>
    <row r="90" spans="18:20" ht="14.25" customHeight="1" x14ac:dyDescent="0.3">
      <c r="R90" s="4"/>
      <c r="S90" s="4"/>
      <c r="T90" s="4"/>
    </row>
    <row r="91" spans="18:20" ht="14.25" customHeight="1" x14ac:dyDescent="0.3">
      <c r="R91" s="4"/>
      <c r="S91" s="4"/>
      <c r="T91" s="4"/>
    </row>
    <row r="92" spans="18:20" ht="14.25" customHeight="1" x14ac:dyDescent="0.3">
      <c r="R92" s="4"/>
      <c r="S92" s="4"/>
      <c r="T92" s="4"/>
    </row>
    <row r="93" spans="18:20" ht="14.25" customHeight="1" x14ac:dyDescent="0.3">
      <c r="R93" s="4"/>
      <c r="S93" s="4"/>
      <c r="T93" s="4"/>
    </row>
    <row r="94" spans="18:20" ht="14.25" customHeight="1" x14ac:dyDescent="0.3">
      <c r="R94" s="4"/>
      <c r="S94" s="4"/>
      <c r="T94" s="4"/>
    </row>
    <row r="95" spans="18:20" ht="14.25" customHeight="1" x14ac:dyDescent="0.3">
      <c r="R95" s="4"/>
      <c r="S95" s="4"/>
      <c r="T95" s="4"/>
    </row>
    <row r="96" spans="18:20" ht="14.25" customHeight="1" x14ac:dyDescent="0.3">
      <c r="R96" s="4"/>
      <c r="S96" s="4"/>
      <c r="T96" s="4"/>
    </row>
    <row r="97" spans="18:20" ht="14.25" customHeight="1" x14ac:dyDescent="0.3">
      <c r="R97" s="4"/>
      <c r="S97" s="4"/>
      <c r="T97" s="4"/>
    </row>
    <row r="98" spans="18:20" ht="14.25" customHeight="1" x14ac:dyDescent="0.3">
      <c r="R98" s="4"/>
      <c r="S98" s="4"/>
      <c r="T98" s="4"/>
    </row>
    <row r="99" spans="18:20" ht="14.25" customHeight="1" x14ac:dyDescent="0.3">
      <c r="R99" s="4"/>
      <c r="S99" s="4"/>
      <c r="T99" s="4"/>
    </row>
    <row r="100" spans="18:20" ht="14.25" customHeight="1" x14ac:dyDescent="0.3">
      <c r="R100" s="4"/>
      <c r="S100" s="4"/>
      <c r="T100" s="4"/>
    </row>
    <row r="101" spans="18:20" ht="14.25" customHeight="1" x14ac:dyDescent="0.3">
      <c r="R101" s="4"/>
      <c r="S101" s="4"/>
      <c r="T101" s="4"/>
    </row>
    <row r="102" spans="18:20" ht="14.25" customHeight="1" x14ac:dyDescent="0.3">
      <c r="R102" s="4"/>
      <c r="S102" s="4"/>
      <c r="T102" s="4"/>
    </row>
    <row r="103" spans="18:20" ht="14.25" customHeight="1" x14ac:dyDescent="0.3">
      <c r="R103" s="4"/>
      <c r="S103" s="4"/>
      <c r="T103" s="4"/>
    </row>
    <row r="104" spans="18:20" ht="14.25" customHeight="1" x14ac:dyDescent="0.3">
      <c r="R104" s="4"/>
      <c r="S104" s="4"/>
      <c r="T104" s="4"/>
    </row>
    <row r="105" spans="18:20" ht="14.25" customHeight="1" x14ac:dyDescent="0.3">
      <c r="R105" s="4"/>
      <c r="S105" s="4"/>
      <c r="T105" s="4"/>
    </row>
    <row r="106" spans="18:20" ht="14.25" customHeight="1" x14ac:dyDescent="0.3">
      <c r="R106" s="4"/>
      <c r="S106" s="4"/>
      <c r="T106" s="4"/>
    </row>
    <row r="107" spans="18:20" ht="14.25" customHeight="1" x14ac:dyDescent="0.3">
      <c r="R107" s="4"/>
      <c r="S107" s="4"/>
      <c r="T107" s="4"/>
    </row>
    <row r="108" spans="18:20" ht="14.25" customHeight="1" x14ac:dyDescent="0.3">
      <c r="R108" s="4"/>
      <c r="S108" s="4"/>
      <c r="T108" s="4"/>
    </row>
    <row r="109" spans="18:20" ht="14.25" customHeight="1" x14ac:dyDescent="0.3">
      <c r="R109" s="4"/>
      <c r="S109" s="4"/>
      <c r="T109" s="4"/>
    </row>
    <row r="110" spans="18:20" ht="14.25" customHeight="1" x14ac:dyDescent="0.3">
      <c r="R110" s="4"/>
      <c r="S110" s="4"/>
      <c r="T110" s="4"/>
    </row>
    <row r="111" spans="18:20" ht="14.25" customHeight="1" x14ac:dyDescent="0.3">
      <c r="R111" s="4"/>
      <c r="S111" s="4"/>
      <c r="T111" s="4"/>
    </row>
    <row r="112" spans="18:20" ht="14.25" customHeight="1" x14ac:dyDescent="0.3">
      <c r="R112" s="4"/>
      <c r="S112" s="4"/>
      <c r="T112" s="4"/>
    </row>
    <row r="113" spans="18:20" ht="14.25" customHeight="1" x14ac:dyDescent="0.3">
      <c r="R113" s="4"/>
      <c r="S113" s="4"/>
      <c r="T113" s="4"/>
    </row>
    <row r="114" spans="18:20" ht="14.25" customHeight="1" x14ac:dyDescent="0.3">
      <c r="R114" s="4"/>
      <c r="S114" s="4"/>
      <c r="T114" s="4"/>
    </row>
    <row r="115" spans="18:20" ht="14.25" customHeight="1" x14ac:dyDescent="0.3">
      <c r="R115" s="4"/>
      <c r="S115" s="4"/>
      <c r="T115" s="4"/>
    </row>
    <row r="116" spans="18:20" ht="14.25" customHeight="1" x14ac:dyDescent="0.3">
      <c r="R116" s="4"/>
      <c r="S116" s="4"/>
      <c r="T116" s="4"/>
    </row>
    <row r="117" spans="18:20" ht="14.25" customHeight="1" x14ac:dyDescent="0.3">
      <c r="R117" s="4"/>
      <c r="S117" s="4"/>
      <c r="T117" s="4"/>
    </row>
    <row r="118" spans="18:20" ht="14.25" customHeight="1" x14ac:dyDescent="0.3">
      <c r="R118" s="4"/>
      <c r="S118" s="4"/>
      <c r="T118" s="4"/>
    </row>
    <row r="119" spans="18:20" ht="14.25" customHeight="1" x14ac:dyDescent="0.3">
      <c r="R119" s="4"/>
      <c r="S119" s="4"/>
      <c r="T119" s="4"/>
    </row>
    <row r="120" spans="18:20" ht="14.25" customHeight="1" x14ac:dyDescent="0.3">
      <c r="R120" s="4"/>
      <c r="S120" s="4"/>
      <c r="T120" s="4"/>
    </row>
    <row r="121" spans="18:20" ht="14.25" customHeight="1" x14ac:dyDescent="0.3">
      <c r="R121" s="4"/>
      <c r="S121" s="4"/>
      <c r="T121" s="4"/>
    </row>
    <row r="122" spans="18:20" ht="14.25" customHeight="1" x14ac:dyDescent="0.3">
      <c r="R122" s="4"/>
      <c r="S122" s="4"/>
      <c r="T122" s="4"/>
    </row>
    <row r="123" spans="18:20" ht="14.25" customHeight="1" x14ac:dyDescent="0.3">
      <c r="R123" s="4"/>
      <c r="S123" s="4"/>
      <c r="T123" s="4"/>
    </row>
    <row r="124" spans="18:20" ht="14.25" customHeight="1" x14ac:dyDescent="0.3">
      <c r="R124" s="4"/>
      <c r="S124" s="4"/>
      <c r="T124" s="4"/>
    </row>
    <row r="125" spans="18:20" ht="14.25" customHeight="1" x14ac:dyDescent="0.3">
      <c r="R125" s="4"/>
      <c r="S125" s="4"/>
      <c r="T125" s="4"/>
    </row>
    <row r="126" spans="18:20" ht="14.25" customHeight="1" x14ac:dyDescent="0.3">
      <c r="R126" s="4"/>
      <c r="S126" s="4"/>
      <c r="T126" s="4"/>
    </row>
    <row r="127" spans="18:20" ht="14.25" customHeight="1" x14ac:dyDescent="0.3">
      <c r="R127" s="4"/>
      <c r="S127" s="4"/>
      <c r="T127" s="4"/>
    </row>
    <row r="128" spans="18:20" ht="14.25" customHeight="1" x14ac:dyDescent="0.3">
      <c r="R128" s="4"/>
      <c r="S128" s="4"/>
      <c r="T128" s="4"/>
    </row>
    <row r="129" spans="18:20" ht="14.25" customHeight="1" x14ac:dyDescent="0.3">
      <c r="R129" s="4"/>
      <c r="S129" s="4"/>
      <c r="T129" s="4"/>
    </row>
    <row r="130" spans="18:20" ht="14.25" customHeight="1" x14ac:dyDescent="0.3">
      <c r="R130" s="4"/>
      <c r="S130" s="4"/>
      <c r="T130" s="4"/>
    </row>
    <row r="131" spans="18:20" ht="14.25" customHeight="1" x14ac:dyDescent="0.3">
      <c r="R131" s="4"/>
      <c r="S131" s="4"/>
      <c r="T131" s="4"/>
    </row>
    <row r="132" spans="18:20" ht="14.25" customHeight="1" x14ac:dyDescent="0.3">
      <c r="R132" s="4"/>
      <c r="S132" s="4"/>
      <c r="T132" s="4"/>
    </row>
    <row r="133" spans="18:20" ht="14.25" customHeight="1" x14ac:dyDescent="0.3">
      <c r="R133" s="4"/>
      <c r="S133" s="4"/>
      <c r="T133" s="4"/>
    </row>
    <row r="134" spans="18:20" ht="14.25" customHeight="1" x14ac:dyDescent="0.3">
      <c r="R134" s="4"/>
      <c r="S134" s="4"/>
      <c r="T134" s="4"/>
    </row>
    <row r="135" spans="18:20" ht="14.25" customHeight="1" x14ac:dyDescent="0.3">
      <c r="R135" s="4"/>
      <c r="S135" s="4"/>
      <c r="T135" s="4"/>
    </row>
    <row r="136" spans="18:20" ht="14.25" customHeight="1" x14ac:dyDescent="0.3">
      <c r="R136" s="4"/>
      <c r="S136" s="4"/>
      <c r="T136" s="4"/>
    </row>
    <row r="137" spans="18:20" ht="14.25" customHeight="1" x14ac:dyDescent="0.3">
      <c r="R137" s="4"/>
      <c r="S137" s="4"/>
      <c r="T137" s="4"/>
    </row>
    <row r="138" spans="18:20" ht="14.25" customHeight="1" x14ac:dyDescent="0.3">
      <c r="R138" s="4"/>
      <c r="S138" s="4"/>
      <c r="T138" s="4"/>
    </row>
    <row r="139" spans="18:20" ht="14.25" customHeight="1" x14ac:dyDescent="0.3">
      <c r="R139" s="4"/>
      <c r="S139" s="4"/>
      <c r="T139" s="4"/>
    </row>
    <row r="140" spans="18:20" ht="14.25" customHeight="1" x14ac:dyDescent="0.3">
      <c r="R140" s="4"/>
      <c r="S140" s="4"/>
      <c r="T140" s="4"/>
    </row>
    <row r="141" spans="18:20" ht="14.25" customHeight="1" x14ac:dyDescent="0.3">
      <c r="R141" s="4"/>
      <c r="S141" s="4"/>
      <c r="T141" s="4"/>
    </row>
    <row r="142" spans="18:20" ht="14.25" customHeight="1" x14ac:dyDescent="0.3">
      <c r="R142" s="4"/>
      <c r="S142" s="4"/>
      <c r="T142" s="4"/>
    </row>
    <row r="143" spans="18:20" ht="14.25" customHeight="1" x14ac:dyDescent="0.3">
      <c r="R143" s="4"/>
      <c r="S143" s="4"/>
      <c r="T143" s="4"/>
    </row>
    <row r="144" spans="18:20" ht="14.25" customHeight="1" x14ac:dyDescent="0.3">
      <c r="R144" s="4"/>
      <c r="S144" s="4"/>
      <c r="T144" s="4"/>
    </row>
    <row r="145" spans="18:20" ht="14.25" customHeight="1" x14ac:dyDescent="0.3">
      <c r="R145" s="4"/>
      <c r="S145" s="4"/>
      <c r="T145" s="4"/>
    </row>
    <row r="146" spans="18:20" ht="14.25" customHeight="1" x14ac:dyDescent="0.3">
      <c r="R146" s="4"/>
      <c r="S146" s="4"/>
      <c r="T146" s="4"/>
    </row>
    <row r="147" spans="18:20" ht="14.25" customHeight="1" x14ac:dyDescent="0.3">
      <c r="R147" s="4"/>
      <c r="S147" s="4"/>
      <c r="T147" s="4"/>
    </row>
    <row r="148" spans="18:20" ht="14.25" customHeight="1" x14ac:dyDescent="0.3">
      <c r="R148" s="4"/>
      <c r="S148" s="4"/>
      <c r="T148" s="4"/>
    </row>
    <row r="149" spans="18:20" ht="14.25" customHeight="1" x14ac:dyDescent="0.3">
      <c r="R149" s="4"/>
      <c r="S149" s="4"/>
      <c r="T149" s="4"/>
    </row>
    <row r="150" spans="18:20" ht="14.25" customHeight="1" x14ac:dyDescent="0.3">
      <c r="R150" s="4"/>
      <c r="S150" s="4"/>
      <c r="T150" s="4"/>
    </row>
    <row r="151" spans="18:20" ht="14.25" customHeight="1" x14ac:dyDescent="0.3">
      <c r="R151" s="4"/>
      <c r="S151" s="4"/>
      <c r="T151" s="4"/>
    </row>
    <row r="152" spans="18:20" ht="14.25" customHeight="1" x14ac:dyDescent="0.3">
      <c r="R152" s="4"/>
      <c r="S152" s="4"/>
      <c r="T152" s="4"/>
    </row>
    <row r="153" spans="18:20" ht="14.25" customHeight="1" x14ac:dyDescent="0.3">
      <c r="R153" s="4"/>
      <c r="S153" s="4"/>
      <c r="T153" s="4"/>
    </row>
    <row r="154" spans="18:20" ht="14.25" customHeight="1" x14ac:dyDescent="0.3">
      <c r="R154" s="4"/>
      <c r="S154" s="4"/>
      <c r="T154" s="4"/>
    </row>
    <row r="155" spans="18:20" ht="14.25" customHeight="1" x14ac:dyDescent="0.3">
      <c r="R155" s="4"/>
      <c r="S155" s="4"/>
      <c r="T155" s="4"/>
    </row>
    <row r="156" spans="18:20" ht="14.25" customHeight="1" x14ac:dyDescent="0.3">
      <c r="R156" s="4"/>
      <c r="S156" s="4"/>
      <c r="T156" s="4"/>
    </row>
    <row r="157" spans="18:20" ht="14.25" customHeight="1" x14ac:dyDescent="0.3">
      <c r="R157" s="4"/>
      <c r="S157" s="4"/>
      <c r="T157" s="4"/>
    </row>
    <row r="158" spans="18:20" ht="14.25" customHeight="1" x14ac:dyDescent="0.3">
      <c r="R158" s="4"/>
      <c r="S158" s="4"/>
      <c r="T158" s="4"/>
    </row>
    <row r="159" spans="18:20" ht="14.25" customHeight="1" x14ac:dyDescent="0.3">
      <c r="R159" s="4"/>
      <c r="S159" s="4"/>
      <c r="T159" s="4"/>
    </row>
    <row r="160" spans="18:20" ht="14.25" customHeight="1" x14ac:dyDescent="0.3">
      <c r="R160" s="4"/>
      <c r="S160" s="4"/>
      <c r="T160" s="4"/>
    </row>
    <row r="161" spans="18:20" ht="14.25" customHeight="1" x14ac:dyDescent="0.3">
      <c r="R161" s="4"/>
      <c r="S161" s="4"/>
      <c r="T161" s="4"/>
    </row>
    <row r="162" spans="18:20" ht="14.25" customHeight="1" x14ac:dyDescent="0.3">
      <c r="R162" s="4"/>
      <c r="S162" s="4"/>
      <c r="T162" s="4"/>
    </row>
    <row r="163" spans="18:20" ht="14.25" customHeight="1" x14ac:dyDescent="0.3">
      <c r="R163" s="4"/>
      <c r="S163" s="4"/>
      <c r="T163" s="4"/>
    </row>
    <row r="164" spans="18:20" ht="14.25" customHeight="1" x14ac:dyDescent="0.3">
      <c r="R164" s="4"/>
      <c r="S164" s="4"/>
      <c r="T164" s="4"/>
    </row>
    <row r="165" spans="18:20" ht="14.25" customHeight="1" x14ac:dyDescent="0.3">
      <c r="R165" s="4"/>
      <c r="S165" s="4"/>
      <c r="T165" s="4"/>
    </row>
    <row r="166" spans="18:20" ht="14.25" customHeight="1" x14ac:dyDescent="0.3">
      <c r="R166" s="4"/>
      <c r="S166" s="4"/>
      <c r="T166" s="4"/>
    </row>
    <row r="167" spans="18:20" ht="14.25" customHeight="1" x14ac:dyDescent="0.3">
      <c r="R167" s="4"/>
      <c r="S167" s="4"/>
      <c r="T167" s="4"/>
    </row>
    <row r="168" spans="18:20" ht="14.25" customHeight="1" x14ac:dyDescent="0.3">
      <c r="R168" s="4"/>
      <c r="S168" s="4"/>
      <c r="T168" s="4"/>
    </row>
    <row r="169" spans="18:20" ht="14.25" customHeight="1" x14ac:dyDescent="0.3">
      <c r="R169" s="4"/>
      <c r="S169" s="4"/>
      <c r="T169" s="4"/>
    </row>
    <row r="170" spans="18:20" ht="14.25" customHeight="1" x14ac:dyDescent="0.3">
      <c r="R170" s="4"/>
      <c r="S170" s="4"/>
      <c r="T170" s="4"/>
    </row>
    <row r="171" spans="18:20" ht="14.25" customHeight="1" x14ac:dyDescent="0.3">
      <c r="R171" s="4"/>
      <c r="S171" s="4"/>
      <c r="T171" s="4"/>
    </row>
    <row r="172" spans="18:20" ht="14.25" customHeight="1" x14ac:dyDescent="0.3">
      <c r="R172" s="4"/>
      <c r="S172" s="4"/>
      <c r="T172" s="4"/>
    </row>
    <row r="173" spans="18:20" ht="14.25" customHeight="1" x14ac:dyDescent="0.3">
      <c r="R173" s="4"/>
      <c r="S173" s="4"/>
      <c r="T173" s="4"/>
    </row>
    <row r="174" spans="18:20" ht="14.25" customHeight="1" x14ac:dyDescent="0.3">
      <c r="R174" s="4"/>
      <c r="S174" s="4"/>
      <c r="T174" s="4"/>
    </row>
    <row r="175" spans="18:20" ht="14.25" customHeight="1" x14ac:dyDescent="0.3">
      <c r="R175" s="4"/>
      <c r="S175" s="4"/>
      <c r="T175" s="4"/>
    </row>
    <row r="176" spans="18:20" ht="14.25" customHeight="1" x14ac:dyDescent="0.3">
      <c r="R176" s="4"/>
      <c r="S176" s="4"/>
      <c r="T176" s="4"/>
    </row>
    <row r="177" spans="18:20" ht="14.25" customHeight="1" x14ac:dyDescent="0.3">
      <c r="R177" s="4"/>
      <c r="S177" s="4"/>
      <c r="T177" s="4"/>
    </row>
    <row r="178" spans="18:20" ht="14.25" customHeight="1" x14ac:dyDescent="0.3">
      <c r="R178" s="4"/>
      <c r="S178" s="4"/>
      <c r="T178" s="4"/>
    </row>
    <row r="179" spans="18:20" ht="14.25" customHeight="1" x14ac:dyDescent="0.3">
      <c r="R179" s="4"/>
      <c r="S179" s="4"/>
      <c r="T179" s="4"/>
    </row>
    <row r="180" spans="18:20" ht="14.25" customHeight="1" x14ac:dyDescent="0.3">
      <c r="R180" s="4"/>
      <c r="S180" s="4"/>
      <c r="T180" s="4"/>
    </row>
    <row r="181" spans="18:20" ht="14.25" customHeight="1" x14ac:dyDescent="0.3">
      <c r="R181" s="4"/>
      <c r="S181" s="4"/>
      <c r="T181" s="4"/>
    </row>
    <row r="182" spans="18:20" ht="14.25" customHeight="1" x14ac:dyDescent="0.3">
      <c r="R182" s="4"/>
      <c r="S182" s="4"/>
      <c r="T182" s="4"/>
    </row>
    <row r="183" spans="18:20" ht="14.25" customHeight="1" x14ac:dyDescent="0.3">
      <c r="R183" s="4"/>
      <c r="S183" s="4"/>
      <c r="T183" s="4"/>
    </row>
    <row r="184" spans="18:20" ht="14.25" customHeight="1" x14ac:dyDescent="0.3">
      <c r="R184" s="4"/>
      <c r="S184" s="4"/>
      <c r="T184" s="4"/>
    </row>
    <row r="185" spans="18:20" ht="14.25" customHeight="1" x14ac:dyDescent="0.3">
      <c r="R185" s="4"/>
      <c r="S185" s="4"/>
      <c r="T185" s="4"/>
    </row>
    <row r="186" spans="18:20" ht="14.25" customHeight="1" x14ac:dyDescent="0.3">
      <c r="R186" s="4"/>
      <c r="S186" s="4"/>
      <c r="T186" s="4"/>
    </row>
    <row r="187" spans="18:20" ht="14.25" customHeight="1" x14ac:dyDescent="0.3">
      <c r="R187" s="4"/>
      <c r="S187" s="4"/>
      <c r="T187" s="4"/>
    </row>
    <row r="188" spans="18:20" ht="14.25" customHeight="1" x14ac:dyDescent="0.3">
      <c r="R188" s="4"/>
      <c r="S188" s="4"/>
      <c r="T188" s="4"/>
    </row>
    <row r="189" spans="18:20" ht="14.25" customHeight="1" x14ac:dyDescent="0.3">
      <c r="R189" s="4"/>
      <c r="S189" s="4"/>
      <c r="T189" s="4"/>
    </row>
    <row r="190" spans="18:20" ht="14.25" customHeight="1" x14ac:dyDescent="0.3">
      <c r="R190" s="4"/>
      <c r="S190" s="4"/>
      <c r="T190" s="4"/>
    </row>
    <row r="191" spans="18:20" ht="14.25" customHeight="1" x14ac:dyDescent="0.3">
      <c r="R191" s="4"/>
      <c r="S191" s="4"/>
      <c r="T191" s="4"/>
    </row>
    <row r="192" spans="18:20" ht="14.25" customHeight="1" x14ac:dyDescent="0.3">
      <c r="R192" s="4"/>
      <c r="S192" s="4"/>
      <c r="T192" s="4"/>
    </row>
    <row r="193" spans="18:20" ht="14.25" customHeight="1" x14ac:dyDescent="0.3">
      <c r="R193" s="4"/>
      <c r="S193" s="4"/>
      <c r="T193" s="4"/>
    </row>
    <row r="194" spans="18:20" ht="14.25" customHeight="1" x14ac:dyDescent="0.3">
      <c r="R194" s="4"/>
      <c r="S194" s="4"/>
      <c r="T194" s="4"/>
    </row>
    <row r="195" spans="18:20" ht="14.25" customHeight="1" x14ac:dyDescent="0.3">
      <c r="R195" s="4"/>
      <c r="S195" s="4"/>
      <c r="T195" s="4"/>
    </row>
    <row r="196" spans="18:20" ht="14.25" customHeight="1" x14ac:dyDescent="0.3">
      <c r="R196" s="4"/>
      <c r="S196" s="4"/>
      <c r="T196" s="4"/>
    </row>
    <row r="197" spans="18:20" ht="14.25" customHeight="1" x14ac:dyDescent="0.3">
      <c r="R197" s="4"/>
      <c r="S197" s="4"/>
      <c r="T197" s="4"/>
    </row>
    <row r="198" spans="18:20" ht="14.25" customHeight="1" x14ac:dyDescent="0.3">
      <c r="R198" s="4"/>
      <c r="S198" s="4"/>
      <c r="T198" s="4"/>
    </row>
    <row r="199" spans="18:20" ht="14.25" customHeight="1" x14ac:dyDescent="0.3">
      <c r="R199" s="4"/>
      <c r="S199" s="4"/>
      <c r="T199" s="4"/>
    </row>
    <row r="200" spans="18:20" ht="14.25" customHeight="1" x14ac:dyDescent="0.3">
      <c r="R200" s="4"/>
      <c r="S200" s="4"/>
      <c r="T200" s="4"/>
    </row>
    <row r="201" spans="18:20" ht="14.25" customHeight="1" x14ac:dyDescent="0.3">
      <c r="R201" s="4"/>
      <c r="S201" s="4"/>
      <c r="T201" s="4"/>
    </row>
    <row r="202" spans="18:20" ht="14.25" customHeight="1" x14ac:dyDescent="0.3">
      <c r="R202" s="4"/>
      <c r="S202" s="4"/>
      <c r="T202" s="4"/>
    </row>
    <row r="203" spans="18:20" ht="14.25" customHeight="1" x14ac:dyDescent="0.3">
      <c r="R203" s="4"/>
      <c r="S203" s="4"/>
      <c r="T203" s="4"/>
    </row>
    <row r="204" spans="18:20" ht="14.25" customHeight="1" x14ac:dyDescent="0.3">
      <c r="R204" s="4"/>
      <c r="S204" s="4"/>
      <c r="T204" s="4"/>
    </row>
    <row r="205" spans="18:20" ht="14.25" customHeight="1" x14ac:dyDescent="0.3">
      <c r="R205" s="4"/>
      <c r="S205" s="4"/>
      <c r="T205" s="4"/>
    </row>
    <row r="206" spans="18:20" ht="14.25" customHeight="1" x14ac:dyDescent="0.3">
      <c r="R206" s="4"/>
      <c r="S206" s="4"/>
      <c r="T206" s="4"/>
    </row>
    <row r="207" spans="18:20" ht="14.25" customHeight="1" x14ac:dyDescent="0.3">
      <c r="R207" s="4"/>
      <c r="S207" s="4"/>
      <c r="T207" s="4"/>
    </row>
    <row r="208" spans="18:20" ht="14.25" customHeight="1" x14ac:dyDescent="0.3">
      <c r="R208" s="4"/>
      <c r="S208" s="4"/>
      <c r="T208" s="4"/>
    </row>
    <row r="209" spans="18:20" ht="14.25" customHeight="1" x14ac:dyDescent="0.3">
      <c r="R209" s="4"/>
      <c r="S209" s="4"/>
      <c r="T209" s="4"/>
    </row>
    <row r="210" spans="18:20" ht="14.25" customHeight="1" x14ac:dyDescent="0.3">
      <c r="R210" s="4"/>
      <c r="S210" s="4"/>
      <c r="T210" s="4"/>
    </row>
    <row r="211" spans="18:20" ht="14.25" customHeight="1" x14ac:dyDescent="0.3">
      <c r="R211" s="4"/>
      <c r="S211" s="4"/>
      <c r="T211" s="4"/>
    </row>
    <row r="212" spans="18:20" ht="14.25" customHeight="1" x14ac:dyDescent="0.3">
      <c r="R212" s="4"/>
      <c r="S212" s="4"/>
      <c r="T212" s="4"/>
    </row>
    <row r="213" spans="18:20" ht="14.25" customHeight="1" x14ac:dyDescent="0.3">
      <c r="R213" s="4"/>
      <c r="S213" s="4"/>
      <c r="T213" s="4"/>
    </row>
    <row r="214" spans="18:20" ht="14.25" customHeight="1" x14ac:dyDescent="0.3">
      <c r="R214" s="4"/>
      <c r="S214" s="4"/>
      <c r="T214" s="4"/>
    </row>
    <row r="215" spans="18:20" ht="14.25" customHeight="1" x14ac:dyDescent="0.3">
      <c r="R215" s="4"/>
      <c r="S215" s="4"/>
      <c r="T215" s="4"/>
    </row>
    <row r="216" spans="18:20" ht="14.25" customHeight="1" x14ac:dyDescent="0.3">
      <c r="R216" s="4"/>
      <c r="S216" s="4"/>
      <c r="T216" s="4"/>
    </row>
    <row r="217" spans="18:20" ht="14.25" customHeight="1" x14ac:dyDescent="0.3">
      <c r="R217" s="4"/>
      <c r="S217" s="4"/>
      <c r="T217" s="4"/>
    </row>
    <row r="218" spans="18:20" ht="14.25" customHeight="1" x14ac:dyDescent="0.3">
      <c r="R218" s="4"/>
      <c r="S218" s="4"/>
      <c r="T218" s="4"/>
    </row>
    <row r="219" spans="18:20" ht="14.25" customHeight="1" x14ac:dyDescent="0.3">
      <c r="R219" s="4"/>
      <c r="S219" s="4"/>
      <c r="T219" s="4"/>
    </row>
    <row r="220" spans="18:20" ht="14.25" customHeight="1" x14ac:dyDescent="0.3">
      <c r="R220" s="4"/>
      <c r="S220" s="4"/>
      <c r="T220" s="4"/>
    </row>
    <row r="221" spans="18:20" ht="14.25" customHeight="1" x14ac:dyDescent="0.3">
      <c r="R221" s="4"/>
      <c r="S221" s="4"/>
      <c r="T221" s="4"/>
    </row>
    <row r="222" spans="18:20" ht="14.25" customHeight="1" x14ac:dyDescent="0.3">
      <c r="R222" s="4"/>
      <c r="S222" s="4"/>
      <c r="T222" s="4"/>
    </row>
    <row r="223" spans="18:20" ht="14.25" customHeight="1" x14ac:dyDescent="0.3">
      <c r="R223" s="4"/>
      <c r="S223" s="4"/>
      <c r="T223" s="4"/>
    </row>
    <row r="224" spans="18:20" ht="14.25" customHeight="1" x14ac:dyDescent="0.3">
      <c r="R224" s="4"/>
      <c r="S224" s="4"/>
      <c r="T224" s="4"/>
    </row>
    <row r="225" spans="18:20" ht="14.25" customHeight="1" x14ac:dyDescent="0.3">
      <c r="R225" s="4"/>
      <c r="S225" s="4"/>
      <c r="T225" s="4"/>
    </row>
    <row r="226" spans="18:20" ht="14.25" customHeight="1" x14ac:dyDescent="0.3">
      <c r="R226" s="4"/>
      <c r="S226" s="4"/>
      <c r="T226" s="4"/>
    </row>
    <row r="227" spans="18:20" ht="14.25" customHeight="1" x14ac:dyDescent="0.3">
      <c r="R227" s="4"/>
      <c r="S227" s="4"/>
      <c r="T227" s="4"/>
    </row>
    <row r="228" spans="18:20" ht="14.25" customHeight="1" x14ac:dyDescent="0.3">
      <c r="R228" s="4"/>
      <c r="S228" s="4"/>
      <c r="T228" s="4"/>
    </row>
    <row r="229" spans="18:20" ht="14.25" customHeight="1" x14ac:dyDescent="0.3">
      <c r="R229" s="4"/>
      <c r="S229" s="4"/>
      <c r="T229" s="4"/>
    </row>
    <row r="230" spans="18:20" ht="14.25" customHeight="1" x14ac:dyDescent="0.3">
      <c r="R230" s="4"/>
      <c r="S230" s="4"/>
      <c r="T230" s="4"/>
    </row>
    <row r="231" spans="18:20" ht="14.25" customHeight="1" x14ac:dyDescent="0.3">
      <c r="R231" s="4"/>
      <c r="S231" s="4"/>
      <c r="T231" s="4"/>
    </row>
    <row r="232" spans="18:20" ht="14.25" customHeight="1" x14ac:dyDescent="0.3">
      <c r="R232" s="4"/>
      <c r="S232" s="4"/>
      <c r="T232" s="4"/>
    </row>
    <row r="233" spans="18:20" ht="14.25" customHeight="1" x14ac:dyDescent="0.3">
      <c r="R233" s="4"/>
      <c r="S233" s="4"/>
      <c r="T233" s="4"/>
    </row>
    <row r="234" spans="18:20" ht="14.25" customHeight="1" x14ac:dyDescent="0.3">
      <c r="R234" s="4"/>
      <c r="S234" s="4"/>
      <c r="T234" s="4"/>
    </row>
    <row r="235" spans="18:20" ht="14.25" customHeight="1" x14ac:dyDescent="0.3">
      <c r="R235" s="4"/>
      <c r="S235" s="4"/>
      <c r="T235" s="4"/>
    </row>
    <row r="236" spans="18:20" ht="14.25" customHeight="1" x14ac:dyDescent="0.3">
      <c r="R236" s="4"/>
      <c r="S236" s="4"/>
      <c r="T236" s="4"/>
    </row>
    <row r="237" spans="18:20" ht="14.25" customHeight="1" x14ac:dyDescent="0.3">
      <c r="R237" s="4"/>
      <c r="S237" s="4"/>
      <c r="T237" s="4"/>
    </row>
    <row r="238" spans="18:20" ht="14.25" customHeight="1" x14ac:dyDescent="0.3">
      <c r="R238" s="4"/>
      <c r="S238" s="4"/>
      <c r="T238" s="4"/>
    </row>
    <row r="239" spans="18:20" ht="14.25" customHeight="1" x14ac:dyDescent="0.3">
      <c r="R239" s="4"/>
      <c r="S239" s="4"/>
      <c r="T239" s="4"/>
    </row>
    <row r="240" spans="18:20" ht="14.25" customHeight="1" x14ac:dyDescent="0.3">
      <c r="R240" s="4"/>
      <c r="S240" s="4"/>
      <c r="T240" s="4"/>
    </row>
    <row r="241" spans="18:20" ht="14.25" customHeight="1" x14ac:dyDescent="0.3">
      <c r="R241" s="4"/>
      <c r="S241" s="4"/>
      <c r="T241" s="4"/>
    </row>
    <row r="242" spans="18:20" ht="14.25" customHeight="1" x14ac:dyDescent="0.3">
      <c r="R242" s="4"/>
      <c r="S242" s="4"/>
      <c r="T242" s="4"/>
    </row>
    <row r="243" spans="18:20" ht="14.25" customHeight="1" x14ac:dyDescent="0.3">
      <c r="R243" s="4"/>
      <c r="S243" s="4"/>
      <c r="T243" s="4"/>
    </row>
    <row r="244" spans="18:20" ht="14.25" customHeight="1" x14ac:dyDescent="0.3">
      <c r="R244" s="4"/>
      <c r="S244" s="4"/>
      <c r="T244" s="4"/>
    </row>
    <row r="245" spans="18:20" ht="14.25" customHeight="1" x14ac:dyDescent="0.3">
      <c r="R245" s="4"/>
      <c r="S245" s="4"/>
      <c r="T245" s="4"/>
    </row>
    <row r="246" spans="18:20" ht="14.25" customHeight="1" x14ac:dyDescent="0.3">
      <c r="R246" s="4"/>
      <c r="S246" s="4"/>
      <c r="T246" s="4"/>
    </row>
    <row r="247" spans="18:20" ht="14.25" customHeight="1" x14ac:dyDescent="0.3">
      <c r="R247" s="4"/>
      <c r="S247" s="4"/>
      <c r="T247" s="4"/>
    </row>
    <row r="248" spans="18:20" ht="14.25" customHeight="1" x14ac:dyDescent="0.3">
      <c r="R248" s="4"/>
      <c r="S248" s="4"/>
      <c r="T248" s="4"/>
    </row>
    <row r="249" spans="18:20" ht="14.25" customHeight="1" x14ac:dyDescent="0.3">
      <c r="R249" s="4"/>
      <c r="S249" s="4"/>
      <c r="T249" s="4"/>
    </row>
    <row r="250" spans="18:20" ht="14.25" customHeight="1" x14ac:dyDescent="0.3">
      <c r="R250" s="4"/>
      <c r="S250" s="4"/>
      <c r="T250" s="4"/>
    </row>
    <row r="251" spans="18:20" ht="14.25" customHeight="1" x14ac:dyDescent="0.3">
      <c r="R251" s="4"/>
      <c r="S251" s="4"/>
      <c r="T251" s="4"/>
    </row>
    <row r="252" spans="18:20" ht="14.25" customHeight="1" x14ac:dyDescent="0.3">
      <c r="R252" s="4"/>
      <c r="S252" s="4"/>
      <c r="T252" s="4"/>
    </row>
    <row r="253" spans="18:20" ht="14.25" customHeight="1" x14ac:dyDescent="0.3">
      <c r="R253" s="4"/>
      <c r="S253" s="4"/>
      <c r="T253" s="4"/>
    </row>
    <row r="254" spans="18:20" ht="14.25" customHeight="1" x14ac:dyDescent="0.3">
      <c r="R254" s="4"/>
      <c r="S254" s="4"/>
      <c r="T254" s="4"/>
    </row>
    <row r="255" spans="18:20" ht="14.25" customHeight="1" x14ac:dyDescent="0.3">
      <c r="R255" s="4"/>
      <c r="S255" s="4"/>
      <c r="T255" s="4"/>
    </row>
    <row r="256" spans="18:20" ht="14.25" customHeight="1" x14ac:dyDescent="0.3">
      <c r="R256" s="4"/>
      <c r="S256" s="4"/>
      <c r="T256" s="4"/>
    </row>
    <row r="257" spans="18:20" ht="14.25" customHeight="1" x14ac:dyDescent="0.3">
      <c r="R257" s="4"/>
      <c r="S257" s="4"/>
      <c r="T257" s="4"/>
    </row>
    <row r="258" spans="18:20" ht="14.25" customHeight="1" x14ac:dyDescent="0.3">
      <c r="R258" s="4"/>
      <c r="S258" s="4"/>
      <c r="T258" s="4"/>
    </row>
    <row r="259" spans="18:20" ht="14.25" customHeight="1" x14ac:dyDescent="0.3">
      <c r="R259" s="4"/>
      <c r="S259" s="4"/>
      <c r="T259" s="4"/>
    </row>
    <row r="260" spans="18:20" ht="14.25" customHeight="1" x14ac:dyDescent="0.3">
      <c r="R260" s="4"/>
      <c r="S260" s="4"/>
      <c r="T260" s="4"/>
    </row>
    <row r="261" spans="18:20" ht="14.25" customHeight="1" x14ac:dyDescent="0.3">
      <c r="R261" s="4"/>
      <c r="S261" s="4"/>
      <c r="T261" s="4"/>
    </row>
    <row r="262" spans="18:20" ht="14.25" customHeight="1" x14ac:dyDescent="0.3">
      <c r="R262" s="4"/>
      <c r="S262" s="4"/>
      <c r="T262" s="4"/>
    </row>
    <row r="263" spans="18:20" ht="14.25" customHeight="1" x14ac:dyDescent="0.3">
      <c r="R263" s="4"/>
      <c r="S263" s="4"/>
      <c r="T263" s="4"/>
    </row>
    <row r="264" spans="18:20" ht="14.25" customHeight="1" x14ac:dyDescent="0.3">
      <c r="R264" s="4"/>
      <c r="S264" s="4"/>
      <c r="T264" s="4"/>
    </row>
    <row r="265" spans="18:20" ht="14.25" customHeight="1" x14ac:dyDescent="0.3">
      <c r="R265" s="4"/>
      <c r="S265" s="4"/>
      <c r="T265" s="4"/>
    </row>
    <row r="266" spans="18:20" ht="14.25" customHeight="1" x14ac:dyDescent="0.3">
      <c r="R266" s="4"/>
      <c r="S266" s="4"/>
      <c r="T266" s="4"/>
    </row>
    <row r="267" spans="18:20" ht="14.25" customHeight="1" x14ac:dyDescent="0.3">
      <c r="R267" s="4"/>
      <c r="S267" s="4"/>
      <c r="T267" s="4"/>
    </row>
    <row r="268" spans="18:20" ht="14.25" customHeight="1" x14ac:dyDescent="0.3">
      <c r="R268" s="4"/>
      <c r="S268" s="4"/>
      <c r="T268" s="4"/>
    </row>
    <row r="269" spans="18:20" ht="14.25" customHeight="1" x14ac:dyDescent="0.3">
      <c r="R269" s="4"/>
      <c r="S269" s="4"/>
      <c r="T269" s="4"/>
    </row>
    <row r="270" spans="18:20" ht="14.25" customHeight="1" x14ac:dyDescent="0.3">
      <c r="R270" s="4"/>
      <c r="S270" s="4"/>
      <c r="T270" s="4"/>
    </row>
    <row r="271" spans="18:20" ht="14.25" customHeight="1" x14ac:dyDescent="0.3">
      <c r="R271" s="4"/>
      <c r="S271" s="4"/>
      <c r="T271" s="4"/>
    </row>
    <row r="272" spans="18:20" ht="14.25" customHeight="1" x14ac:dyDescent="0.3">
      <c r="R272" s="4"/>
      <c r="S272" s="4"/>
      <c r="T272" s="4"/>
    </row>
    <row r="273" spans="18:20" ht="14.25" customHeight="1" x14ac:dyDescent="0.3">
      <c r="R273" s="4"/>
      <c r="S273" s="4"/>
      <c r="T273" s="4"/>
    </row>
    <row r="274" spans="18:20" ht="14.25" customHeight="1" x14ac:dyDescent="0.3">
      <c r="R274" s="4"/>
      <c r="S274" s="4"/>
      <c r="T274" s="4"/>
    </row>
    <row r="275" spans="18:20" ht="14.25" customHeight="1" x14ac:dyDescent="0.3">
      <c r="R275" s="4"/>
      <c r="S275" s="4"/>
      <c r="T275" s="4"/>
    </row>
    <row r="276" spans="18:20" ht="14.25" customHeight="1" x14ac:dyDescent="0.3">
      <c r="R276" s="4"/>
      <c r="S276" s="4"/>
      <c r="T276" s="4"/>
    </row>
    <row r="277" spans="18:20" ht="14.25" customHeight="1" x14ac:dyDescent="0.3">
      <c r="R277" s="4"/>
      <c r="S277" s="4"/>
      <c r="T277" s="4"/>
    </row>
    <row r="278" spans="18:20" ht="14.25" customHeight="1" x14ac:dyDescent="0.3">
      <c r="R278" s="4"/>
      <c r="S278" s="4"/>
      <c r="T278" s="4"/>
    </row>
    <row r="279" spans="18:20" ht="14.25" customHeight="1" x14ac:dyDescent="0.3">
      <c r="R279" s="4"/>
      <c r="S279" s="4"/>
      <c r="T279" s="4"/>
    </row>
    <row r="280" spans="18:20" ht="14.25" customHeight="1" x14ac:dyDescent="0.3">
      <c r="R280" s="4"/>
      <c r="S280" s="4"/>
      <c r="T280" s="4"/>
    </row>
    <row r="281" spans="18:20" ht="14.25" customHeight="1" x14ac:dyDescent="0.3">
      <c r="R281" s="4"/>
      <c r="S281" s="4"/>
      <c r="T281" s="4"/>
    </row>
    <row r="282" spans="18:20" ht="14.25" customHeight="1" x14ac:dyDescent="0.3">
      <c r="R282" s="4"/>
      <c r="S282" s="4"/>
      <c r="T282" s="4"/>
    </row>
    <row r="283" spans="18:20" ht="14.25" customHeight="1" x14ac:dyDescent="0.3">
      <c r="R283" s="4"/>
      <c r="S283" s="4"/>
      <c r="T283" s="4"/>
    </row>
    <row r="284" spans="18:20" ht="14.25" customHeight="1" x14ac:dyDescent="0.3">
      <c r="R284" s="4"/>
      <c r="S284" s="4"/>
      <c r="T284" s="4"/>
    </row>
    <row r="285" spans="18:20" ht="14.25" customHeight="1" x14ac:dyDescent="0.3">
      <c r="R285" s="4"/>
      <c r="S285" s="4"/>
      <c r="T285" s="4"/>
    </row>
    <row r="286" spans="18:20" ht="14.25" customHeight="1" x14ac:dyDescent="0.3">
      <c r="R286" s="4"/>
      <c r="S286" s="4"/>
      <c r="T286" s="4"/>
    </row>
    <row r="287" spans="18:20" ht="14.25" customHeight="1" x14ac:dyDescent="0.3">
      <c r="R287" s="4"/>
      <c r="S287" s="4"/>
      <c r="T287" s="4"/>
    </row>
    <row r="288" spans="18:20" ht="14.25" customHeight="1" x14ac:dyDescent="0.3">
      <c r="R288" s="4"/>
      <c r="S288" s="4"/>
      <c r="T288" s="4"/>
    </row>
    <row r="289" spans="18:20" ht="14.25" customHeight="1" x14ac:dyDescent="0.3">
      <c r="R289" s="4"/>
      <c r="S289" s="4"/>
      <c r="T289" s="4"/>
    </row>
    <row r="290" spans="18:20" ht="14.25" customHeight="1" x14ac:dyDescent="0.3">
      <c r="R290" s="4"/>
      <c r="S290" s="4"/>
      <c r="T290" s="4"/>
    </row>
    <row r="291" spans="18:20" ht="14.25" customHeight="1" x14ac:dyDescent="0.3">
      <c r="R291" s="4"/>
      <c r="S291" s="4"/>
      <c r="T291" s="4"/>
    </row>
    <row r="292" spans="18:20" ht="14.25" customHeight="1" x14ac:dyDescent="0.3">
      <c r="R292" s="4"/>
      <c r="S292" s="4"/>
      <c r="T292" s="4"/>
    </row>
    <row r="293" spans="18:20" ht="14.25" customHeight="1" x14ac:dyDescent="0.3">
      <c r="R293" s="4"/>
      <c r="S293" s="4"/>
      <c r="T293" s="4"/>
    </row>
    <row r="294" spans="18:20" ht="14.25" customHeight="1" x14ac:dyDescent="0.3">
      <c r="R294" s="4"/>
      <c r="S294" s="4"/>
      <c r="T294" s="4"/>
    </row>
    <row r="295" spans="18:20" ht="14.25" customHeight="1" x14ac:dyDescent="0.3">
      <c r="R295" s="4"/>
      <c r="S295" s="4"/>
      <c r="T295" s="4"/>
    </row>
    <row r="296" spans="18:20" ht="14.25" customHeight="1" x14ac:dyDescent="0.3">
      <c r="R296" s="4"/>
      <c r="S296" s="4"/>
      <c r="T296" s="4"/>
    </row>
    <row r="297" spans="18:20" ht="14.25" customHeight="1" x14ac:dyDescent="0.3">
      <c r="R297" s="4"/>
      <c r="S297" s="4"/>
      <c r="T297" s="4"/>
    </row>
    <row r="298" spans="18:20" ht="14.25" customHeight="1" x14ac:dyDescent="0.3">
      <c r="R298" s="4"/>
      <c r="S298" s="4"/>
      <c r="T298" s="4"/>
    </row>
    <row r="299" spans="18:20" ht="14.25" customHeight="1" x14ac:dyDescent="0.3">
      <c r="R299" s="4"/>
      <c r="S299" s="4"/>
      <c r="T299" s="4"/>
    </row>
    <row r="300" spans="18:20" ht="14.25" customHeight="1" x14ac:dyDescent="0.3">
      <c r="R300" s="4"/>
      <c r="S300" s="4"/>
      <c r="T300" s="4"/>
    </row>
    <row r="301" spans="18:20" ht="14.25" customHeight="1" x14ac:dyDescent="0.3">
      <c r="R301" s="4"/>
      <c r="S301" s="4"/>
      <c r="T301" s="4"/>
    </row>
    <row r="302" spans="18:20" ht="14.25" customHeight="1" x14ac:dyDescent="0.3">
      <c r="R302" s="4"/>
      <c r="S302" s="4"/>
      <c r="T302" s="4"/>
    </row>
    <row r="303" spans="18:20" ht="14.25" customHeight="1" x14ac:dyDescent="0.3">
      <c r="R303" s="4"/>
      <c r="S303" s="4"/>
      <c r="T303" s="4"/>
    </row>
    <row r="304" spans="18:20" ht="14.25" customHeight="1" x14ac:dyDescent="0.3">
      <c r="R304" s="4"/>
      <c r="S304" s="4"/>
      <c r="T304" s="4"/>
    </row>
    <row r="305" spans="18:20" ht="14.25" customHeight="1" x14ac:dyDescent="0.3">
      <c r="R305" s="4"/>
      <c r="S305" s="4"/>
      <c r="T305" s="4"/>
    </row>
    <row r="306" spans="18:20" ht="14.25" customHeight="1" x14ac:dyDescent="0.3">
      <c r="R306" s="4"/>
      <c r="S306" s="4"/>
      <c r="T306" s="4"/>
    </row>
    <row r="307" spans="18:20" ht="14.25" customHeight="1" x14ac:dyDescent="0.3">
      <c r="R307" s="4"/>
      <c r="S307" s="4"/>
      <c r="T307" s="4"/>
    </row>
    <row r="308" spans="18:20" ht="14.25" customHeight="1" x14ac:dyDescent="0.3">
      <c r="R308" s="4"/>
      <c r="S308" s="4"/>
      <c r="T308" s="4"/>
    </row>
    <row r="309" spans="18:20" ht="14.25" customHeight="1" x14ac:dyDescent="0.3">
      <c r="R309" s="4"/>
      <c r="S309" s="4"/>
      <c r="T309" s="4"/>
    </row>
    <row r="310" spans="18:20" ht="14.25" customHeight="1" x14ac:dyDescent="0.3">
      <c r="R310" s="4"/>
      <c r="S310" s="4"/>
      <c r="T310" s="4"/>
    </row>
    <row r="311" spans="18:20" ht="14.25" customHeight="1" x14ac:dyDescent="0.3">
      <c r="R311" s="4"/>
      <c r="S311" s="4"/>
      <c r="T311" s="4"/>
    </row>
    <row r="312" spans="18:20" ht="14.25" customHeight="1" x14ac:dyDescent="0.3">
      <c r="R312" s="4"/>
      <c r="S312" s="4"/>
      <c r="T312" s="4"/>
    </row>
    <row r="313" spans="18:20" ht="14.25" customHeight="1" x14ac:dyDescent="0.3">
      <c r="R313" s="4"/>
      <c r="S313" s="4"/>
      <c r="T313" s="4"/>
    </row>
    <row r="314" spans="18:20" ht="14.25" customHeight="1" x14ac:dyDescent="0.3">
      <c r="R314" s="4"/>
      <c r="S314" s="4"/>
      <c r="T314" s="4"/>
    </row>
    <row r="315" spans="18:20" ht="14.25" customHeight="1" x14ac:dyDescent="0.3">
      <c r="R315" s="4"/>
      <c r="S315" s="4"/>
      <c r="T315" s="4"/>
    </row>
    <row r="316" spans="18:20" ht="14.25" customHeight="1" x14ac:dyDescent="0.3">
      <c r="R316" s="4"/>
      <c r="S316" s="4"/>
      <c r="T316" s="4"/>
    </row>
    <row r="317" spans="18:20" ht="14.25" customHeight="1" x14ac:dyDescent="0.3">
      <c r="R317" s="4"/>
      <c r="S317" s="4"/>
      <c r="T317" s="4"/>
    </row>
    <row r="318" spans="18:20" ht="14.25" customHeight="1" x14ac:dyDescent="0.3">
      <c r="R318" s="4"/>
      <c r="S318" s="4"/>
      <c r="T318" s="4"/>
    </row>
    <row r="319" spans="18:20" ht="14.25" customHeight="1" x14ac:dyDescent="0.3">
      <c r="R319" s="4"/>
      <c r="S319" s="4"/>
      <c r="T319" s="4"/>
    </row>
    <row r="320" spans="18:20" ht="14.25" customHeight="1" x14ac:dyDescent="0.3">
      <c r="R320" s="4"/>
      <c r="S320" s="4"/>
      <c r="T320" s="4"/>
    </row>
    <row r="321" spans="18:20" ht="14.25" customHeight="1" x14ac:dyDescent="0.3">
      <c r="R321" s="4"/>
      <c r="S321" s="4"/>
      <c r="T321" s="4"/>
    </row>
    <row r="322" spans="18:20" ht="14.25" customHeight="1" x14ac:dyDescent="0.3">
      <c r="R322" s="4"/>
      <c r="S322" s="4"/>
      <c r="T322" s="4"/>
    </row>
    <row r="323" spans="18:20" ht="14.25" customHeight="1" x14ac:dyDescent="0.3">
      <c r="R323" s="4"/>
      <c r="S323" s="4"/>
      <c r="T323" s="4"/>
    </row>
    <row r="324" spans="18:20" ht="14.25" customHeight="1" x14ac:dyDescent="0.3">
      <c r="R324" s="4"/>
      <c r="S324" s="4"/>
      <c r="T324" s="4"/>
    </row>
    <row r="325" spans="18:20" ht="14.25" customHeight="1" x14ac:dyDescent="0.3">
      <c r="R325" s="4"/>
      <c r="S325" s="4"/>
      <c r="T325" s="4"/>
    </row>
    <row r="326" spans="18:20" ht="14.25" customHeight="1" x14ac:dyDescent="0.3">
      <c r="R326" s="4"/>
      <c r="S326" s="4"/>
      <c r="T326" s="4"/>
    </row>
    <row r="327" spans="18:20" ht="14.25" customHeight="1" x14ac:dyDescent="0.3">
      <c r="R327" s="4"/>
      <c r="S327" s="4"/>
      <c r="T327" s="4"/>
    </row>
    <row r="328" spans="18:20" ht="14.25" customHeight="1" x14ac:dyDescent="0.3">
      <c r="R328" s="4"/>
      <c r="S328" s="4"/>
      <c r="T328" s="4"/>
    </row>
    <row r="329" spans="18:20" ht="14.25" customHeight="1" x14ac:dyDescent="0.3">
      <c r="R329" s="4"/>
      <c r="S329" s="4"/>
      <c r="T329" s="4"/>
    </row>
    <row r="330" spans="18:20" ht="14.25" customHeight="1" x14ac:dyDescent="0.3">
      <c r="R330" s="4"/>
      <c r="S330" s="4"/>
      <c r="T330" s="4"/>
    </row>
    <row r="331" spans="18:20" ht="14.25" customHeight="1" x14ac:dyDescent="0.3">
      <c r="R331" s="4"/>
      <c r="S331" s="4"/>
      <c r="T331" s="4"/>
    </row>
    <row r="332" spans="18:20" ht="14.25" customHeight="1" x14ac:dyDescent="0.3">
      <c r="R332" s="4"/>
      <c r="S332" s="4"/>
      <c r="T332" s="4"/>
    </row>
    <row r="333" spans="18:20" ht="14.25" customHeight="1" x14ac:dyDescent="0.3">
      <c r="R333" s="4"/>
      <c r="S333" s="4"/>
      <c r="T333" s="4"/>
    </row>
    <row r="334" spans="18:20" ht="14.25" customHeight="1" x14ac:dyDescent="0.3">
      <c r="R334" s="4"/>
      <c r="S334" s="4"/>
      <c r="T334" s="4"/>
    </row>
    <row r="335" spans="18:20" ht="14.25" customHeight="1" x14ac:dyDescent="0.3">
      <c r="R335" s="4"/>
      <c r="S335" s="4"/>
      <c r="T335" s="4"/>
    </row>
    <row r="336" spans="18:20" ht="14.25" customHeight="1" x14ac:dyDescent="0.3">
      <c r="R336" s="4"/>
      <c r="S336" s="4"/>
      <c r="T336" s="4"/>
    </row>
    <row r="337" spans="18:20" ht="14.25" customHeight="1" x14ac:dyDescent="0.3">
      <c r="R337" s="4"/>
      <c r="S337" s="4"/>
      <c r="T337" s="4"/>
    </row>
    <row r="338" spans="18:20" ht="14.25" customHeight="1" x14ac:dyDescent="0.3">
      <c r="R338" s="4"/>
      <c r="S338" s="4"/>
      <c r="T338" s="4"/>
    </row>
    <row r="339" spans="18:20" ht="14.25" customHeight="1" x14ac:dyDescent="0.3">
      <c r="R339" s="4"/>
      <c r="S339" s="4"/>
      <c r="T339" s="4"/>
    </row>
    <row r="340" spans="18:20" ht="14.25" customHeight="1" x14ac:dyDescent="0.3">
      <c r="R340" s="4"/>
      <c r="S340" s="4"/>
      <c r="T340" s="4"/>
    </row>
    <row r="341" spans="18:20" ht="14.25" customHeight="1" x14ac:dyDescent="0.3">
      <c r="R341" s="4"/>
      <c r="S341" s="4"/>
      <c r="T341" s="4"/>
    </row>
    <row r="342" spans="18:20" ht="14.25" customHeight="1" x14ac:dyDescent="0.3">
      <c r="R342" s="4"/>
      <c r="S342" s="4"/>
      <c r="T342" s="4"/>
    </row>
    <row r="343" spans="18:20" ht="14.25" customHeight="1" x14ac:dyDescent="0.3">
      <c r="R343" s="4"/>
      <c r="S343" s="4"/>
      <c r="T343" s="4"/>
    </row>
    <row r="344" spans="18:20" ht="14.25" customHeight="1" x14ac:dyDescent="0.3">
      <c r="R344" s="4"/>
      <c r="S344" s="4"/>
      <c r="T344" s="4"/>
    </row>
    <row r="345" spans="18:20" ht="14.25" customHeight="1" x14ac:dyDescent="0.3">
      <c r="R345" s="4"/>
      <c r="S345" s="4"/>
      <c r="T345" s="4"/>
    </row>
    <row r="346" spans="18:20" ht="14.25" customHeight="1" x14ac:dyDescent="0.3">
      <c r="R346" s="4"/>
      <c r="S346" s="4"/>
      <c r="T346" s="4"/>
    </row>
    <row r="347" spans="18:20" ht="14.25" customHeight="1" x14ac:dyDescent="0.3">
      <c r="R347" s="4"/>
      <c r="S347" s="4"/>
      <c r="T347" s="4"/>
    </row>
    <row r="348" spans="18:20" ht="14.25" customHeight="1" x14ac:dyDescent="0.3">
      <c r="R348" s="4"/>
      <c r="S348" s="4"/>
      <c r="T348" s="4"/>
    </row>
    <row r="349" spans="18:20" ht="14.25" customHeight="1" x14ac:dyDescent="0.3">
      <c r="R349" s="4"/>
      <c r="S349" s="4"/>
      <c r="T349" s="4"/>
    </row>
    <row r="350" spans="18:20" ht="14.25" customHeight="1" x14ac:dyDescent="0.3">
      <c r="R350" s="4"/>
      <c r="S350" s="4"/>
      <c r="T350" s="4"/>
    </row>
    <row r="351" spans="18:20" ht="14.25" customHeight="1" x14ac:dyDescent="0.3">
      <c r="R351" s="4"/>
      <c r="S351" s="4"/>
      <c r="T351" s="4"/>
    </row>
    <row r="352" spans="18:20" ht="14.25" customHeight="1" x14ac:dyDescent="0.3">
      <c r="R352" s="4"/>
      <c r="S352" s="4"/>
      <c r="T352" s="4"/>
    </row>
    <row r="353" spans="18:20" ht="14.25" customHeight="1" x14ac:dyDescent="0.3">
      <c r="R353" s="4"/>
      <c r="S353" s="4"/>
      <c r="T353" s="4"/>
    </row>
    <row r="354" spans="18:20" ht="14.25" customHeight="1" x14ac:dyDescent="0.3">
      <c r="R354" s="4"/>
      <c r="S354" s="4"/>
      <c r="T354" s="4"/>
    </row>
    <row r="355" spans="18:20" ht="14.25" customHeight="1" x14ac:dyDescent="0.3">
      <c r="R355" s="4"/>
      <c r="S355" s="4"/>
      <c r="T355" s="4"/>
    </row>
    <row r="356" spans="18:20" ht="14.25" customHeight="1" x14ac:dyDescent="0.3">
      <c r="R356" s="4"/>
      <c r="S356" s="4"/>
      <c r="T356" s="4"/>
    </row>
    <row r="357" spans="18:20" ht="14.25" customHeight="1" x14ac:dyDescent="0.3">
      <c r="R357" s="4"/>
      <c r="S357" s="4"/>
      <c r="T357" s="4"/>
    </row>
    <row r="358" spans="18:20" ht="14.25" customHeight="1" x14ac:dyDescent="0.3">
      <c r="R358" s="4"/>
      <c r="S358" s="4"/>
      <c r="T358" s="4"/>
    </row>
    <row r="359" spans="18:20" ht="14.25" customHeight="1" x14ac:dyDescent="0.3">
      <c r="R359" s="4"/>
      <c r="S359" s="4"/>
      <c r="T359" s="4"/>
    </row>
    <row r="360" spans="18:20" ht="14.25" customHeight="1" x14ac:dyDescent="0.3">
      <c r="R360" s="4"/>
      <c r="S360" s="4"/>
      <c r="T360" s="4"/>
    </row>
    <row r="361" spans="18:20" ht="14.25" customHeight="1" x14ac:dyDescent="0.3">
      <c r="R361" s="4"/>
      <c r="S361" s="4"/>
      <c r="T361" s="4"/>
    </row>
    <row r="362" spans="18:20" ht="14.25" customHeight="1" x14ac:dyDescent="0.3">
      <c r="R362" s="4"/>
      <c r="S362" s="4"/>
      <c r="T362" s="4"/>
    </row>
    <row r="363" spans="18:20" ht="14.25" customHeight="1" x14ac:dyDescent="0.3">
      <c r="R363" s="4"/>
      <c r="S363" s="4"/>
      <c r="T363" s="4"/>
    </row>
    <row r="364" spans="18:20" ht="14.25" customHeight="1" x14ac:dyDescent="0.3">
      <c r="R364" s="4"/>
      <c r="S364" s="4"/>
      <c r="T364" s="4"/>
    </row>
    <row r="365" spans="18:20" ht="14.25" customHeight="1" x14ac:dyDescent="0.3">
      <c r="R365" s="4"/>
      <c r="S365" s="4"/>
      <c r="T365" s="4"/>
    </row>
    <row r="366" spans="18:20" ht="14.25" customHeight="1" x14ac:dyDescent="0.3">
      <c r="R366" s="4"/>
      <c r="S366" s="4"/>
      <c r="T366" s="4"/>
    </row>
    <row r="367" spans="18:20" ht="14.25" customHeight="1" x14ac:dyDescent="0.3">
      <c r="R367" s="4"/>
      <c r="S367" s="4"/>
      <c r="T367" s="4"/>
    </row>
    <row r="368" spans="18:20" ht="14.25" customHeight="1" x14ac:dyDescent="0.3">
      <c r="R368" s="4"/>
      <c r="S368" s="4"/>
      <c r="T368" s="4"/>
    </row>
    <row r="369" spans="18:20" ht="14.25" customHeight="1" x14ac:dyDescent="0.3">
      <c r="R369" s="4"/>
      <c r="S369" s="4"/>
      <c r="T369" s="4"/>
    </row>
    <row r="370" spans="18:20" ht="14.25" customHeight="1" x14ac:dyDescent="0.3">
      <c r="R370" s="4"/>
      <c r="S370" s="4"/>
      <c r="T370" s="4"/>
    </row>
    <row r="371" spans="18:20" ht="14.25" customHeight="1" x14ac:dyDescent="0.3">
      <c r="R371" s="4"/>
      <c r="S371" s="4"/>
      <c r="T371" s="4"/>
    </row>
    <row r="372" spans="18:20" ht="14.25" customHeight="1" x14ac:dyDescent="0.3">
      <c r="R372" s="4"/>
      <c r="S372" s="4"/>
      <c r="T372" s="4"/>
    </row>
    <row r="373" spans="18:20" ht="14.25" customHeight="1" x14ac:dyDescent="0.3">
      <c r="R373" s="4"/>
      <c r="S373" s="4"/>
      <c r="T373" s="4"/>
    </row>
    <row r="374" spans="18:20" ht="14.25" customHeight="1" x14ac:dyDescent="0.3">
      <c r="R374" s="4"/>
      <c r="S374" s="4"/>
      <c r="T374" s="4"/>
    </row>
    <row r="375" spans="18:20" ht="14.25" customHeight="1" x14ac:dyDescent="0.3">
      <c r="R375" s="4"/>
      <c r="S375" s="4"/>
      <c r="T375" s="4"/>
    </row>
    <row r="376" spans="18:20" ht="14.25" customHeight="1" x14ac:dyDescent="0.3">
      <c r="R376" s="4"/>
      <c r="S376" s="4"/>
      <c r="T376" s="4"/>
    </row>
    <row r="377" spans="18:20" ht="14.25" customHeight="1" x14ac:dyDescent="0.3">
      <c r="R377" s="4"/>
      <c r="S377" s="4"/>
      <c r="T377" s="4"/>
    </row>
    <row r="378" spans="18:20" ht="14.25" customHeight="1" x14ac:dyDescent="0.3">
      <c r="R378" s="4"/>
      <c r="S378" s="4"/>
      <c r="T378" s="4"/>
    </row>
    <row r="379" spans="18:20" ht="14.25" customHeight="1" x14ac:dyDescent="0.3">
      <c r="R379" s="4"/>
      <c r="S379" s="4"/>
      <c r="T379" s="4"/>
    </row>
    <row r="380" spans="18:20" ht="14.25" customHeight="1" x14ac:dyDescent="0.3">
      <c r="R380" s="4"/>
      <c r="S380" s="4"/>
      <c r="T380" s="4"/>
    </row>
    <row r="381" spans="18:20" ht="14.25" customHeight="1" x14ac:dyDescent="0.3">
      <c r="R381" s="4"/>
      <c r="S381" s="4"/>
      <c r="T381" s="4"/>
    </row>
    <row r="382" spans="18:20" ht="14.25" customHeight="1" x14ac:dyDescent="0.3">
      <c r="R382" s="4"/>
      <c r="S382" s="4"/>
      <c r="T382" s="4"/>
    </row>
    <row r="383" spans="18:20" ht="14.25" customHeight="1" x14ac:dyDescent="0.3">
      <c r="R383" s="4"/>
      <c r="S383" s="4"/>
      <c r="T383" s="4"/>
    </row>
    <row r="384" spans="18:20" ht="14.25" customHeight="1" x14ac:dyDescent="0.3">
      <c r="R384" s="4"/>
      <c r="S384" s="4"/>
      <c r="T384" s="4"/>
    </row>
    <row r="385" spans="18:20" ht="14.25" customHeight="1" x14ac:dyDescent="0.3">
      <c r="R385" s="4"/>
      <c r="S385" s="4"/>
      <c r="T385" s="4"/>
    </row>
    <row r="386" spans="18:20" ht="14.25" customHeight="1" x14ac:dyDescent="0.3">
      <c r="R386" s="4"/>
      <c r="S386" s="4"/>
      <c r="T386" s="4"/>
    </row>
    <row r="387" spans="18:20" ht="14.25" customHeight="1" x14ac:dyDescent="0.3">
      <c r="R387" s="4"/>
      <c r="S387" s="4"/>
      <c r="T387" s="4"/>
    </row>
    <row r="388" spans="18:20" ht="14.25" customHeight="1" x14ac:dyDescent="0.3">
      <c r="R388" s="4"/>
      <c r="S388" s="4"/>
      <c r="T388" s="4"/>
    </row>
    <row r="389" spans="18:20" ht="14.25" customHeight="1" x14ac:dyDescent="0.3">
      <c r="R389" s="4"/>
      <c r="S389" s="4"/>
      <c r="T389" s="4"/>
    </row>
    <row r="390" spans="18:20" ht="14.25" customHeight="1" x14ac:dyDescent="0.3">
      <c r="R390" s="4"/>
      <c r="S390" s="4"/>
      <c r="T390" s="4"/>
    </row>
    <row r="391" spans="18:20" ht="14.25" customHeight="1" x14ac:dyDescent="0.3">
      <c r="R391" s="4"/>
      <c r="S391" s="4"/>
      <c r="T391" s="4"/>
    </row>
    <row r="392" spans="18:20" ht="14.25" customHeight="1" x14ac:dyDescent="0.3">
      <c r="R392" s="4"/>
      <c r="S392" s="4"/>
      <c r="T392" s="4"/>
    </row>
    <row r="393" spans="18:20" ht="14.25" customHeight="1" x14ac:dyDescent="0.3">
      <c r="R393" s="4"/>
      <c r="S393" s="4"/>
      <c r="T393" s="4"/>
    </row>
    <row r="394" spans="18:20" ht="14.25" customHeight="1" x14ac:dyDescent="0.3">
      <c r="R394" s="4"/>
      <c r="S394" s="4"/>
      <c r="T394" s="4"/>
    </row>
    <row r="395" spans="18:20" ht="14.25" customHeight="1" x14ac:dyDescent="0.3">
      <c r="R395" s="4"/>
      <c r="S395" s="4"/>
      <c r="T395" s="4"/>
    </row>
    <row r="396" spans="18:20" ht="14.25" customHeight="1" x14ac:dyDescent="0.3">
      <c r="R396" s="4"/>
      <c r="S396" s="4"/>
      <c r="T396" s="4"/>
    </row>
    <row r="397" spans="18:20" ht="14.25" customHeight="1" x14ac:dyDescent="0.3">
      <c r="R397" s="4"/>
      <c r="S397" s="4"/>
      <c r="T397" s="4"/>
    </row>
    <row r="398" spans="18:20" ht="14.25" customHeight="1" x14ac:dyDescent="0.3">
      <c r="R398" s="4"/>
      <c r="S398" s="4"/>
      <c r="T398" s="4"/>
    </row>
    <row r="399" spans="18:20" ht="14.25" customHeight="1" x14ac:dyDescent="0.3">
      <c r="R399" s="4"/>
      <c r="S399" s="4"/>
      <c r="T399" s="4"/>
    </row>
    <row r="400" spans="18:20" ht="14.25" customHeight="1" x14ac:dyDescent="0.3">
      <c r="R400" s="4"/>
      <c r="S400" s="4"/>
      <c r="T400" s="4"/>
    </row>
    <row r="401" spans="18:20" ht="14.25" customHeight="1" x14ac:dyDescent="0.3">
      <c r="R401" s="4"/>
      <c r="S401" s="4"/>
      <c r="T401" s="4"/>
    </row>
    <row r="402" spans="18:20" ht="14.25" customHeight="1" x14ac:dyDescent="0.3">
      <c r="R402" s="4"/>
      <c r="S402" s="4"/>
      <c r="T402" s="4"/>
    </row>
    <row r="403" spans="18:20" ht="14.25" customHeight="1" x14ac:dyDescent="0.3">
      <c r="R403" s="4"/>
      <c r="S403" s="4"/>
      <c r="T403" s="4"/>
    </row>
    <row r="404" spans="18:20" ht="14.25" customHeight="1" x14ac:dyDescent="0.3">
      <c r="R404" s="4"/>
      <c r="S404" s="4"/>
      <c r="T404" s="4"/>
    </row>
    <row r="405" spans="18:20" ht="14.25" customHeight="1" x14ac:dyDescent="0.3">
      <c r="R405" s="4"/>
      <c r="S405" s="4"/>
      <c r="T405" s="4"/>
    </row>
    <row r="406" spans="18:20" ht="14.25" customHeight="1" x14ac:dyDescent="0.3">
      <c r="R406" s="4"/>
      <c r="S406" s="4"/>
      <c r="T406" s="4"/>
    </row>
    <row r="407" spans="18:20" ht="14.25" customHeight="1" x14ac:dyDescent="0.3">
      <c r="R407" s="4"/>
      <c r="S407" s="4"/>
      <c r="T407" s="4"/>
    </row>
    <row r="408" spans="18:20" ht="14.25" customHeight="1" x14ac:dyDescent="0.3">
      <c r="R408" s="4"/>
      <c r="S408" s="4"/>
      <c r="T408" s="4"/>
    </row>
    <row r="409" spans="18:20" ht="14.25" customHeight="1" x14ac:dyDescent="0.3">
      <c r="R409" s="4"/>
      <c r="S409" s="4"/>
      <c r="T409" s="4"/>
    </row>
    <row r="410" spans="18:20" ht="14.25" customHeight="1" x14ac:dyDescent="0.3">
      <c r="R410" s="4"/>
      <c r="S410" s="4"/>
      <c r="T410" s="4"/>
    </row>
    <row r="411" spans="18:20" ht="14.25" customHeight="1" x14ac:dyDescent="0.3">
      <c r="R411" s="4"/>
      <c r="S411" s="4"/>
      <c r="T411" s="4"/>
    </row>
    <row r="412" spans="18:20" ht="14.25" customHeight="1" x14ac:dyDescent="0.3">
      <c r="R412" s="4"/>
      <c r="S412" s="4"/>
      <c r="T412" s="4"/>
    </row>
    <row r="413" spans="18:20" ht="14.25" customHeight="1" x14ac:dyDescent="0.3">
      <c r="R413" s="4"/>
      <c r="S413" s="4"/>
      <c r="T413" s="4"/>
    </row>
    <row r="414" spans="18:20" ht="14.25" customHeight="1" x14ac:dyDescent="0.3">
      <c r="R414" s="4"/>
      <c r="S414" s="4"/>
      <c r="T414" s="4"/>
    </row>
    <row r="415" spans="18:20" ht="14.25" customHeight="1" x14ac:dyDescent="0.3">
      <c r="R415" s="4"/>
      <c r="S415" s="4"/>
      <c r="T415" s="4"/>
    </row>
    <row r="416" spans="18:20" ht="14.25" customHeight="1" x14ac:dyDescent="0.3">
      <c r="R416" s="4"/>
      <c r="S416" s="4"/>
      <c r="T416" s="4"/>
    </row>
    <row r="417" spans="18:20" ht="14.25" customHeight="1" x14ac:dyDescent="0.3">
      <c r="R417" s="4"/>
      <c r="S417" s="4"/>
      <c r="T417" s="4"/>
    </row>
    <row r="418" spans="18:20" ht="14.25" customHeight="1" x14ac:dyDescent="0.3">
      <c r="R418" s="4"/>
      <c r="S418" s="4"/>
      <c r="T418" s="4"/>
    </row>
    <row r="419" spans="18:20" ht="14.25" customHeight="1" x14ac:dyDescent="0.3">
      <c r="R419" s="4"/>
      <c r="S419" s="4"/>
      <c r="T419" s="4"/>
    </row>
    <row r="420" spans="18:20" ht="14.25" customHeight="1" x14ac:dyDescent="0.3">
      <c r="R420" s="4"/>
      <c r="S420" s="4"/>
      <c r="T420" s="4"/>
    </row>
    <row r="421" spans="18:20" ht="14.25" customHeight="1" x14ac:dyDescent="0.3">
      <c r="R421" s="4"/>
      <c r="S421" s="4"/>
      <c r="T421" s="4"/>
    </row>
    <row r="422" spans="18:20" ht="14.25" customHeight="1" x14ac:dyDescent="0.3">
      <c r="R422" s="4"/>
      <c r="S422" s="4"/>
      <c r="T422" s="4"/>
    </row>
    <row r="423" spans="18:20" ht="14.25" customHeight="1" x14ac:dyDescent="0.3">
      <c r="R423" s="4"/>
      <c r="S423" s="4"/>
      <c r="T423" s="4"/>
    </row>
    <row r="424" spans="18:20" ht="14.25" customHeight="1" x14ac:dyDescent="0.3">
      <c r="R424" s="4"/>
      <c r="S424" s="4"/>
      <c r="T424" s="4"/>
    </row>
    <row r="425" spans="18:20" ht="14.25" customHeight="1" x14ac:dyDescent="0.3">
      <c r="R425" s="4"/>
      <c r="S425" s="4"/>
      <c r="T425" s="4"/>
    </row>
    <row r="426" spans="18:20" ht="14.25" customHeight="1" x14ac:dyDescent="0.3">
      <c r="R426" s="4"/>
      <c r="S426" s="4"/>
      <c r="T426" s="4"/>
    </row>
    <row r="427" spans="18:20" ht="14.25" customHeight="1" x14ac:dyDescent="0.3">
      <c r="R427" s="4"/>
      <c r="S427" s="4"/>
      <c r="T427" s="4"/>
    </row>
    <row r="428" spans="18:20" ht="14.25" customHeight="1" x14ac:dyDescent="0.3">
      <c r="R428" s="4"/>
      <c r="S428" s="4"/>
      <c r="T428" s="4"/>
    </row>
    <row r="429" spans="18:20" ht="14.25" customHeight="1" x14ac:dyDescent="0.3">
      <c r="R429" s="4"/>
      <c r="S429" s="4"/>
      <c r="T429" s="4"/>
    </row>
    <row r="430" spans="18:20" ht="14.25" customHeight="1" x14ac:dyDescent="0.3">
      <c r="R430" s="4"/>
      <c r="S430" s="4"/>
      <c r="T430" s="4"/>
    </row>
    <row r="431" spans="18:20" ht="14.25" customHeight="1" x14ac:dyDescent="0.3">
      <c r="R431" s="4"/>
      <c r="S431" s="4"/>
      <c r="T431" s="4"/>
    </row>
    <row r="432" spans="18:20" ht="14.25" customHeight="1" x14ac:dyDescent="0.3">
      <c r="R432" s="4"/>
      <c r="S432" s="4"/>
      <c r="T432" s="4"/>
    </row>
    <row r="433" spans="18:20" ht="14.25" customHeight="1" x14ac:dyDescent="0.3">
      <c r="R433" s="4"/>
      <c r="S433" s="4"/>
      <c r="T433" s="4"/>
    </row>
    <row r="434" spans="18:20" ht="14.25" customHeight="1" x14ac:dyDescent="0.3">
      <c r="R434" s="4"/>
      <c r="S434" s="4"/>
      <c r="T434" s="4"/>
    </row>
    <row r="435" spans="18:20" ht="14.25" customHeight="1" x14ac:dyDescent="0.3">
      <c r="R435" s="4"/>
      <c r="S435" s="4"/>
      <c r="T435" s="4"/>
    </row>
    <row r="436" spans="18:20" ht="14.25" customHeight="1" x14ac:dyDescent="0.3">
      <c r="R436" s="4"/>
      <c r="S436" s="4"/>
      <c r="T436" s="4"/>
    </row>
    <row r="437" spans="18:20" ht="14.25" customHeight="1" x14ac:dyDescent="0.3">
      <c r="R437" s="4"/>
      <c r="S437" s="4"/>
      <c r="T437" s="4"/>
    </row>
    <row r="438" spans="18:20" ht="14.25" customHeight="1" x14ac:dyDescent="0.3">
      <c r="R438" s="4"/>
      <c r="S438" s="4"/>
      <c r="T438" s="4"/>
    </row>
    <row r="439" spans="18:20" ht="14.25" customHeight="1" x14ac:dyDescent="0.3">
      <c r="R439" s="4"/>
      <c r="S439" s="4"/>
      <c r="T439" s="4"/>
    </row>
    <row r="440" spans="18:20" ht="14.25" customHeight="1" x14ac:dyDescent="0.3">
      <c r="R440" s="4"/>
      <c r="S440" s="4"/>
      <c r="T440" s="4"/>
    </row>
    <row r="441" spans="18:20" ht="14.25" customHeight="1" x14ac:dyDescent="0.3">
      <c r="R441" s="4"/>
      <c r="S441" s="4"/>
      <c r="T441" s="4"/>
    </row>
    <row r="442" spans="18:20" ht="14.25" customHeight="1" x14ac:dyDescent="0.3">
      <c r="R442" s="4"/>
      <c r="S442" s="4"/>
      <c r="T442" s="4"/>
    </row>
    <row r="443" spans="18:20" ht="14.25" customHeight="1" x14ac:dyDescent="0.3">
      <c r="R443" s="4"/>
      <c r="S443" s="4"/>
      <c r="T443" s="4"/>
    </row>
    <row r="444" spans="18:20" ht="14.25" customHeight="1" x14ac:dyDescent="0.3">
      <c r="R444" s="4"/>
      <c r="S444" s="4"/>
      <c r="T444" s="4"/>
    </row>
    <row r="445" spans="18:20" ht="14.25" customHeight="1" x14ac:dyDescent="0.3">
      <c r="R445" s="4"/>
      <c r="S445" s="4"/>
      <c r="T445" s="4"/>
    </row>
    <row r="446" spans="18:20" ht="14.25" customHeight="1" x14ac:dyDescent="0.3">
      <c r="R446" s="4"/>
      <c r="S446" s="4"/>
      <c r="T446" s="4"/>
    </row>
    <row r="447" spans="18:20" ht="14.25" customHeight="1" x14ac:dyDescent="0.3">
      <c r="R447" s="4"/>
      <c r="S447" s="4"/>
      <c r="T447" s="4"/>
    </row>
    <row r="448" spans="18:20" ht="14.25" customHeight="1" x14ac:dyDescent="0.3">
      <c r="R448" s="4"/>
      <c r="S448" s="4"/>
      <c r="T448" s="4"/>
    </row>
    <row r="449" spans="18:20" ht="14.25" customHeight="1" x14ac:dyDescent="0.3">
      <c r="R449" s="4"/>
      <c r="S449" s="4"/>
      <c r="T449" s="4"/>
    </row>
    <row r="450" spans="18:20" ht="14.25" customHeight="1" x14ac:dyDescent="0.3">
      <c r="R450" s="4"/>
      <c r="S450" s="4"/>
      <c r="T450" s="4"/>
    </row>
    <row r="451" spans="18:20" ht="14.25" customHeight="1" x14ac:dyDescent="0.3">
      <c r="R451" s="4"/>
      <c r="S451" s="4"/>
      <c r="T451" s="4"/>
    </row>
    <row r="452" spans="18:20" ht="14.25" customHeight="1" x14ac:dyDescent="0.3">
      <c r="R452" s="4"/>
      <c r="S452" s="4"/>
      <c r="T452" s="4"/>
    </row>
    <row r="453" spans="18:20" ht="14.25" customHeight="1" x14ac:dyDescent="0.3">
      <c r="R453" s="4"/>
      <c r="S453" s="4"/>
      <c r="T453" s="4"/>
    </row>
    <row r="454" spans="18:20" ht="14.25" customHeight="1" x14ac:dyDescent="0.3">
      <c r="R454" s="4"/>
      <c r="S454" s="4"/>
      <c r="T454" s="4"/>
    </row>
    <row r="455" spans="18:20" ht="14.25" customHeight="1" x14ac:dyDescent="0.3">
      <c r="R455" s="4"/>
      <c r="S455" s="4"/>
      <c r="T455" s="4"/>
    </row>
    <row r="456" spans="18:20" ht="14.25" customHeight="1" x14ac:dyDescent="0.3">
      <c r="R456" s="4"/>
      <c r="S456" s="4"/>
      <c r="T456" s="4"/>
    </row>
    <row r="457" spans="18:20" ht="14.25" customHeight="1" x14ac:dyDescent="0.3">
      <c r="R457" s="4"/>
      <c r="S457" s="4"/>
      <c r="T457" s="4"/>
    </row>
    <row r="458" spans="18:20" ht="14.25" customHeight="1" x14ac:dyDescent="0.3">
      <c r="R458" s="4"/>
      <c r="S458" s="4"/>
      <c r="T458" s="4"/>
    </row>
    <row r="459" spans="18:20" ht="14.25" customHeight="1" x14ac:dyDescent="0.3">
      <c r="R459" s="4"/>
      <c r="S459" s="4"/>
      <c r="T459" s="4"/>
    </row>
    <row r="460" spans="18:20" ht="14.25" customHeight="1" x14ac:dyDescent="0.3">
      <c r="R460" s="4"/>
      <c r="S460" s="4"/>
      <c r="T460" s="4"/>
    </row>
    <row r="461" spans="18:20" ht="14.25" customHeight="1" x14ac:dyDescent="0.3">
      <c r="R461" s="4"/>
      <c r="S461" s="4"/>
      <c r="T461" s="4"/>
    </row>
    <row r="462" spans="18:20" ht="14.25" customHeight="1" x14ac:dyDescent="0.3">
      <c r="R462" s="4"/>
      <c r="S462" s="4"/>
      <c r="T462" s="4"/>
    </row>
    <row r="463" spans="18:20" ht="14.25" customHeight="1" x14ac:dyDescent="0.3">
      <c r="R463" s="4"/>
      <c r="S463" s="4"/>
      <c r="T463" s="4"/>
    </row>
    <row r="464" spans="18:20" ht="14.25" customHeight="1" x14ac:dyDescent="0.3">
      <c r="R464" s="4"/>
      <c r="S464" s="4"/>
      <c r="T464" s="4"/>
    </row>
    <row r="465" spans="18:20" ht="14.25" customHeight="1" x14ac:dyDescent="0.3">
      <c r="R465" s="4"/>
      <c r="S465" s="4"/>
      <c r="T465" s="4"/>
    </row>
    <row r="466" spans="18:20" ht="14.25" customHeight="1" x14ac:dyDescent="0.3">
      <c r="R466" s="4"/>
      <c r="S466" s="4"/>
      <c r="T466" s="4"/>
    </row>
    <row r="467" spans="18:20" ht="14.25" customHeight="1" x14ac:dyDescent="0.3">
      <c r="R467" s="4"/>
      <c r="S467" s="4"/>
      <c r="T467" s="4"/>
    </row>
    <row r="468" spans="18:20" ht="14.25" customHeight="1" x14ac:dyDescent="0.3">
      <c r="R468" s="4"/>
      <c r="S468" s="4"/>
      <c r="T468" s="4"/>
    </row>
    <row r="469" spans="18:20" ht="14.25" customHeight="1" x14ac:dyDescent="0.3">
      <c r="R469" s="4"/>
      <c r="S469" s="4"/>
      <c r="T469" s="4"/>
    </row>
    <row r="470" spans="18:20" ht="14.25" customHeight="1" x14ac:dyDescent="0.3">
      <c r="R470" s="4"/>
      <c r="S470" s="4"/>
      <c r="T470" s="4"/>
    </row>
    <row r="471" spans="18:20" ht="14.25" customHeight="1" x14ac:dyDescent="0.3">
      <c r="R471" s="4"/>
      <c r="S471" s="4"/>
      <c r="T471" s="4"/>
    </row>
    <row r="472" spans="18:20" ht="14.25" customHeight="1" x14ac:dyDescent="0.3">
      <c r="R472" s="4"/>
      <c r="S472" s="4"/>
      <c r="T472" s="4"/>
    </row>
    <row r="473" spans="18:20" ht="14.25" customHeight="1" x14ac:dyDescent="0.3">
      <c r="R473" s="4"/>
      <c r="S473" s="4"/>
      <c r="T473" s="4"/>
    </row>
    <row r="474" spans="18:20" ht="14.25" customHeight="1" x14ac:dyDescent="0.3">
      <c r="R474" s="4"/>
      <c r="S474" s="4"/>
      <c r="T474" s="4"/>
    </row>
    <row r="475" spans="18:20" ht="14.25" customHeight="1" x14ac:dyDescent="0.3">
      <c r="R475" s="4"/>
      <c r="S475" s="4"/>
      <c r="T475" s="4"/>
    </row>
    <row r="476" spans="18:20" ht="14.25" customHeight="1" x14ac:dyDescent="0.3">
      <c r="R476" s="4"/>
      <c r="S476" s="4"/>
      <c r="T476" s="4"/>
    </row>
    <row r="477" spans="18:20" ht="14.25" customHeight="1" x14ac:dyDescent="0.3">
      <c r="R477" s="4"/>
      <c r="S477" s="4"/>
      <c r="T477" s="4"/>
    </row>
    <row r="478" spans="18:20" ht="14.25" customHeight="1" x14ac:dyDescent="0.3">
      <c r="R478" s="4"/>
      <c r="S478" s="4"/>
      <c r="T478" s="4"/>
    </row>
    <row r="479" spans="18:20" ht="14.25" customHeight="1" x14ac:dyDescent="0.3">
      <c r="R479" s="4"/>
      <c r="S479" s="4"/>
      <c r="T479" s="4"/>
    </row>
    <row r="480" spans="18:20" ht="14.25" customHeight="1" x14ac:dyDescent="0.3">
      <c r="R480" s="4"/>
      <c r="S480" s="4"/>
      <c r="T480" s="4"/>
    </row>
    <row r="481" spans="18:20" ht="14.25" customHeight="1" x14ac:dyDescent="0.3">
      <c r="R481" s="4"/>
      <c r="S481" s="4"/>
      <c r="T481" s="4"/>
    </row>
    <row r="482" spans="18:20" ht="14.25" customHeight="1" x14ac:dyDescent="0.3">
      <c r="R482" s="4"/>
      <c r="S482" s="4"/>
      <c r="T482" s="4"/>
    </row>
    <row r="483" spans="18:20" ht="14.25" customHeight="1" x14ac:dyDescent="0.3">
      <c r="R483" s="4"/>
      <c r="S483" s="4"/>
      <c r="T483" s="4"/>
    </row>
    <row r="484" spans="18:20" ht="14.25" customHeight="1" x14ac:dyDescent="0.3">
      <c r="R484" s="4"/>
      <c r="S484" s="4"/>
      <c r="T484" s="4"/>
    </row>
    <row r="485" spans="18:20" ht="14.25" customHeight="1" x14ac:dyDescent="0.3">
      <c r="R485" s="4"/>
      <c r="S485" s="4"/>
      <c r="T485" s="4"/>
    </row>
    <row r="486" spans="18:20" ht="14.25" customHeight="1" x14ac:dyDescent="0.3">
      <c r="R486" s="4"/>
      <c r="S486" s="4"/>
      <c r="T486" s="4"/>
    </row>
    <row r="487" spans="18:20" ht="14.25" customHeight="1" x14ac:dyDescent="0.3">
      <c r="R487" s="4"/>
      <c r="S487" s="4"/>
      <c r="T487" s="4"/>
    </row>
    <row r="488" spans="18:20" ht="14.25" customHeight="1" x14ac:dyDescent="0.3">
      <c r="R488" s="4"/>
      <c r="S488" s="4"/>
      <c r="T488" s="4"/>
    </row>
    <row r="489" spans="18:20" ht="14.25" customHeight="1" x14ac:dyDescent="0.3">
      <c r="R489" s="4"/>
      <c r="S489" s="4"/>
      <c r="T489" s="4"/>
    </row>
    <row r="490" spans="18:20" ht="14.25" customHeight="1" x14ac:dyDescent="0.3">
      <c r="R490" s="4"/>
      <c r="S490" s="4"/>
      <c r="T490" s="4"/>
    </row>
    <row r="491" spans="18:20" ht="14.25" customHeight="1" x14ac:dyDescent="0.3">
      <c r="R491" s="4"/>
      <c r="S491" s="4"/>
      <c r="T491" s="4"/>
    </row>
    <row r="492" spans="18:20" ht="14.25" customHeight="1" x14ac:dyDescent="0.3">
      <c r="R492" s="4"/>
      <c r="S492" s="4"/>
      <c r="T492" s="4"/>
    </row>
    <row r="493" spans="18:20" ht="14.25" customHeight="1" x14ac:dyDescent="0.3">
      <c r="R493" s="4"/>
      <c r="S493" s="4"/>
      <c r="T493" s="4"/>
    </row>
    <row r="494" spans="18:20" ht="14.25" customHeight="1" x14ac:dyDescent="0.3">
      <c r="R494" s="4"/>
      <c r="S494" s="4"/>
      <c r="T494" s="4"/>
    </row>
    <row r="495" spans="18:20" ht="14.25" customHeight="1" x14ac:dyDescent="0.3">
      <c r="R495" s="4"/>
      <c r="S495" s="4"/>
      <c r="T495" s="4"/>
    </row>
    <row r="496" spans="18:20" ht="14.25" customHeight="1" x14ac:dyDescent="0.3">
      <c r="R496" s="4"/>
      <c r="S496" s="4"/>
      <c r="T496" s="4"/>
    </row>
    <row r="497" spans="18:20" ht="14.25" customHeight="1" x14ac:dyDescent="0.3">
      <c r="R497" s="4"/>
      <c r="S497" s="4"/>
      <c r="T497" s="4"/>
    </row>
    <row r="498" spans="18:20" ht="14.25" customHeight="1" x14ac:dyDescent="0.3">
      <c r="R498" s="4"/>
      <c r="S498" s="4"/>
      <c r="T498" s="4"/>
    </row>
    <row r="499" spans="18:20" ht="14.25" customHeight="1" x14ac:dyDescent="0.3">
      <c r="R499" s="4"/>
      <c r="S499" s="4"/>
      <c r="T499" s="4"/>
    </row>
    <row r="500" spans="18:20" ht="14.25" customHeight="1" x14ac:dyDescent="0.3">
      <c r="R500" s="4"/>
      <c r="S500" s="4"/>
      <c r="T500" s="4"/>
    </row>
    <row r="501" spans="18:20" ht="14.25" customHeight="1" x14ac:dyDescent="0.3">
      <c r="R501" s="4"/>
      <c r="S501" s="4"/>
      <c r="T501" s="4"/>
    </row>
    <row r="502" spans="18:20" ht="14.25" customHeight="1" x14ac:dyDescent="0.3">
      <c r="R502" s="4"/>
      <c r="S502" s="4"/>
      <c r="T502" s="4"/>
    </row>
    <row r="503" spans="18:20" ht="14.25" customHeight="1" x14ac:dyDescent="0.3">
      <c r="R503" s="4"/>
      <c r="S503" s="4"/>
      <c r="T503" s="4"/>
    </row>
    <row r="504" spans="18:20" ht="14.25" customHeight="1" x14ac:dyDescent="0.3">
      <c r="R504" s="4"/>
      <c r="S504" s="4"/>
      <c r="T504" s="4"/>
    </row>
    <row r="505" spans="18:20" ht="14.25" customHeight="1" x14ac:dyDescent="0.3">
      <c r="R505" s="4"/>
      <c r="S505" s="4"/>
      <c r="T505" s="4"/>
    </row>
    <row r="506" spans="18:20" ht="14.25" customHeight="1" x14ac:dyDescent="0.3">
      <c r="R506" s="4"/>
      <c r="S506" s="4"/>
      <c r="T506" s="4"/>
    </row>
    <row r="507" spans="18:20" ht="14.25" customHeight="1" x14ac:dyDescent="0.3">
      <c r="R507" s="4"/>
      <c r="S507" s="4"/>
      <c r="T507" s="4"/>
    </row>
    <row r="508" spans="18:20" ht="14.25" customHeight="1" x14ac:dyDescent="0.3">
      <c r="R508" s="4"/>
      <c r="S508" s="4"/>
      <c r="T508" s="4"/>
    </row>
    <row r="509" spans="18:20" ht="14.25" customHeight="1" x14ac:dyDescent="0.3">
      <c r="R509" s="4"/>
      <c r="S509" s="4"/>
      <c r="T509" s="4"/>
    </row>
    <row r="510" spans="18:20" ht="14.25" customHeight="1" x14ac:dyDescent="0.3">
      <c r="R510" s="4"/>
      <c r="S510" s="4"/>
      <c r="T510" s="4"/>
    </row>
    <row r="511" spans="18:20" ht="14.25" customHeight="1" x14ac:dyDescent="0.3">
      <c r="R511" s="4"/>
      <c r="S511" s="4"/>
      <c r="T511" s="4"/>
    </row>
    <row r="512" spans="18:20" ht="14.25" customHeight="1" x14ac:dyDescent="0.3">
      <c r="R512" s="4"/>
      <c r="S512" s="4"/>
      <c r="T512" s="4"/>
    </row>
    <row r="513" spans="18:20" ht="14.25" customHeight="1" x14ac:dyDescent="0.3">
      <c r="R513" s="4"/>
      <c r="S513" s="4"/>
      <c r="T513" s="4"/>
    </row>
    <row r="514" spans="18:20" ht="14.25" customHeight="1" x14ac:dyDescent="0.3">
      <c r="R514" s="4"/>
      <c r="S514" s="4"/>
      <c r="T514" s="4"/>
    </row>
    <row r="515" spans="18:20" ht="14.25" customHeight="1" x14ac:dyDescent="0.3">
      <c r="R515" s="4"/>
      <c r="S515" s="4"/>
      <c r="T515" s="4"/>
    </row>
    <row r="516" spans="18:20" ht="14.25" customHeight="1" x14ac:dyDescent="0.3">
      <c r="R516" s="4"/>
      <c r="S516" s="4"/>
      <c r="T516" s="4"/>
    </row>
    <row r="517" spans="18:20" ht="14.25" customHeight="1" x14ac:dyDescent="0.3">
      <c r="R517" s="4"/>
      <c r="S517" s="4"/>
      <c r="T517" s="4"/>
    </row>
    <row r="518" spans="18:20" ht="14.25" customHeight="1" x14ac:dyDescent="0.3">
      <c r="R518" s="4"/>
      <c r="S518" s="4"/>
      <c r="T518" s="4"/>
    </row>
    <row r="519" spans="18:20" ht="14.25" customHeight="1" x14ac:dyDescent="0.3">
      <c r="R519" s="4"/>
      <c r="S519" s="4"/>
      <c r="T519" s="4"/>
    </row>
    <row r="520" spans="18:20" ht="14.25" customHeight="1" x14ac:dyDescent="0.3">
      <c r="R520" s="4"/>
      <c r="S520" s="4"/>
      <c r="T520" s="4"/>
    </row>
    <row r="521" spans="18:20" ht="14.25" customHeight="1" x14ac:dyDescent="0.3">
      <c r="R521" s="4"/>
      <c r="S521" s="4"/>
      <c r="T521" s="4"/>
    </row>
    <row r="522" spans="18:20" ht="14.25" customHeight="1" x14ac:dyDescent="0.3">
      <c r="R522" s="4"/>
      <c r="S522" s="4"/>
      <c r="T522" s="4"/>
    </row>
    <row r="523" spans="18:20" ht="14.25" customHeight="1" x14ac:dyDescent="0.3">
      <c r="R523" s="4"/>
      <c r="S523" s="4"/>
      <c r="T523" s="4"/>
    </row>
    <row r="524" spans="18:20" ht="14.25" customHeight="1" x14ac:dyDescent="0.3">
      <c r="R524" s="4"/>
      <c r="S524" s="4"/>
      <c r="T524" s="4"/>
    </row>
    <row r="525" spans="18:20" ht="14.25" customHeight="1" x14ac:dyDescent="0.3">
      <c r="R525" s="4"/>
      <c r="S525" s="4"/>
      <c r="T525" s="4"/>
    </row>
    <row r="526" spans="18:20" ht="14.25" customHeight="1" x14ac:dyDescent="0.3">
      <c r="R526" s="4"/>
      <c r="S526" s="4"/>
      <c r="T526" s="4"/>
    </row>
    <row r="527" spans="18:20" ht="14.25" customHeight="1" x14ac:dyDescent="0.3">
      <c r="R527" s="4"/>
      <c r="S527" s="4"/>
      <c r="T527" s="4"/>
    </row>
    <row r="528" spans="18:20" ht="14.25" customHeight="1" x14ac:dyDescent="0.3">
      <c r="R528" s="4"/>
      <c r="S528" s="4"/>
      <c r="T528" s="4"/>
    </row>
    <row r="529" spans="18:20" ht="14.25" customHeight="1" x14ac:dyDescent="0.3">
      <c r="R529" s="4"/>
      <c r="S529" s="4"/>
      <c r="T529" s="4"/>
    </row>
    <row r="530" spans="18:20" ht="14.25" customHeight="1" x14ac:dyDescent="0.3">
      <c r="R530" s="4"/>
      <c r="S530" s="4"/>
      <c r="T530" s="4"/>
    </row>
    <row r="531" spans="18:20" ht="14.25" customHeight="1" x14ac:dyDescent="0.3">
      <c r="R531" s="4"/>
      <c r="S531" s="4"/>
      <c r="T531" s="4"/>
    </row>
    <row r="532" spans="18:20" ht="14.25" customHeight="1" x14ac:dyDescent="0.3">
      <c r="R532" s="4"/>
      <c r="S532" s="4"/>
      <c r="T532" s="4"/>
    </row>
    <row r="533" spans="18:20" ht="14.25" customHeight="1" x14ac:dyDescent="0.3">
      <c r="R533" s="4"/>
      <c r="S533" s="4"/>
      <c r="T533" s="4"/>
    </row>
    <row r="534" spans="18:20" ht="14.25" customHeight="1" x14ac:dyDescent="0.3">
      <c r="R534" s="4"/>
      <c r="S534" s="4"/>
      <c r="T534" s="4"/>
    </row>
    <row r="535" spans="18:20" ht="14.25" customHeight="1" x14ac:dyDescent="0.3">
      <c r="R535" s="4"/>
      <c r="S535" s="4"/>
      <c r="T535" s="4"/>
    </row>
    <row r="536" spans="18:20" ht="14.25" customHeight="1" x14ac:dyDescent="0.3">
      <c r="R536" s="4"/>
      <c r="S536" s="4"/>
      <c r="T536" s="4"/>
    </row>
    <row r="537" spans="18:20" ht="14.25" customHeight="1" x14ac:dyDescent="0.3">
      <c r="R537" s="4"/>
      <c r="S537" s="4"/>
      <c r="T537" s="4"/>
    </row>
    <row r="538" spans="18:20" ht="14.25" customHeight="1" x14ac:dyDescent="0.3">
      <c r="R538" s="4"/>
      <c r="S538" s="4"/>
      <c r="T538" s="4"/>
    </row>
    <row r="539" spans="18:20" ht="14.25" customHeight="1" x14ac:dyDescent="0.3">
      <c r="R539" s="4"/>
      <c r="S539" s="4"/>
      <c r="T539" s="4"/>
    </row>
    <row r="540" spans="18:20" ht="14.25" customHeight="1" x14ac:dyDescent="0.3">
      <c r="R540" s="4"/>
      <c r="S540" s="4"/>
      <c r="T540" s="4"/>
    </row>
    <row r="541" spans="18:20" ht="14.25" customHeight="1" x14ac:dyDescent="0.3">
      <c r="R541" s="4"/>
      <c r="S541" s="4"/>
      <c r="T541" s="4"/>
    </row>
    <row r="542" spans="18:20" ht="14.25" customHeight="1" x14ac:dyDescent="0.3">
      <c r="R542" s="4"/>
      <c r="S542" s="4"/>
      <c r="T542" s="4"/>
    </row>
    <row r="543" spans="18:20" ht="14.25" customHeight="1" x14ac:dyDescent="0.3">
      <c r="R543" s="4"/>
      <c r="S543" s="4"/>
      <c r="T543" s="4"/>
    </row>
    <row r="544" spans="18:20" ht="14.25" customHeight="1" x14ac:dyDescent="0.3">
      <c r="R544" s="4"/>
      <c r="S544" s="4"/>
      <c r="T544" s="4"/>
    </row>
    <row r="545" spans="18:20" ht="14.25" customHeight="1" x14ac:dyDescent="0.3">
      <c r="R545" s="4"/>
      <c r="S545" s="4"/>
      <c r="T545" s="4"/>
    </row>
    <row r="546" spans="18:20" ht="14.25" customHeight="1" x14ac:dyDescent="0.3">
      <c r="R546" s="4"/>
      <c r="S546" s="4"/>
      <c r="T546" s="4"/>
    </row>
    <row r="547" spans="18:20" ht="14.25" customHeight="1" x14ac:dyDescent="0.3">
      <c r="R547" s="4"/>
      <c r="S547" s="4"/>
      <c r="T547" s="4"/>
    </row>
    <row r="548" spans="18:20" ht="14.25" customHeight="1" x14ac:dyDescent="0.3">
      <c r="R548" s="4"/>
      <c r="S548" s="4"/>
      <c r="T548" s="4"/>
    </row>
    <row r="549" spans="18:20" ht="14.25" customHeight="1" x14ac:dyDescent="0.3">
      <c r="R549" s="4"/>
      <c r="S549" s="4"/>
      <c r="T549" s="4"/>
    </row>
    <row r="550" spans="18:20" ht="14.25" customHeight="1" x14ac:dyDescent="0.3">
      <c r="R550" s="4"/>
      <c r="S550" s="4"/>
      <c r="T550" s="4"/>
    </row>
    <row r="551" spans="18:20" ht="14.25" customHeight="1" x14ac:dyDescent="0.3">
      <c r="R551" s="4"/>
      <c r="S551" s="4"/>
      <c r="T551" s="4"/>
    </row>
    <row r="552" spans="18:20" ht="14.25" customHeight="1" x14ac:dyDescent="0.3">
      <c r="R552" s="4"/>
      <c r="S552" s="4"/>
      <c r="T552" s="4"/>
    </row>
    <row r="553" spans="18:20" ht="14.25" customHeight="1" x14ac:dyDescent="0.3">
      <c r="R553" s="4"/>
      <c r="S553" s="4"/>
      <c r="T553" s="4"/>
    </row>
    <row r="554" spans="18:20" ht="14.25" customHeight="1" x14ac:dyDescent="0.3">
      <c r="R554" s="4"/>
      <c r="S554" s="4"/>
      <c r="T554" s="4"/>
    </row>
    <row r="555" spans="18:20" ht="14.25" customHeight="1" x14ac:dyDescent="0.3">
      <c r="R555" s="4"/>
      <c r="S555" s="4"/>
      <c r="T555" s="4"/>
    </row>
    <row r="556" spans="18:20" ht="14.25" customHeight="1" x14ac:dyDescent="0.3">
      <c r="R556" s="4"/>
      <c r="S556" s="4"/>
      <c r="T556" s="4"/>
    </row>
    <row r="557" spans="18:20" ht="14.25" customHeight="1" x14ac:dyDescent="0.3">
      <c r="R557" s="4"/>
      <c r="S557" s="4"/>
      <c r="T557" s="4"/>
    </row>
    <row r="558" spans="18:20" ht="14.25" customHeight="1" x14ac:dyDescent="0.3">
      <c r="R558" s="4"/>
      <c r="S558" s="4"/>
      <c r="T558" s="4"/>
    </row>
    <row r="559" spans="18:20" ht="14.25" customHeight="1" x14ac:dyDescent="0.3">
      <c r="R559" s="4"/>
      <c r="S559" s="4"/>
      <c r="T559" s="4"/>
    </row>
    <row r="560" spans="18:20" ht="14.25" customHeight="1" x14ac:dyDescent="0.3">
      <c r="R560" s="4"/>
      <c r="S560" s="4"/>
      <c r="T560" s="4"/>
    </row>
    <row r="561" spans="18:20" ht="14.25" customHeight="1" x14ac:dyDescent="0.3">
      <c r="R561" s="4"/>
      <c r="S561" s="4"/>
      <c r="T561" s="4"/>
    </row>
    <row r="562" spans="18:20" ht="14.25" customHeight="1" x14ac:dyDescent="0.3">
      <c r="R562" s="4"/>
      <c r="S562" s="4"/>
      <c r="T562" s="4"/>
    </row>
    <row r="563" spans="18:20" ht="14.25" customHeight="1" x14ac:dyDescent="0.3">
      <c r="R563" s="4"/>
      <c r="S563" s="4"/>
      <c r="T563" s="4"/>
    </row>
    <row r="564" spans="18:20" ht="14.25" customHeight="1" x14ac:dyDescent="0.3">
      <c r="R564" s="4"/>
      <c r="S564" s="4"/>
      <c r="T564" s="4"/>
    </row>
    <row r="565" spans="18:20" ht="14.25" customHeight="1" x14ac:dyDescent="0.3">
      <c r="R565" s="4"/>
      <c r="S565" s="4"/>
      <c r="T565" s="4"/>
    </row>
    <row r="566" spans="18:20" ht="14.25" customHeight="1" x14ac:dyDescent="0.3">
      <c r="R566" s="4"/>
      <c r="S566" s="4"/>
      <c r="T566" s="4"/>
    </row>
    <row r="567" spans="18:20" ht="14.25" customHeight="1" x14ac:dyDescent="0.3">
      <c r="R567" s="4"/>
      <c r="S567" s="4"/>
      <c r="T567" s="4"/>
    </row>
    <row r="568" spans="18:20" ht="14.25" customHeight="1" x14ac:dyDescent="0.3">
      <c r="R568" s="4"/>
      <c r="S568" s="4"/>
      <c r="T568" s="4"/>
    </row>
    <row r="569" spans="18:20" ht="14.25" customHeight="1" x14ac:dyDescent="0.3">
      <c r="R569" s="4"/>
      <c r="S569" s="4"/>
      <c r="T569" s="4"/>
    </row>
    <row r="570" spans="18:20" ht="14.25" customHeight="1" x14ac:dyDescent="0.3">
      <c r="R570" s="4"/>
      <c r="S570" s="4"/>
      <c r="T570" s="4"/>
    </row>
    <row r="571" spans="18:20" ht="14.25" customHeight="1" x14ac:dyDescent="0.3">
      <c r="R571" s="4"/>
      <c r="S571" s="4"/>
      <c r="T571" s="4"/>
    </row>
    <row r="572" spans="18:20" ht="14.25" customHeight="1" x14ac:dyDescent="0.3">
      <c r="R572" s="4"/>
      <c r="S572" s="4"/>
      <c r="T572" s="4"/>
    </row>
    <row r="573" spans="18:20" ht="14.25" customHeight="1" x14ac:dyDescent="0.3">
      <c r="R573" s="4"/>
      <c r="S573" s="4"/>
      <c r="T573" s="4"/>
    </row>
    <row r="574" spans="18:20" ht="14.25" customHeight="1" x14ac:dyDescent="0.3">
      <c r="R574" s="4"/>
      <c r="S574" s="4"/>
      <c r="T574" s="4"/>
    </row>
    <row r="575" spans="18:20" ht="14.25" customHeight="1" x14ac:dyDescent="0.3">
      <c r="R575" s="4"/>
      <c r="S575" s="4"/>
      <c r="T575" s="4"/>
    </row>
    <row r="576" spans="18:20" ht="14.25" customHeight="1" x14ac:dyDescent="0.3">
      <c r="R576" s="4"/>
      <c r="S576" s="4"/>
      <c r="T576" s="4"/>
    </row>
    <row r="577" spans="18:20" ht="14.25" customHeight="1" x14ac:dyDescent="0.3">
      <c r="R577" s="4"/>
      <c r="S577" s="4"/>
      <c r="T577" s="4"/>
    </row>
    <row r="578" spans="18:20" ht="14.25" customHeight="1" x14ac:dyDescent="0.3">
      <c r="R578" s="4"/>
      <c r="S578" s="4"/>
      <c r="T578" s="4"/>
    </row>
    <row r="579" spans="18:20" ht="14.25" customHeight="1" x14ac:dyDescent="0.3">
      <c r="R579" s="4"/>
      <c r="S579" s="4"/>
      <c r="T579" s="4"/>
    </row>
    <row r="580" spans="18:20" ht="14.25" customHeight="1" x14ac:dyDescent="0.3">
      <c r="R580" s="4"/>
      <c r="S580" s="4"/>
      <c r="T580" s="4"/>
    </row>
    <row r="581" spans="18:20" ht="14.25" customHeight="1" x14ac:dyDescent="0.3">
      <c r="R581" s="4"/>
      <c r="S581" s="4"/>
      <c r="T581" s="4"/>
    </row>
    <row r="582" spans="18:20" ht="14.25" customHeight="1" x14ac:dyDescent="0.3">
      <c r="R582" s="4"/>
      <c r="S582" s="4"/>
      <c r="T582" s="4"/>
    </row>
    <row r="583" spans="18:20" ht="14.25" customHeight="1" x14ac:dyDescent="0.3">
      <c r="R583" s="4"/>
      <c r="S583" s="4"/>
      <c r="T583" s="4"/>
    </row>
    <row r="584" spans="18:20" ht="14.25" customHeight="1" x14ac:dyDescent="0.3">
      <c r="R584" s="4"/>
      <c r="S584" s="4"/>
      <c r="T584" s="4"/>
    </row>
    <row r="585" spans="18:20" ht="14.25" customHeight="1" x14ac:dyDescent="0.3">
      <c r="R585" s="4"/>
      <c r="S585" s="4"/>
      <c r="T585" s="4"/>
    </row>
    <row r="586" spans="18:20" ht="14.25" customHeight="1" x14ac:dyDescent="0.3">
      <c r="R586" s="4"/>
      <c r="S586" s="4"/>
      <c r="T586" s="4"/>
    </row>
    <row r="587" spans="18:20" ht="14.25" customHeight="1" x14ac:dyDescent="0.3">
      <c r="R587" s="4"/>
      <c r="S587" s="4"/>
      <c r="T587" s="4"/>
    </row>
    <row r="588" spans="18:20" ht="14.25" customHeight="1" x14ac:dyDescent="0.3">
      <c r="R588" s="4"/>
      <c r="S588" s="4"/>
      <c r="T588" s="4"/>
    </row>
    <row r="589" spans="18:20" ht="14.25" customHeight="1" x14ac:dyDescent="0.3">
      <c r="R589" s="4"/>
      <c r="S589" s="4"/>
      <c r="T589" s="4"/>
    </row>
    <row r="590" spans="18:20" ht="14.25" customHeight="1" x14ac:dyDescent="0.3">
      <c r="R590" s="4"/>
      <c r="S590" s="4"/>
      <c r="T590" s="4"/>
    </row>
    <row r="591" spans="18:20" ht="14.25" customHeight="1" x14ac:dyDescent="0.3">
      <c r="R591" s="4"/>
      <c r="S591" s="4"/>
      <c r="T591" s="4"/>
    </row>
    <row r="592" spans="18:20" ht="14.25" customHeight="1" x14ac:dyDescent="0.3">
      <c r="R592" s="4"/>
      <c r="S592" s="4"/>
      <c r="T592" s="4"/>
    </row>
    <row r="593" spans="18:20" ht="14.25" customHeight="1" x14ac:dyDescent="0.3">
      <c r="R593" s="4"/>
      <c r="S593" s="4"/>
      <c r="T593" s="4"/>
    </row>
    <row r="594" spans="18:20" ht="14.25" customHeight="1" x14ac:dyDescent="0.3">
      <c r="R594" s="4"/>
      <c r="S594" s="4"/>
      <c r="T594" s="4"/>
    </row>
    <row r="595" spans="18:20" ht="14.25" customHeight="1" x14ac:dyDescent="0.3">
      <c r="R595" s="4"/>
      <c r="S595" s="4"/>
      <c r="T595" s="4"/>
    </row>
    <row r="596" spans="18:20" ht="14.25" customHeight="1" x14ac:dyDescent="0.3">
      <c r="R596" s="4"/>
      <c r="S596" s="4"/>
      <c r="T596" s="4"/>
    </row>
    <row r="597" spans="18:20" ht="14.25" customHeight="1" x14ac:dyDescent="0.3">
      <c r="R597" s="4"/>
      <c r="S597" s="4"/>
      <c r="T597" s="4"/>
    </row>
    <row r="598" spans="18:20" ht="14.25" customHeight="1" x14ac:dyDescent="0.3">
      <c r="R598" s="4"/>
      <c r="S598" s="4"/>
      <c r="T598" s="4"/>
    </row>
    <row r="599" spans="18:20" ht="14.25" customHeight="1" x14ac:dyDescent="0.3">
      <c r="R599" s="4"/>
      <c r="S599" s="4"/>
      <c r="T599" s="4"/>
    </row>
    <row r="600" spans="18:20" ht="14.25" customHeight="1" x14ac:dyDescent="0.3">
      <c r="R600" s="4"/>
      <c r="S600" s="4"/>
      <c r="T600" s="4"/>
    </row>
    <row r="601" spans="18:20" ht="14.25" customHeight="1" x14ac:dyDescent="0.3">
      <c r="R601" s="4"/>
      <c r="S601" s="4"/>
      <c r="T601" s="4"/>
    </row>
    <row r="602" spans="18:20" ht="14.25" customHeight="1" x14ac:dyDescent="0.3">
      <c r="R602" s="4"/>
      <c r="S602" s="4"/>
      <c r="T602" s="4"/>
    </row>
    <row r="603" spans="18:20" ht="14.25" customHeight="1" x14ac:dyDescent="0.3">
      <c r="R603" s="4"/>
      <c r="S603" s="4"/>
      <c r="T603" s="4"/>
    </row>
    <row r="604" spans="18:20" ht="14.25" customHeight="1" x14ac:dyDescent="0.3">
      <c r="R604" s="4"/>
      <c r="S604" s="4"/>
      <c r="T604" s="4"/>
    </row>
    <row r="605" spans="18:20" ht="14.25" customHeight="1" x14ac:dyDescent="0.3">
      <c r="R605" s="4"/>
      <c r="S605" s="4"/>
      <c r="T605" s="4"/>
    </row>
    <row r="606" spans="18:20" ht="14.25" customHeight="1" x14ac:dyDescent="0.3">
      <c r="R606" s="4"/>
      <c r="S606" s="4"/>
      <c r="T606" s="4"/>
    </row>
    <row r="607" spans="18:20" ht="14.25" customHeight="1" x14ac:dyDescent="0.3">
      <c r="R607" s="4"/>
      <c r="S607" s="4"/>
      <c r="T607" s="4"/>
    </row>
    <row r="608" spans="18:20" ht="14.25" customHeight="1" x14ac:dyDescent="0.3">
      <c r="R608" s="4"/>
      <c r="S608" s="4"/>
      <c r="T608" s="4"/>
    </row>
    <row r="609" spans="18:20" ht="14.25" customHeight="1" x14ac:dyDescent="0.3">
      <c r="R609" s="4"/>
      <c r="S609" s="4"/>
      <c r="T609" s="4"/>
    </row>
    <row r="610" spans="18:20" ht="14.25" customHeight="1" x14ac:dyDescent="0.3">
      <c r="R610" s="4"/>
      <c r="S610" s="4"/>
      <c r="T610" s="4"/>
    </row>
    <row r="611" spans="18:20" ht="14.25" customHeight="1" x14ac:dyDescent="0.3">
      <c r="R611" s="4"/>
      <c r="S611" s="4"/>
      <c r="T611" s="4"/>
    </row>
    <row r="612" spans="18:20" ht="14.25" customHeight="1" x14ac:dyDescent="0.3">
      <c r="R612" s="4"/>
      <c r="S612" s="4"/>
      <c r="T612" s="4"/>
    </row>
    <row r="613" spans="18:20" ht="14.25" customHeight="1" x14ac:dyDescent="0.3">
      <c r="R613" s="4"/>
      <c r="S613" s="4"/>
      <c r="T613" s="4"/>
    </row>
    <row r="614" spans="18:20" ht="14.25" customHeight="1" x14ac:dyDescent="0.3">
      <c r="R614" s="4"/>
      <c r="S614" s="4"/>
      <c r="T614" s="4"/>
    </row>
    <row r="615" spans="18:20" ht="14.25" customHeight="1" x14ac:dyDescent="0.3">
      <c r="R615" s="4"/>
      <c r="S615" s="4"/>
      <c r="T615" s="4"/>
    </row>
    <row r="616" spans="18:20" ht="14.25" customHeight="1" x14ac:dyDescent="0.3">
      <c r="R616" s="4"/>
      <c r="S616" s="4"/>
      <c r="T616" s="4"/>
    </row>
    <row r="617" spans="18:20" ht="14.25" customHeight="1" x14ac:dyDescent="0.3">
      <c r="R617" s="4"/>
      <c r="S617" s="4"/>
      <c r="T617" s="4"/>
    </row>
    <row r="618" spans="18:20" ht="14.25" customHeight="1" x14ac:dyDescent="0.3">
      <c r="R618" s="4"/>
      <c r="S618" s="4"/>
      <c r="T618" s="4"/>
    </row>
    <row r="619" spans="18:20" ht="14.25" customHeight="1" x14ac:dyDescent="0.3">
      <c r="R619" s="4"/>
      <c r="S619" s="4"/>
      <c r="T619" s="4"/>
    </row>
    <row r="620" spans="18:20" ht="14.25" customHeight="1" x14ac:dyDescent="0.3">
      <c r="R620" s="4"/>
      <c r="S620" s="4"/>
      <c r="T620" s="4"/>
    </row>
    <row r="621" spans="18:20" ht="14.25" customHeight="1" x14ac:dyDescent="0.3">
      <c r="R621" s="4"/>
      <c r="S621" s="4"/>
      <c r="T621" s="4"/>
    </row>
    <row r="622" spans="18:20" ht="14.25" customHeight="1" x14ac:dyDescent="0.3">
      <c r="R622" s="4"/>
      <c r="S622" s="4"/>
      <c r="T622" s="4"/>
    </row>
    <row r="623" spans="18:20" ht="14.25" customHeight="1" x14ac:dyDescent="0.3">
      <c r="R623" s="4"/>
      <c r="S623" s="4"/>
      <c r="T623" s="4"/>
    </row>
    <row r="624" spans="18:20" ht="14.25" customHeight="1" x14ac:dyDescent="0.3">
      <c r="R624" s="4"/>
      <c r="S624" s="4"/>
      <c r="T624" s="4"/>
    </row>
    <row r="625" spans="18:20" ht="14.25" customHeight="1" x14ac:dyDescent="0.3">
      <c r="R625" s="4"/>
      <c r="S625" s="4"/>
      <c r="T625" s="4"/>
    </row>
    <row r="626" spans="18:20" ht="14.25" customHeight="1" x14ac:dyDescent="0.3">
      <c r="R626" s="4"/>
      <c r="S626" s="4"/>
      <c r="T626" s="4"/>
    </row>
    <row r="627" spans="18:20" ht="14.25" customHeight="1" x14ac:dyDescent="0.3">
      <c r="R627" s="4"/>
      <c r="S627" s="4"/>
      <c r="T627" s="4"/>
    </row>
    <row r="628" spans="18:20" ht="14.25" customHeight="1" x14ac:dyDescent="0.3">
      <c r="R628" s="4"/>
      <c r="S628" s="4"/>
      <c r="T628" s="4"/>
    </row>
    <row r="629" spans="18:20" ht="14.25" customHeight="1" x14ac:dyDescent="0.3">
      <c r="R629" s="4"/>
      <c r="S629" s="4"/>
      <c r="T629" s="4"/>
    </row>
    <row r="630" spans="18:20" ht="14.25" customHeight="1" x14ac:dyDescent="0.3">
      <c r="R630" s="4"/>
      <c r="S630" s="4"/>
      <c r="T630" s="4"/>
    </row>
    <row r="631" spans="18:20" ht="14.25" customHeight="1" x14ac:dyDescent="0.3">
      <c r="R631" s="4"/>
      <c r="S631" s="4"/>
      <c r="T631" s="4"/>
    </row>
    <row r="632" spans="18:20" ht="14.25" customHeight="1" x14ac:dyDescent="0.3">
      <c r="R632" s="4"/>
      <c r="S632" s="4"/>
      <c r="T632" s="4"/>
    </row>
    <row r="633" spans="18:20" ht="14.25" customHeight="1" x14ac:dyDescent="0.3">
      <c r="R633" s="4"/>
      <c r="S633" s="4"/>
      <c r="T633" s="4"/>
    </row>
    <row r="634" spans="18:20" ht="14.25" customHeight="1" x14ac:dyDescent="0.3">
      <c r="R634" s="4"/>
      <c r="S634" s="4"/>
      <c r="T634" s="4"/>
    </row>
    <row r="635" spans="18:20" ht="14.25" customHeight="1" x14ac:dyDescent="0.3">
      <c r="R635" s="4"/>
      <c r="S635" s="4"/>
      <c r="T635" s="4"/>
    </row>
    <row r="636" spans="18:20" ht="14.25" customHeight="1" x14ac:dyDescent="0.3">
      <c r="R636" s="4"/>
      <c r="S636" s="4"/>
      <c r="T636" s="4"/>
    </row>
    <row r="637" spans="18:20" ht="14.25" customHeight="1" x14ac:dyDescent="0.3">
      <c r="R637" s="4"/>
      <c r="S637" s="4"/>
      <c r="T637" s="4"/>
    </row>
    <row r="638" spans="18:20" ht="14.25" customHeight="1" x14ac:dyDescent="0.3">
      <c r="R638" s="4"/>
      <c r="S638" s="4"/>
      <c r="T638" s="4"/>
    </row>
    <row r="639" spans="18:20" ht="14.25" customHeight="1" x14ac:dyDescent="0.3">
      <c r="R639" s="4"/>
      <c r="S639" s="4"/>
      <c r="T639" s="4"/>
    </row>
    <row r="640" spans="18:20" ht="14.25" customHeight="1" x14ac:dyDescent="0.3">
      <c r="R640" s="4"/>
      <c r="S640" s="4"/>
      <c r="T640" s="4"/>
    </row>
    <row r="641" spans="18:20" ht="14.25" customHeight="1" x14ac:dyDescent="0.3">
      <c r="R641" s="4"/>
      <c r="S641" s="4"/>
      <c r="T641" s="4"/>
    </row>
    <row r="642" spans="18:20" ht="14.25" customHeight="1" x14ac:dyDescent="0.3">
      <c r="R642" s="4"/>
      <c r="S642" s="4"/>
      <c r="T642" s="4"/>
    </row>
    <row r="643" spans="18:20" ht="14.25" customHeight="1" x14ac:dyDescent="0.3">
      <c r="R643" s="4"/>
      <c r="S643" s="4"/>
      <c r="T643" s="4"/>
    </row>
    <row r="644" spans="18:20" ht="14.25" customHeight="1" x14ac:dyDescent="0.3">
      <c r="R644" s="4"/>
      <c r="S644" s="4"/>
      <c r="T644" s="4"/>
    </row>
    <row r="645" spans="18:20" ht="14.25" customHeight="1" x14ac:dyDescent="0.3">
      <c r="R645" s="4"/>
      <c r="S645" s="4"/>
      <c r="T645" s="4"/>
    </row>
    <row r="646" spans="18:20" ht="14.25" customHeight="1" x14ac:dyDescent="0.3">
      <c r="R646" s="4"/>
      <c r="S646" s="4"/>
      <c r="T646" s="4"/>
    </row>
    <row r="647" spans="18:20" ht="14.25" customHeight="1" x14ac:dyDescent="0.3">
      <c r="R647" s="4"/>
      <c r="S647" s="4"/>
      <c r="T647" s="4"/>
    </row>
    <row r="648" spans="18:20" ht="14.25" customHeight="1" x14ac:dyDescent="0.3">
      <c r="R648" s="4"/>
      <c r="S648" s="4"/>
      <c r="T648" s="4"/>
    </row>
    <row r="649" spans="18:20" ht="14.25" customHeight="1" x14ac:dyDescent="0.3">
      <c r="R649" s="4"/>
      <c r="S649" s="4"/>
      <c r="T649" s="4"/>
    </row>
    <row r="650" spans="18:20" ht="14.25" customHeight="1" x14ac:dyDescent="0.3">
      <c r="R650" s="4"/>
      <c r="S650" s="4"/>
      <c r="T650" s="4"/>
    </row>
    <row r="651" spans="18:20" ht="14.25" customHeight="1" x14ac:dyDescent="0.3">
      <c r="R651" s="4"/>
      <c r="S651" s="4"/>
      <c r="T651" s="4"/>
    </row>
    <row r="652" spans="18:20" ht="14.25" customHeight="1" x14ac:dyDescent="0.3">
      <c r="R652" s="4"/>
      <c r="S652" s="4"/>
      <c r="T652" s="4"/>
    </row>
    <row r="653" spans="18:20" ht="14.25" customHeight="1" x14ac:dyDescent="0.3">
      <c r="R653" s="4"/>
      <c r="S653" s="4"/>
      <c r="T653" s="4"/>
    </row>
    <row r="654" spans="18:20" ht="14.25" customHeight="1" x14ac:dyDescent="0.3">
      <c r="R654" s="4"/>
      <c r="S654" s="4"/>
      <c r="T654" s="4"/>
    </row>
    <row r="655" spans="18:20" ht="14.25" customHeight="1" x14ac:dyDescent="0.3">
      <c r="R655" s="4"/>
      <c r="S655" s="4"/>
      <c r="T655" s="4"/>
    </row>
    <row r="656" spans="18:20" ht="14.25" customHeight="1" x14ac:dyDescent="0.3">
      <c r="R656" s="4"/>
      <c r="S656" s="4"/>
      <c r="T656" s="4"/>
    </row>
    <row r="657" spans="18:20" ht="14.25" customHeight="1" x14ac:dyDescent="0.3">
      <c r="R657" s="4"/>
      <c r="S657" s="4"/>
      <c r="T657" s="4"/>
    </row>
    <row r="658" spans="18:20" ht="14.25" customHeight="1" x14ac:dyDescent="0.3">
      <c r="R658" s="4"/>
      <c r="S658" s="4"/>
      <c r="T658" s="4"/>
    </row>
    <row r="659" spans="18:20" ht="14.25" customHeight="1" x14ac:dyDescent="0.3">
      <c r="R659" s="4"/>
      <c r="S659" s="4"/>
      <c r="T659" s="4"/>
    </row>
    <row r="660" spans="18:20" ht="14.25" customHeight="1" x14ac:dyDescent="0.3">
      <c r="R660" s="4"/>
      <c r="S660" s="4"/>
      <c r="T660" s="4"/>
    </row>
    <row r="661" spans="18:20" ht="14.25" customHeight="1" x14ac:dyDescent="0.3">
      <c r="R661" s="4"/>
      <c r="S661" s="4"/>
      <c r="T661" s="4"/>
    </row>
    <row r="662" spans="18:20" ht="14.25" customHeight="1" x14ac:dyDescent="0.3">
      <c r="R662" s="4"/>
      <c r="S662" s="4"/>
      <c r="T662" s="4"/>
    </row>
    <row r="663" spans="18:20" ht="14.25" customHeight="1" x14ac:dyDescent="0.3">
      <c r="R663" s="4"/>
      <c r="S663" s="4"/>
      <c r="T663" s="4"/>
    </row>
    <row r="664" spans="18:20" ht="14.25" customHeight="1" x14ac:dyDescent="0.3">
      <c r="R664" s="4"/>
      <c r="S664" s="4"/>
      <c r="T664" s="4"/>
    </row>
    <row r="665" spans="18:20" ht="14.25" customHeight="1" x14ac:dyDescent="0.3">
      <c r="R665" s="4"/>
      <c r="S665" s="4"/>
      <c r="T665" s="4"/>
    </row>
    <row r="666" spans="18:20" ht="14.25" customHeight="1" x14ac:dyDescent="0.3">
      <c r="R666" s="4"/>
      <c r="S666" s="4"/>
      <c r="T666" s="4"/>
    </row>
    <row r="667" spans="18:20" ht="14.25" customHeight="1" x14ac:dyDescent="0.3">
      <c r="R667" s="4"/>
      <c r="S667" s="4"/>
      <c r="T667" s="4"/>
    </row>
    <row r="668" spans="18:20" ht="14.25" customHeight="1" x14ac:dyDescent="0.3">
      <c r="R668" s="4"/>
      <c r="S668" s="4"/>
      <c r="T668" s="4"/>
    </row>
    <row r="669" spans="18:20" ht="14.25" customHeight="1" x14ac:dyDescent="0.3">
      <c r="R669" s="4"/>
      <c r="S669" s="4"/>
      <c r="T669" s="4"/>
    </row>
    <row r="670" spans="18:20" ht="14.25" customHeight="1" x14ac:dyDescent="0.3">
      <c r="R670" s="4"/>
      <c r="S670" s="4"/>
      <c r="T670" s="4"/>
    </row>
    <row r="671" spans="18:20" ht="14.25" customHeight="1" x14ac:dyDescent="0.3">
      <c r="R671" s="4"/>
      <c r="S671" s="4"/>
      <c r="T671" s="4"/>
    </row>
    <row r="672" spans="18:20" ht="14.25" customHeight="1" x14ac:dyDescent="0.3">
      <c r="R672" s="4"/>
      <c r="S672" s="4"/>
      <c r="T672" s="4"/>
    </row>
    <row r="673" spans="18:20" ht="14.25" customHeight="1" x14ac:dyDescent="0.3">
      <c r="R673" s="4"/>
      <c r="S673" s="4"/>
      <c r="T673" s="4"/>
    </row>
    <row r="674" spans="18:20" ht="14.25" customHeight="1" x14ac:dyDescent="0.3">
      <c r="R674" s="4"/>
      <c r="S674" s="4"/>
      <c r="T674" s="4"/>
    </row>
    <row r="675" spans="18:20" ht="14.25" customHeight="1" x14ac:dyDescent="0.3">
      <c r="R675" s="4"/>
      <c r="S675" s="4"/>
      <c r="T675" s="4"/>
    </row>
    <row r="676" spans="18:20" ht="14.25" customHeight="1" x14ac:dyDescent="0.3">
      <c r="R676" s="4"/>
      <c r="S676" s="4"/>
      <c r="T676" s="4"/>
    </row>
    <row r="677" spans="18:20" ht="14.25" customHeight="1" x14ac:dyDescent="0.3">
      <c r="R677" s="4"/>
      <c r="S677" s="4"/>
      <c r="T677" s="4"/>
    </row>
    <row r="678" spans="18:20" ht="14.25" customHeight="1" x14ac:dyDescent="0.3">
      <c r="R678" s="4"/>
      <c r="S678" s="4"/>
      <c r="T678" s="4"/>
    </row>
    <row r="679" spans="18:20" ht="14.25" customHeight="1" x14ac:dyDescent="0.3">
      <c r="R679" s="4"/>
      <c r="S679" s="4"/>
      <c r="T679" s="4"/>
    </row>
    <row r="680" spans="18:20" ht="14.25" customHeight="1" x14ac:dyDescent="0.3">
      <c r="R680" s="4"/>
      <c r="S680" s="4"/>
      <c r="T680" s="4"/>
    </row>
    <row r="681" spans="18:20" ht="14.25" customHeight="1" x14ac:dyDescent="0.3">
      <c r="R681" s="4"/>
      <c r="S681" s="4"/>
      <c r="T681" s="4"/>
    </row>
    <row r="682" spans="18:20" ht="14.25" customHeight="1" x14ac:dyDescent="0.3">
      <c r="R682" s="4"/>
      <c r="S682" s="4"/>
      <c r="T682" s="4"/>
    </row>
    <row r="683" spans="18:20" ht="14.25" customHeight="1" x14ac:dyDescent="0.3">
      <c r="R683" s="4"/>
      <c r="S683" s="4"/>
      <c r="T683" s="4"/>
    </row>
    <row r="684" spans="18:20" ht="14.25" customHeight="1" x14ac:dyDescent="0.3">
      <c r="R684" s="4"/>
      <c r="S684" s="4"/>
      <c r="T684" s="4"/>
    </row>
    <row r="685" spans="18:20" ht="14.25" customHeight="1" x14ac:dyDescent="0.3">
      <c r="R685" s="4"/>
      <c r="S685" s="4"/>
      <c r="T685" s="4"/>
    </row>
    <row r="686" spans="18:20" ht="14.25" customHeight="1" x14ac:dyDescent="0.3">
      <c r="R686" s="4"/>
      <c r="S686" s="4"/>
      <c r="T686" s="4"/>
    </row>
    <row r="687" spans="18:20" ht="14.25" customHeight="1" x14ac:dyDescent="0.3">
      <c r="R687" s="4"/>
      <c r="S687" s="4"/>
      <c r="T687" s="4"/>
    </row>
    <row r="688" spans="18:20" ht="14.25" customHeight="1" x14ac:dyDescent="0.3">
      <c r="R688" s="4"/>
      <c r="S688" s="4"/>
      <c r="T688" s="4"/>
    </row>
    <row r="689" spans="18:20" ht="14.25" customHeight="1" x14ac:dyDescent="0.3">
      <c r="R689" s="4"/>
      <c r="S689" s="4"/>
      <c r="T689" s="4"/>
    </row>
    <row r="690" spans="18:20" ht="14.25" customHeight="1" x14ac:dyDescent="0.3">
      <c r="R690" s="4"/>
      <c r="S690" s="4"/>
      <c r="T690" s="4"/>
    </row>
    <row r="691" spans="18:20" ht="14.25" customHeight="1" x14ac:dyDescent="0.3">
      <c r="R691" s="4"/>
      <c r="S691" s="4"/>
      <c r="T691" s="4"/>
    </row>
    <row r="692" spans="18:20" ht="14.25" customHeight="1" x14ac:dyDescent="0.3">
      <c r="R692" s="4"/>
      <c r="S692" s="4"/>
      <c r="T692" s="4"/>
    </row>
    <row r="693" spans="18:20" ht="14.25" customHeight="1" x14ac:dyDescent="0.3">
      <c r="R693" s="4"/>
      <c r="S693" s="4"/>
      <c r="T693" s="4"/>
    </row>
    <row r="694" spans="18:20" ht="14.25" customHeight="1" x14ac:dyDescent="0.3">
      <c r="R694" s="4"/>
      <c r="S694" s="4"/>
      <c r="T694" s="4"/>
    </row>
    <row r="695" spans="18:20" ht="14.25" customHeight="1" x14ac:dyDescent="0.3">
      <c r="R695" s="4"/>
      <c r="S695" s="4"/>
      <c r="T695" s="4"/>
    </row>
    <row r="696" spans="18:20" ht="14.25" customHeight="1" x14ac:dyDescent="0.3">
      <c r="R696" s="4"/>
      <c r="S696" s="4"/>
      <c r="T696" s="4"/>
    </row>
    <row r="697" spans="18:20" ht="14.25" customHeight="1" x14ac:dyDescent="0.3">
      <c r="R697" s="4"/>
      <c r="S697" s="4"/>
      <c r="T697" s="4"/>
    </row>
    <row r="698" spans="18:20" ht="14.25" customHeight="1" x14ac:dyDescent="0.3">
      <c r="R698" s="4"/>
      <c r="S698" s="4"/>
      <c r="T698" s="4"/>
    </row>
    <row r="699" spans="18:20" ht="14.25" customHeight="1" x14ac:dyDescent="0.3">
      <c r="R699" s="4"/>
      <c r="S699" s="4"/>
      <c r="T699" s="4"/>
    </row>
    <row r="700" spans="18:20" ht="14.25" customHeight="1" x14ac:dyDescent="0.3">
      <c r="R700" s="4"/>
      <c r="S700" s="4"/>
      <c r="T700" s="4"/>
    </row>
    <row r="701" spans="18:20" ht="14.25" customHeight="1" x14ac:dyDescent="0.3">
      <c r="R701" s="4"/>
      <c r="S701" s="4"/>
      <c r="T701" s="4"/>
    </row>
    <row r="702" spans="18:20" ht="14.25" customHeight="1" x14ac:dyDescent="0.3">
      <c r="R702" s="4"/>
      <c r="S702" s="4"/>
      <c r="T702" s="4"/>
    </row>
    <row r="703" spans="18:20" ht="14.25" customHeight="1" x14ac:dyDescent="0.3">
      <c r="R703" s="4"/>
      <c r="S703" s="4"/>
      <c r="T703" s="4"/>
    </row>
    <row r="704" spans="18:20" ht="14.25" customHeight="1" x14ac:dyDescent="0.3">
      <c r="R704" s="4"/>
      <c r="S704" s="4"/>
      <c r="T704" s="4"/>
    </row>
    <row r="705" spans="18:20" ht="14.25" customHeight="1" x14ac:dyDescent="0.3">
      <c r="R705" s="4"/>
      <c r="S705" s="4"/>
      <c r="T705" s="4"/>
    </row>
    <row r="706" spans="18:20" ht="14.25" customHeight="1" x14ac:dyDescent="0.3">
      <c r="R706" s="4"/>
      <c r="S706" s="4"/>
      <c r="T706" s="4"/>
    </row>
    <row r="707" spans="18:20" ht="14.25" customHeight="1" x14ac:dyDescent="0.3">
      <c r="R707" s="4"/>
      <c r="S707" s="4"/>
      <c r="T707" s="4"/>
    </row>
    <row r="708" spans="18:20" ht="14.25" customHeight="1" x14ac:dyDescent="0.3">
      <c r="R708" s="4"/>
      <c r="S708" s="4"/>
      <c r="T708" s="4"/>
    </row>
    <row r="709" spans="18:20" ht="14.25" customHeight="1" x14ac:dyDescent="0.3">
      <c r="R709" s="4"/>
      <c r="S709" s="4"/>
      <c r="T709" s="4"/>
    </row>
    <row r="710" spans="18:20" ht="14.25" customHeight="1" x14ac:dyDescent="0.3">
      <c r="R710" s="4"/>
      <c r="S710" s="4"/>
      <c r="T710" s="4"/>
    </row>
    <row r="711" spans="18:20" ht="14.25" customHeight="1" x14ac:dyDescent="0.3">
      <c r="R711" s="4"/>
      <c r="S711" s="4"/>
      <c r="T711" s="4"/>
    </row>
    <row r="712" spans="18:20" ht="14.25" customHeight="1" x14ac:dyDescent="0.3">
      <c r="R712" s="4"/>
      <c r="S712" s="4"/>
      <c r="T712" s="4"/>
    </row>
    <row r="713" spans="18:20" ht="14.25" customHeight="1" x14ac:dyDescent="0.3">
      <c r="R713" s="4"/>
      <c r="S713" s="4"/>
      <c r="T713" s="4"/>
    </row>
    <row r="714" spans="18:20" ht="14.25" customHeight="1" x14ac:dyDescent="0.3">
      <c r="R714" s="4"/>
      <c r="S714" s="4"/>
      <c r="T714" s="4"/>
    </row>
    <row r="715" spans="18:20" ht="14.25" customHeight="1" x14ac:dyDescent="0.3">
      <c r="R715" s="4"/>
      <c r="S715" s="4"/>
      <c r="T715" s="4"/>
    </row>
    <row r="716" spans="18:20" ht="14.25" customHeight="1" x14ac:dyDescent="0.3">
      <c r="R716" s="4"/>
      <c r="S716" s="4"/>
      <c r="T716" s="4"/>
    </row>
    <row r="717" spans="18:20" ht="14.25" customHeight="1" x14ac:dyDescent="0.3">
      <c r="R717" s="4"/>
      <c r="S717" s="4"/>
      <c r="T717" s="4"/>
    </row>
    <row r="718" spans="18:20" ht="14.25" customHeight="1" x14ac:dyDescent="0.3">
      <c r="R718" s="4"/>
      <c r="S718" s="4"/>
      <c r="T718" s="4"/>
    </row>
    <row r="719" spans="18:20" ht="14.25" customHeight="1" x14ac:dyDescent="0.3">
      <c r="R719" s="4"/>
      <c r="S719" s="4"/>
      <c r="T719" s="4"/>
    </row>
    <row r="720" spans="18:20" ht="14.25" customHeight="1" x14ac:dyDescent="0.3">
      <c r="R720" s="4"/>
      <c r="S720" s="4"/>
      <c r="T720" s="4"/>
    </row>
    <row r="721" spans="18:20" ht="14.25" customHeight="1" x14ac:dyDescent="0.3">
      <c r="R721" s="4"/>
      <c r="S721" s="4"/>
      <c r="T721" s="4"/>
    </row>
    <row r="722" spans="18:20" ht="14.25" customHeight="1" x14ac:dyDescent="0.3">
      <c r="R722" s="4"/>
      <c r="S722" s="4"/>
      <c r="T722" s="4"/>
    </row>
    <row r="723" spans="18:20" ht="14.25" customHeight="1" x14ac:dyDescent="0.3">
      <c r="R723" s="4"/>
      <c r="S723" s="4"/>
      <c r="T723" s="4"/>
    </row>
    <row r="724" spans="18:20" ht="14.25" customHeight="1" x14ac:dyDescent="0.3">
      <c r="R724" s="4"/>
      <c r="S724" s="4"/>
      <c r="T724" s="4"/>
    </row>
    <row r="725" spans="18:20" ht="14.25" customHeight="1" x14ac:dyDescent="0.3">
      <c r="R725" s="4"/>
      <c r="S725" s="4"/>
      <c r="T725" s="4"/>
    </row>
    <row r="726" spans="18:20" ht="14.25" customHeight="1" x14ac:dyDescent="0.3">
      <c r="R726" s="4"/>
      <c r="S726" s="4"/>
      <c r="T726" s="4"/>
    </row>
    <row r="727" spans="18:20" ht="14.25" customHeight="1" x14ac:dyDescent="0.3">
      <c r="R727" s="4"/>
      <c r="S727" s="4"/>
      <c r="T727" s="4"/>
    </row>
    <row r="728" spans="18:20" ht="14.25" customHeight="1" x14ac:dyDescent="0.3">
      <c r="R728" s="4"/>
      <c r="S728" s="4"/>
      <c r="T728" s="4"/>
    </row>
    <row r="729" spans="18:20" ht="14.25" customHeight="1" x14ac:dyDescent="0.3">
      <c r="R729" s="4"/>
      <c r="S729" s="4"/>
      <c r="T729" s="4"/>
    </row>
    <row r="730" spans="18:20" ht="14.25" customHeight="1" x14ac:dyDescent="0.3">
      <c r="R730" s="4"/>
      <c r="S730" s="4"/>
      <c r="T730" s="4"/>
    </row>
    <row r="731" spans="18:20" ht="14.25" customHeight="1" x14ac:dyDescent="0.3">
      <c r="R731" s="4"/>
      <c r="S731" s="4"/>
      <c r="T731" s="4"/>
    </row>
    <row r="732" spans="18:20" ht="14.25" customHeight="1" x14ac:dyDescent="0.3">
      <c r="R732" s="4"/>
      <c r="S732" s="4"/>
      <c r="T732" s="4"/>
    </row>
    <row r="733" spans="18:20" ht="14.25" customHeight="1" x14ac:dyDescent="0.3">
      <c r="R733" s="4"/>
      <c r="S733" s="4"/>
      <c r="T733" s="4"/>
    </row>
    <row r="734" spans="18:20" ht="14.25" customHeight="1" x14ac:dyDescent="0.3">
      <c r="R734" s="4"/>
      <c r="S734" s="4"/>
      <c r="T734" s="4"/>
    </row>
    <row r="735" spans="18:20" ht="14.25" customHeight="1" x14ac:dyDescent="0.3">
      <c r="R735" s="4"/>
      <c r="S735" s="4"/>
      <c r="T735" s="4"/>
    </row>
    <row r="736" spans="18:20" ht="14.25" customHeight="1" x14ac:dyDescent="0.3">
      <c r="R736" s="4"/>
      <c r="S736" s="4"/>
      <c r="T736" s="4"/>
    </row>
    <row r="737" spans="18:20" ht="14.25" customHeight="1" x14ac:dyDescent="0.3">
      <c r="R737" s="4"/>
      <c r="S737" s="4"/>
      <c r="T737" s="4"/>
    </row>
    <row r="738" spans="18:20" ht="14.25" customHeight="1" x14ac:dyDescent="0.3">
      <c r="R738" s="4"/>
      <c r="S738" s="4"/>
      <c r="T738" s="4"/>
    </row>
    <row r="739" spans="18:20" ht="14.25" customHeight="1" x14ac:dyDescent="0.3">
      <c r="R739" s="4"/>
      <c r="S739" s="4"/>
      <c r="T739" s="4"/>
    </row>
    <row r="740" spans="18:20" ht="14.25" customHeight="1" x14ac:dyDescent="0.3">
      <c r="R740" s="4"/>
      <c r="S740" s="4"/>
      <c r="T740" s="4"/>
    </row>
    <row r="741" spans="18:20" ht="14.25" customHeight="1" x14ac:dyDescent="0.3">
      <c r="R741" s="4"/>
      <c r="S741" s="4"/>
      <c r="T741" s="4"/>
    </row>
    <row r="742" spans="18:20" ht="14.25" customHeight="1" x14ac:dyDescent="0.3">
      <c r="R742" s="4"/>
      <c r="S742" s="4"/>
      <c r="T742" s="4"/>
    </row>
    <row r="743" spans="18:20" ht="14.25" customHeight="1" x14ac:dyDescent="0.3">
      <c r="R743" s="4"/>
      <c r="S743" s="4"/>
      <c r="T743" s="4"/>
    </row>
    <row r="744" spans="18:20" ht="14.25" customHeight="1" x14ac:dyDescent="0.3">
      <c r="R744" s="4"/>
      <c r="S744" s="4"/>
      <c r="T744" s="4"/>
    </row>
    <row r="745" spans="18:20" ht="14.25" customHeight="1" x14ac:dyDescent="0.3">
      <c r="R745" s="4"/>
      <c r="S745" s="4"/>
      <c r="T745" s="4"/>
    </row>
    <row r="746" spans="18:20" ht="14.25" customHeight="1" x14ac:dyDescent="0.3">
      <c r="R746" s="4"/>
      <c r="S746" s="4"/>
      <c r="T746" s="4"/>
    </row>
    <row r="747" spans="18:20" ht="14.25" customHeight="1" x14ac:dyDescent="0.3">
      <c r="R747" s="4"/>
      <c r="S747" s="4"/>
      <c r="T747" s="4"/>
    </row>
    <row r="748" spans="18:20" ht="14.25" customHeight="1" x14ac:dyDescent="0.3">
      <c r="R748" s="4"/>
      <c r="S748" s="4"/>
      <c r="T748" s="4"/>
    </row>
    <row r="749" spans="18:20" ht="14.25" customHeight="1" x14ac:dyDescent="0.3">
      <c r="R749" s="4"/>
      <c r="S749" s="4"/>
      <c r="T749" s="4"/>
    </row>
    <row r="750" spans="18:20" ht="14.25" customHeight="1" x14ac:dyDescent="0.3">
      <c r="R750" s="4"/>
      <c r="S750" s="4"/>
      <c r="T750" s="4"/>
    </row>
    <row r="751" spans="18:20" ht="14.25" customHeight="1" x14ac:dyDescent="0.3">
      <c r="R751" s="4"/>
      <c r="S751" s="4"/>
      <c r="T751" s="4"/>
    </row>
    <row r="752" spans="18:20" ht="14.25" customHeight="1" x14ac:dyDescent="0.3">
      <c r="R752" s="4"/>
      <c r="S752" s="4"/>
      <c r="T752" s="4"/>
    </row>
    <row r="753" spans="18:20" ht="14.25" customHeight="1" x14ac:dyDescent="0.3">
      <c r="R753" s="4"/>
      <c r="S753" s="4"/>
      <c r="T753" s="4"/>
    </row>
    <row r="754" spans="18:20" ht="14.25" customHeight="1" x14ac:dyDescent="0.3">
      <c r="R754" s="4"/>
      <c r="S754" s="4"/>
      <c r="T754" s="4"/>
    </row>
    <row r="755" spans="18:20" ht="14.25" customHeight="1" x14ac:dyDescent="0.3">
      <c r="R755" s="4"/>
      <c r="S755" s="4"/>
      <c r="T755" s="4"/>
    </row>
    <row r="756" spans="18:20" ht="14.25" customHeight="1" x14ac:dyDescent="0.3">
      <c r="R756" s="4"/>
      <c r="S756" s="4"/>
      <c r="T756" s="4"/>
    </row>
    <row r="757" spans="18:20" ht="14.25" customHeight="1" x14ac:dyDescent="0.3">
      <c r="R757" s="4"/>
      <c r="S757" s="4"/>
      <c r="T757" s="4"/>
    </row>
    <row r="758" spans="18:20" ht="14.25" customHeight="1" x14ac:dyDescent="0.3">
      <c r="R758" s="4"/>
      <c r="S758" s="4"/>
      <c r="T758" s="4"/>
    </row>
    <row r="759" spans="18:20" ht="14.25" customHeight="1" x14ac:dyDescent="0.3">
      <c r="R759" s="4"/>
      <c r="S759" s="4"/>
      <c r="T759" s="4"/>
    </row>
    <row r="760" spans="18:20" ht="14.25" customHeight="1" x14ac:dyDescent="0.3">
      <c r="R760" s="4"/>
      <c r="S760" s="4"/>
      <c r="T760" s="4"/>
    </row>
    <row r="761" spans="18:20" ht="14.25" customHeight="1" x14ac:dyDescent="0.3">
      <c r="R761" s="4"/>
      <c r="S761" s="4"/>
      <c r="T761" s="4"/>
    </row>
    <row r="762" spans="18:20" ht="14.25" customHeight="1" x14ac:dyDescent="0.3">
      <c r="R762" s="4"/>
      <c r="S762" s="4"/>
      <c r="T762" s="4"/>
    </row>
    <row r="763" spans="18:20" ht="14.25" customHeight="1" x14ac:dyDescent="0.3">
      <c r="R763" s="4"/>
      <c r="S763" s="4"/>
      <c r="T763" s="4"/>
    </row>
    <row r="764" spans="18:20" ht="14.25" customHeight="1" x14ac:dyDescent="0.3">
      <c r="R764" s="4"/>
      <c r="S764" s="4"/>
      <c r="T764" s="4"/>
    </row>
    <row r="765" spans="18:20" ht="14.25" customHeight="1" x14ac:dyDescent="0.3">
      <c r="R765" s="4"/>
      <c r="S765" s="4"/>
      <c r="T765" s="4"/>
    </row>
    <row r="766" spans="18:20" ht="14.25" customHeight="1" x14ac:dyDescent="0.3">
      <c r="R766" s="4"/>
      <c r="S766" s="4"/>
      <c r="T766" s="4"/>
    </row>
    <row r="767" spans="18:20" ht="14.25" customHeight="1" x14ac:dyDescent="0.3">
      <c r="R767" s="4"/>
      <c r="S767" s="4"/>
      <c r="T767" s="4"/>
    </row>
    <row r="768" spans="18:20" ht="14.25" customHeight="1" x14ac:dyDescent="0.3">
      <c r="R768" s="4"/>
      <c r="S768" s="4"/>
      <c r="T768" s="4"/>
    </row>
    <row r="769" spans="18:20" ht="14.25" customHeight="1" x14ac:dyDescent="0.3">
      <c r="R769" s="4"/>
      <c r="S769" s="4"/>
      <c r="T769" s="4"/>
    </row>
    <row r="770" spans="18:20" ht="14.25" customHeight="1" x14ac:dyDescent="0.3">
      <c r="R770" s="4"/>
      <c r="S770" s="4"/>
      <c r="T770" s="4"/>
    </row>
    <row r="771" spans="18:20" ht="14.25" customHeight="1" x14ac:dyDescent="0.3">
      <c r="R771" s="4"/>
      <c r="S771" s="4"/>
      <c r="T771" s="4"/>
    </row>
    <row r="772" spans="18:20" ht="14.25" customHeight="1" x14ac:dyDescent="0.3">
      <c r="R772" s="4"/>
      <c r="S772" s="4"/>
      <c r="T772" s="4"/>
    </row>
    <row r="773" spans="18:20" ht="14.25" customHeight="1" x14ac:dyDescent="0.3">
      <c r="R773" s="4"/>
      <c r="S773" s="4"/>
      <c r="T773" s="4"/>
    </row>
    <row r="774" spans="18:20" ht="14.25" customHeight="1" x14ac:dyDescent="0.3">
      <c r="R774" s="4"/>
      <c r="S774" s="4"/>
      <c r="T774" s="4"/>
    </row>
    <row r="775" spans="18:20" ht="14.25" customHeight="1" x14ac:dyDescent="0.3">
      <c r="R775" s="4"/>
      <c r="S775" s="4"/>
      <c r="T775" s="4"/>
    </row>
    <row r="776" spans="18:20" ht="14.25" customHeight="1" x14ac:dyDescent="0.3">
      <c r="R776" s="4"/>
      <c r="S776" s="4"/>
      <c r="T776" s="4"/>
    </row>
    <row r="777" spans="18:20" ht="14.25" customHeight="1" x14ac:dyDescent="0.3">
      <c r="R777" s="4"/>
      <c r="S777" s="4"/>
      <c r="T777" s="4"/>
    </row>
    <row r="778" spans="18:20" ht="14.25" customHeight="1" x14ac:dyDescent="0.3">
      <c r="R778" s="4"/>
      <c r="S778" s="4"/>
      <c r="T778" s="4"/>
    </row>
    <row r="779" spans="18:20" ht="14.25" customHeight="1" x14ac:dyDescent="0.3">
      <c r="R779" s="4"/>
      <c r="S779" s="4"/>
      <c r="T779" s="4"/>
    </row>
    <row r="780" spans="18:20" ht="14.25" customHeight="1" x14ac:dyDescent="0.3">
      <c r="R780" s="4"/>
      <c r="S780" s="4"/>
      <c r="T780" s="4"/>
    </row>
    <row r="781" spans="18:20" ht="14.25" customHeight="1" x14ac:dyDescent="0.3">
      <c r="R781" s="4"/>
      <c r="S781" s="4"/>
      <c r="T781" s="4"/>
    </row>
    <row r="782" spans="18:20" ht="14.25" customHeight="1" x14ac:dyDescent="0.3">
      <c r="R782" s="4"/>
      <c r="S782" s="4"/>
      <c r="T782" s="4"/>
    </row>
    <row r="783" spans="18:20" ht="14.25" customHeight="1" x14ac:dyDescent="0.3">
      <c r="R783" s="4"/>
      <c r="S783" s="4"/>
      <c r="T783" s="4"/>
    </row>
    <row r="784" spans="18:20" ht="14.25" customHeight="1" x14ac:dyDescent="0.3">
      <c r="R784" s="4"/>
      <c r="S784" s="4"/>
      <c r="T784" s="4"/>
    </row>
    <row r="785" spans="18:20" ht="14.25" customHeight="1" x14ac:dyDescent="0.3">
      <c r="R785" s="4"/>
      <c r="S785" s="4"/>
      <c r="T785" s="4"/>
    </row>
    <row r="786" spans="18:20" ht="14.25" customHeight="1" x14ac:dyDescent="0.3">
      <c r="R786" s="4"/>
      <c r="S786" s="4"/>
      <c r="T786" s="4"/>
    </row>
    <row r="787" spans="18:20" ht="14.25" customHeight="1" x14ac:dyDescent="0.3">
      <c r="R787" s="4"/>
      <c r="S787" s="4"/>
      <c r="T787" s="4"/>
    </row>
    <row r="788" spans="18:20" ht="14.25" customHeight="1" x14ac:dyDescent="0.3">
      <c r="R788" s="4"/>
      <c r="S788" s="4"/>
      <c r="T788" s="4"/>
    </row>
    <row r="789" spans="18:20" ht="14.25" customHeight="1" x14ac:dyDescent="0.3">
      <c r="R789" s="4"/>
      <c r="S789" s="4"/>
      <c r="T789" s="4"/>
    </row>
    <row r="790" spans="18:20" ht="14.25" customHeight="1" x14ac:dyDescent="0.3">
      <c r="R790" s="4"/>
      <c r="S790" s="4"/>
      <c r="T790" s="4"/>
    </row>
    <row r="791" spans="18:20" ht="14.25" customHeight="1" x14ac:dyDescent="0.3">
      <c r="R791" s="4"/>
      <c r="S791" s="4"/>
      <c r="T791" s="4"/>
    </row>
    <row r="792" spans="18:20" ht="14.25" customHeight="1" x14ac:dyDescent="0.3">
      <c r="R792" s="4"/>
      <c r="S792" s="4"/>
      <c r="T792" s="4"/>
    </row>
    <row r="793" spans="18:20" ht="14.25" customHeight="1" x14ac:dyDescent="0.3">
      <c r="R793" s="4"/>
      <c r="S793" s="4"/>
      <c r="T793" s="4"/>
    </row>
    <row r="794" spans="18:20" ht="14.25" customHeight="1" x14ac:dyDescent="0.3">
      <c r="R794" s="4"/>
      <c r="S794" s="4"/>
      <c r="T794" s="4"/>
    </row>
    <row r="795" spans="18:20" ht="14.25" customHeight="1" x14ac:dyDescent="0.3">
      <c r="R795" s="4"/>
      <c r="S795" s="4"/>
      <c r="T795" s="4"/>
    </row>
    <row r="796" spans="18:20" ht="14.25" customHeight="1" x14ac:dyDescent="0.3">
      <c r="R796" s="4"/>
      <c r="S796" s="4"/>
      <c r="T796" s="4"/>
    </row>
    <row r="797" spans="18:20" ht="14.25" customHeight="1" x14ac:dyDescent="0.3">
      <c r="R797" s="4"/>
      <c r="S797" s="4"/>
      <c r="T797" s="4"/>
    </row>
    <row r="798" spans="18:20" ht="14.25" customHeight="1" x14ac:dyDescent="0.3">
      <c r="R798" s="4"/>
      <c r="S798" s="4"/>
      <c r="T798" s="4"/>
    </row>
    <row r="799" spans="18:20" ht="14.25" customHeight="1" x14ac:dyDescent="0.3">
      <c r="R799" s="4"/>
      <c r="S799" s="4"/>
      <c r="T799" s="4"/>
    </row>
    <row r="800" spans="18:20" ht="14.25" customHeight="1" x14ac:dyDescent="0.3">
      <c r="R800" s="4"/>
      <c r="S800" s="4"/>
      <c r="T800" s="4"/>
    </row>
    <row r="801" spans="18:20" ht="14.25" customHeight="1" x14ac:dyDescent="0.3">
      <c r="R801" s="4"/>
      <c r="S801" s="4"/>
      <c r="T801" s="4"/>
    </row>
    <row r="802" spans="18:20" ht="14.25" customHeight="1" x14ac:dyDescent="0.3">
      <c r="R802" s="4"/>
      <c r="S802" s="4"/>
      <c r="T802" s="4"/>
    </row>
    <row r="803" spans="18:20" ht="14.25" customHeight="1" x14ac:dyDescent="0.3">
      <c r="R803" s="4"/>
      <c r="S803" s="4"/>
      <c r="T803" s="4"/>
    </row>
    <row r="804" spans="18:20" ht="14.25" customHeight="1" x14ac:dyDescent="0.3">
      <c r="R804" s="4"/>
      <c r="S804" s="4"/>
      <c r="T804" s="4"/>
    </row>
    <row r="805" spans="18:20" ht="14.25" customHeight="1" x14ac:dyDescent="0.3">
      <c r="R805" s="4"/>
      <c r="S805" s="4"/>
      <c r="T805" s="4"/>
    </row>
    <row r="806" spans="18:20" ht="14.25" customHeight="1" x14ac:dyDescent="0.3">
      <c r="R806" s="4"/>
      <c r="S806" s="4"/>
      <c r="T806" s="4"/>
    </row>
    <row r="807" spans="18:20" ht="14.25" customHeight="1" x14ac:dyDescent="0.3">
      <c r="R807" s="4"/>
      <c r="S807" s="4"/>
      <c r="T807" s="4"/>
    </row>
    <row r="808" spans="18:20" ht="14.25" customHeight="1" x14ac:dyDescent="0.3">
      <c r="R808" s="4"/>
      <c r="S808" s="4"/>
      <c r="T808" s="4"/>
    </row>
    <row r="809" spans="18:20" ht="14.25" customHeight="1" x14ac:dyDescent="0.3">
      <c r="R809" s="4"/>
      <c r="S809" s="4"/>
      <c r="T809" s="4"/>
    </row>
    <row r="810" spans="18:20" ht="14.25" customHeight="1" x14ac:dyDescent="0.3">
      <c r="R810" s="4"/>
      <c r="S810" s="4"/>
      <c r="T810" s="4"/>
    </row>
    <row r="811" spans="18:20" ht="14.25" customHeight="1" x14ac:dyDescent="0.3">
      <c r="R811" s="4"/>
      <c r="S811" s="4"/>
      <c r="T811" s="4"/>
    </row>
    <row r="812" spans="18:20" ht="14.25" customHeight="1" x14ac:dyDescent="0.3">
      <c r="R812" s="4"/>
      <c r="S812" s="4"/>
      <c r="T812" s="4"/>
    </row>
    <row r="813" spans="18:20" ht="14.25" customHeight="1" x14ac:dyDescent="0.3">
      <c r="R813" s="4"/>
      <c r="S813" s="4"/>
      <c r="T813" s="4"/>
    </row>
    <row r="814" spans="18:20" ht="14.25" customHeight="1" x14ac:dyDescent="0.3">
      <c r="R814" s="4"/>
      <c r="S814" s="4"/>
      <c r="T814" s="4"/>
    </row>
    <row r="815" spans="18:20" ht="14.25" customHeight="1" x14ac:dyDescent="0.3">
      <c r="R815" s="4"/>
      <c r="S815" s="4"/>
      <c r="T815" s="4"/>
    </row>
    <row r="816" spans="18:20" ht="14.25" customHeight="1" x14ac:dyDescent="0.3">
      <c r="R816" s="4"/>
      <c r="S816" s="4"/>
      <c r="T816" s="4"/>
    </row>
    <row r="817" spans="18:20" ht="14.25" customHeight="1" x14ac:dyDescent="0.3">
      <c r="R817" s="4"/>
      <c r="S817" s="4"/>
      <c r="T817" s="4"/>
    </row>
    <row r="818" spans="18:20" ht="14.25" customHeight="1" x14ac:dyDescent="0.3">
      <c r="R818" s="4"/>
      <c r="S818" s="4"/>
      <c r="T818" s="4"/>
    </row>
    <row r="819" spans="18:20" ht="14.25" customHeight="1" x14ac:dyDescent="0.3">
      <c r="R819" s="4"/>
      <c r="S819" s="4"/>
      <c r="T819" s="4"/>
    </row>
    <row r="820" spans="18:20" ht="14.25" customHeight="1" x14ac:dyDescent="0.3">
      <c r="R820" s="4"/>
      <c r="S820" s="4"/>
      <c r="T820" s="4"/>
    </row>
    <row r="821" spans="18:20" ht="14.25" customHeight="1" x14ac:dyDescent="0.3">
      <c r="R821" s="4"/>
      <c r="S821" s="4"/>
      <c r="T821" s="4"/>
    </row>
    <row r="822" spans="18:20" ht="14.25" customHeight="1" x14ac:dyDescent="0.3">
      <c r="R822" s="4"/>
      <c r="S822" s="4"/>
      <c r="T822" s="4"/>
    </row>
    <row r="823" spans="18:20" ht="14.25" customHeight="1" x14ac:dyDescent="0.3">
      <c r="R823" s="4"/>
      <c r="S823" s="4"/>
      <c r="T823" s="4"/>
    </row>
    <row r="824" spans="18:20" ht="14.25" customHeight="1" x14ac:dyDescent="0.3">
      <c r="R824" s="4"/>
      <c r="S824" s="4"/>
      <c r="T824" s="4"/>
    </row>
    <row r="825" spans="18:20" ht="14.25" customHeight="1" x14ac:dyDescent="0.3">
      <c r="R825" s="4"/>
      <c r="S825" s="4"/>
      <c r="T825" s="4"/>
    </row>
    <row r="826" spans="18:20" ht="14.25" customHeight="1" x14ac:dyDescent="0.3">
      <c r="R826" s="4"/>
      <c r="S826" s="4"/>
      <c r="T826" s="4"/>
    </row>
    <row r="827" spans="18:20" ht="14.25" customHeight="1" x14ac:dyDescent="0.3">
      <c r="R827" s="4"/>
      <c r="S827" s="4"/>
      <c r="T827" s="4"/>
    </row>
    <row r="828" spans="18:20" ht="14.25" customHeight="1" x14ac:dyDescent="0.3">
      <c r="R828" s="4"/>
      <c r="S828" s="4"/>
      <c r="T828" s="4"/>
    </row>
    <row r="829" spans="18:20" ht="14.25" customHeight="1" x14ac:dyDescent="0.3">
      <c r="R829" s="4"/>
      <c r="S829" s="4"/>
      <c r="T829" s="4"/>
    </row>
    <row r="830" spans="18:20" ht="14.25" customHeight="1" x14ac:dyDescent="0.3">
      <c r="R830" s="4"/>
      <c r="S830" s="4"/>
      <c r="T830" s="4"/>
    </row>
    <row r="831" spans="18:20" ht="14.25" customHeight="1" x14ac:dyDescent="0.3">
      <c r="R831" s="4"/>
      <c r="S831" s="4"/>
      <c r="T831" s="4"/>
    </row>
    <row r="832" spans="18:20" ht="14.25" customHeight="1" x14ac:dyDescent="0.3">
      <c r="R832" s="4"/>
      <c r="S832" s="4"/>
      <c r="T832" s="4"/>
    </row>
    <row r="833" spans="18:20" ht="14.25" customHeight="1" x14ac:dyDescent="0.3">
      <c r="R833" s="4"/>
      <c r="S833" s="4"/>
      <c r="T833" s="4"/>
    </row>
    <row r="834" spans="18:20" ht="14.25" customHeight="1" x14ac:dyDescent="0.3">
      <c r="R834" s="4"/>
      <c r="S834" s="4"/>
      <c r="T834" s="4"/>
    </row>
    <row r="835" spans="18:20" ht="14.25" customHeight="1" x14ac:dyDescent="0.3">
      <c r="R835" s="4"/>
      <c r="S835" s="4"/>
      <c r="T835" s="4"/>
    </row>
    <row r="836" spans="18:20" ht="14.25" customHeight="1" x14ac:dyDescent="0.3">
      <c r="R836" s="4"/>
      <c r="S836" s="4"/>
      <c r="T836" s="4"/>
    </row>
    <row r="837" spans="18:20" ht="14.25" customHeight="1" x14ac:dyDescent="0.3">
      <c r="R837" s="4"/>
      <c r="S837" s="4"/>
      <c r="T837" s="4"/>
    </row>
    <row r="838" spans="18:20" ht="14.25" customHeight="1" x14ac:dyDescent="0.3">
      <c r="R838" s="4"/>
      <c r="S838" s="4"/>
      <c r="T838" s="4"/>
    </row>
    <row r="839" spans="18:20" ht="14.25" customHeight="1" x14ac:dyDescent="0.3">
      <c r="R839" s="4"/>
      <c r="S839" s="4"/>
      <c r="T839" s="4"/>
    </row>
    <row r="840" spans="18:20" ht="14.25" customHeight="1" x14ac:dyDescent="0.3">
      <c r="R840" s="4"/>
      <c r="S840" s="4"/>
      <c r="T840" s="4"/>
    </row>
    <row r="841" spans="18:20" ht="14.25" customHeight="1" x14ac:dyDescent="0.3">
      <c r="R841" s="4"/>
      <c r="S841" s="4"/>
      <c r="T841" s="4"/>
    </row>
    <row r="842" spans="18:20" ht="14.25" customHeight="1" x14ac:dyDescent="0.3">
      <c r="R842" s="4"/>
      <c r="S842" s="4"/>
      <c r="T842" s="4"/>
    </row>
    <row r="843" spans="18:20" ht="14.25" customHeight="1" x14ac:dyDescent="0.3">
      <c r="R843" s="4"/>
      <c r="S843" s="4"/>
      <c r="T843" s="4"/>
    </row>
    <row r="844" spans="18:20" ht="14.25" customHeight="1" x14ac:dyDescent="0.3">
      <c r="R844" s="4"/>
      <c r="S844" s="4"/>
      <c r="T844" s="4"/>
    </row>
    <row r="845" spans="18:20" ht="14.25" customHeight="1" x14ac:dyDescent="0.3">
      <c r="R845" s="4"/>
      <c r="S845" s="4"/>
      <c r="T845" s="4"/>
    </row>
    <row r="846" spans="18:20" ht="14.25" customHeight="1" x14ac:dyDescent="0.3">
      <c r="R846" s="4"/>
      <c r="S846" s="4"/>
      <c r="T846" s="4"/>
    </row>
    <row r="847" spans="18:20" ht="14.25" customHeight="1" x14ac:dyDescent="0.3">
      <c r="R847" s="4"/>
      <c r="S847" s="4"/>
      <c r="T847" s="4"/>
    </row>
    <row r="848" spans="18:20" ht="14.25" customHeight="1" x14ac:dyDescent="0.3">
      <c r="R848" s="4"/>
      <c r="S848" s="4"/>
      <c r="T848" s="4"/>
    </row>
    <row r="849" spans="18:20" ht="14.25" customHeight="1" x14ac:dyDescent="0.3">
      <c r="R849" s="4"/>
      <c r="S849" s="4"/>
      <c r="T849" s="4"/>
    </row>
    <row r="850" spans="18:20" ht="14.25" customHeight="1" x14ac:dyDescent="0.3">
      <c r="R850" s="4"/>
      <c r="S850" s="4"/>
      <c r="T850" s="4"/>
    </row>
    <row r="851" spans="18:20" ht="14.25" customHeight="1" x14ac:dyDescent="0.3">
      <c r="R851" s="4"/>
      <c r="S851" s="4"/>
      <c r="T851" s="4"/>
    </row>
    <row r="852" spans="18:20" ht="14.25" customHeight="1" x14ac:dyDescent="0.3">
      <c r="R852" s="4"/>
      <c r="S852" s="4"/>
      <c r="T852" s="4"/>
    </row>
    <row r="853" spans="18:20" ht="14.25" customHeight="1" x14ac:dyDescent="0.3">
      <c r="R853" s="4"/>
      <c r="S853" s="4"/>
      <c r="T853" s="4"/>
    </row>
    <row r="854" spans="18:20" ht="14.25" customHeight="1" x14ac:dyDescent="0.3">
      <c r="R854" s="4"/>
      <c r="S854" s="4"/>
      <c r="T854" s="4"/>
    </row>
    <row r="855" spans="18:20" ht="14.25" customHeight="1" x14ac:dyDescent="0.3">
      <c r="R855" s="4"/>
      <c r="S855" s="4"/>
      <c r="T855" s="4"/>
    </row>
    <row r="856" spans="18:20" ht="14.25" customHeight="1" x14ac:dyDescent="0.3">
      <c r="R856" s="4"/>
      <c r="S856" s="4"/>
      <c r="T856" s="4"/>
    </row>
    <row r="857" spans="18:20" ht="14.25" customHeight="1" x14ac:dyDescent="0.3">
      <c r="R857" s="4"/>
      <c r="S857" s="4"/>
      <c r="T857" s="4"/>
    </row>
    <row r="858" spans="18:20" ht="14.25" customHeight="1" x14ac:dyDescent="0.3">
      <c r="R858" s="4"/>
      <c r="S858" s="4"/>
      <c r="T858" s="4"/>
    </row>
    <row r="859" spans="18:20" ht="14.25" customHeight="1" x14ac:dyDescent="0.3">
      <c r="R859" s="4"/>
      <c r="S859" s="4"/>
      <c r="T859" s="4"/>
    </row>
    <row r="860" spans="18:20" ht="14.25" customHeight="1" x14ac:dyDescent="0.3">
      <c r="R860" s="4"/>
      <c r="S860" s="4"/>
      <c r="T860" s="4"/>
    </row>
    <row r="861" spans="18:20" ht="14.25" customHeight="1" x14ac:dyDescent="0.3">
      <c r="R861" s="4"/>
      <c r="S861" s="4"/>
      <c r="T861" s="4"/>
    </row>
    <row r="862" spans="18:20" ht="14.25" customHeight="1" x14ac:dyDescent="0.3">
      <c r="R862" s="4"/>
      <c r="S862" s="4"/>
      <c r="T862" s="4"/>
    </row>
    <row r="863" spans="18:20" ht="14.25" customHeight="1" x14ac:dyDescent="0.3">
      <c r="R863" s="4"/>
      <c r="S863" s="4"/>
      <c r="T863" s="4"/>
    </row>
    <row r="864" spans="18:20" ht="14.25" customHeight="1" x14ac:dyDescent="0.3">
      <c r="R864" s="4"/>
      <c r="S864" s="4"/>
      <c r="T864" s="4"/>
    </row>
    <row r="865" spans="18:20" ht="14.25" customHeight="1" x14ac:dyDescent="0.3">
      <c r="R865" s="4"/>
      <c r="S865" s="4"/>
      <c r="T865" s="4"/>
    </row>
    <row r="866" spans="18:20" ht="14.25" customHeight="1" x14ac:dyDescent="0.3">
      <c r="R866" s="4"/>
      <c r="S866" s="4"/>
      <c r="T866" s="4"/>
    </row>
    <row r="867" spans="18:20" ht="14.25" customHeight="1" x14ac:dyDescent="0.3">
      <c r="R867" s="4"/>
      <c r="S867" s="4"/>
      <c r="T867" s="4"/>
    </row>
    <row r="868" spans="18:20" ht="14.25" customHeight="1" x14ac:dyDescent="0.3">
      <c r="R868" s="4"/>
      <c r="S868" s="4"/>
      <c r="T868" s="4"/>
    </row>
    <row r="869" spans="18:20" ht="14.25" customHeight="1" x14ac:dyDescent="0.3">
      <c r="R869" s="4"/>
      <c r="S869" s="4"/>
      <c r="T869" s="4"/>
    </row>
    <row r="870" spans="18:20" ht="14.25" customHeight="1" x14ac:dyDescent="0.3">
      <c r="R870" s="4"/>
      <c r="S870" s="4"/>
      <c r="T870" s="4"/>
    </row>
    <row r="871" spans="18:20" ht="14.25" customHeight="1" x14ac:dyDescent="0.3">
      <c r="R871" s="4"/>
      <c r="S871" s="4"/>
      <c r="T871" s="4"/>
    </row>
    <row r="872" spans="18:20" ht="14.25" customHeight="1" x14ac:dyDescent="0.3">
      <c r="R872" s="4"/>
      <c r="S872" s="4"/>
      <c r="T872" s="4"/>
    </row>
    <row r="873" spans="18:20" ht="14.25" customHeight="1" x14ac:dyDescent="0.3">
      <c r="R873" s="4"/>
      <c r="S873" s="4"/>
      <c r="T873" s="4"/>
    </row>
    <row r="874" spans="18:20" ht="14.25" customHeight="1" x14ac:dyDescent="0.3">
      <c r="R874" s="4"/>
      <c r="S874" s="4"/>
      <c r="T874" s="4"/>
    </row>
    <row r="875" spans="18:20" ht="14.25" customHeight="1" x14ac:dyDescent="0.3">
      <c r="R875" s="4"/>
      <c r="S875" s="4"/>
      <c r="T875" s="4"/>
    </row>
    <row r="876" spans="18:20" ht="14.25" customHeight="1" x14ac:dyDescent="0.3">
      <c r="R876" s="4"/>
      <c r="S876" s="4"/>
      <c r="T876" s="4"/>
    </row>
    <row r="877" spans="18:20" ht="14.25" customHeight="1" x14ac:dyDescent="0.3">
      <c r="R877" s="4"/>
      <c r="S877" s="4"/>
      <c r="T877" s="4"/>
    </row>
    <row r="878" spans="18:20" ht="14.25" customHeight="1" x14ac:dyDescent="0.3">
      <c r="R878" s="4"/>
      <c r="S878" s="4"/>
      <c r="T878" s="4"/>
    </row>
    <row r="879" spans="18:20" ht="14.25" customHeight="1" x14ac:dyDescent="0.3">
      <c r="R879" s="4"/>
      <c r="S879" s="4"/>
      <c r="T879" s="4"/>
    </row>
    <row r="880" spans="18:20" ht="14.25" customHeight="1" x14ac:dyDescent="0.3">
      <c r="R880" s="4"/>
      <c r="S880" s="4"/>
      <c r="T880" s="4"/>
    </row>
    <row r="881" spans="18:20" ht="14.25" customHeight="1" x14ac:dyDescent="0.3">
      <c r="R881" s="4"/>
      <c r="S881" s="4"/>
      <c r="T881" s="4"/>
    </row>
    <row r="882" spans="18:20" ht="14.25" customHeight="1" x14ac:dyDescent="0.3">
      <c r="R882" s="4"/>
      <c r="S882" s="4"/>
      <c r="T882" s="4"/>
    </row>
    <row r="883" spans="18:20" ht="14.25" customHeight="1" x14ac:dyDescent="0.3">
      <c r="R883" s="4"/>
      <c r="S883" s="4"/>
      <c r="T883" s="4"/>
    </row>
    <row r="884" spans="18:20" ht="14.25" customHeight="1" x14ac:dyDescent="0.3">
      <c r="R884" s="4"/>
      <c r="S884" s="4"/>
      <c r="T884" s="4"/>
    </row>
    <row r="885" spans="18:20" ht="14.25" customHeight="1" x14ac:dyDescent="0.3">
      <c r="R885" s="4"/>
      <c r="S885" s="4"/>
      <c r="T885" s="4"/>
    </row>
    <row r="886" spans="18:20" ht="14.25" customHeight="1" x14ac:dyDescent="0.3">
      <c r="R886" s="4"/>
      <c r="S886" s="4"/>
      <c r="T886" s="4"/>
    </row>
    <row r="887" spans="18:20" ht="14.25" customHeight="1" x14ac:dyDescent="0.3">
      <c r="R887" s="4"/>
      <c r="S887" s="4"/>
      <c r="T887" s="4"/>
    </row>
    <row r="888" spans="18:20" ht="14.25" customHeight="1" x14ac:dyDescent="0.3">
      <c r="R888" s="4"/>
      <c r="S888" s="4"/>
      <c r="T888" s="4"/>
    </row>
    <row r="889" spans="18:20" ht="14.25" customHeight="1" x14ac:dyDescent="0.3">
      <c r="R889" s="4"/>
      <c r="S889" s="4"/>
      <c r="T889" s="4"/>
    </row>
    <row r="890" spans="18:20" ht="14.25" customHeight="1" x14ac:dyDescent="0.3">
      <c r="R890" s="4"/>
      <c r="S890" s="4"/>
      <c r="T890" s="4"/>
    </row>
    <row r="891" spans="18:20" ht="14.25" customHeight="1" x14ac:dyDescent="0.3">
      <c r="R891" s="4"/>
      <c r="S891" s="4"/>
      <c r="T891" s="4"/>
    </row>
    <row r="892" spans="18:20" ht="14.25" customHeight="1" x14ac:dyDescent="0.3">
      <c r="R892" s="4"/>
      <c r="S892" s="4"/>
      <c r="T892" s="4"/>
    </row>
    <row r="893" spans="18:20" ht="14.25" customHeight="1" x14ac:dyDescent="0.3">
      <c r="R893" s="4"/>
      <c r="S893" s="4"/>
      <c r="T893" s="4"/>
    </row>
    <row r="894" spans="18:20" ht="14.25" customHeight="1" x14ac:dyDescent="0.3">
      <c r="R894" s="4"/>
      <c r="S894" s="4"/>
      <c r="T894" s="4"/>
    </row>
    <row r="895" spans="18:20" ht="14.25" customHeight="1" x14ac:dyDescent="0.3">
      <c r="R895" s="4"/>
      <c r="S895" s="4"/>
      <c r="T895" s="4"/>
    </row>
    <row r="896" spans="18:20" ht="14.25" customHeight="1" x14ac:dyDescent="0.3">
      <c r="R896" s="4"/>
      <c r="S896" s="4"/>
      <c r="T896" s="4"/>
    </row>
    <row r="897" spans="18:20" ht="14.25" customHeight="1" x14ac:dyDescent="0.3">
      <c r="R897" s="4"/>
      <c r="S897" s="4"/>
      <c r="T897" s="4"/>
    </row>
    <row r="898" spans="18:20" ht="14.25" customHeight="1" x14ac:dyDescent="0.3">
      <c r="R898" s="4"/>
      <c r="S898" s="4"/>
      <c r="T898" s="4"/>
    </row>
    <row r="899" spans="18:20" ht="14.25" customHeight="1" x14ac:dyDescent="0.3">
      <c r="R899" s="4"/>
      <c r="S899" s="4"/>
      <c r="T899" s="4"/>
    </row>
    <row r="900" spans="18:20" ht="14.25" customHeight="1" x14ac:dyDescent="0.3">
      <c r="R900" s="4"/>
      <c r="S900" s="4"/>
      <c r="T900" s="4"/>
    </row>
    <row r="901" spans="18:20" ht="14.25" customHeight="1" x14ac:dyDescent="0.3">
      <c r="R901" s="4"/>
      <c r="S901" s="4"/>
      <c r="T901" s="4"/>
    </row>
    <row r="902" spans="18:20" ht="14.25" customHeight="1" x14ac:dyDescent="0.3">
      <c r="R902" s="4"/>
      <c r="S902" s="4"/>
      <c r="T902" s="4"/>
    </row>
    <row r="903" spans="18:20" ht="14.25" customHeight="1" x14ac:dyDescent="0.3">
      <c r="R903" s="4"/>
      <c r="S903" s="4"/>
      <c r="T903" s="4"/>
    </row>
    <row r="904" spans="18:20" ht="14.25" customHeight="1" x14ac:dyDescent="0.3">
      <c r="R904" s="4"/>
      <c r="S904" s="4"/>
      <c r="T904" s="4"/>
    </row>
    <row r="905" spans="18:20" ht="14.25" customHeight="1" x14ac:dyDescent="0.3">
      <c r="R905" s="4"/>
      <c r="S905" s="4"/>
      <c r="T905" s="4"/>
    </row>
    <row r="906" spans="18:20" ht="14.25" customHeight="1" x14ac:dyDescent="0.3">
      <c r="R906" s="4"/>
      <c r="S906" s="4"/>
      <c r="T906" s="4"/>
    </row>
    <row r="907" spans="18:20" ht="14.25" customHeight="1" x14ac:dyDescent="0.3">
      <c r="R907" s="4"/>
      <c r="S907" s="4"/>
      <c r="T907" s="4"/>
    </row>
    <row r="908" spans="18:20" ht="14.25" customHeight="1" x14ac:dyDescent="0.3">
      <c r="R908" s="4"/>
      <c r="S908" s="4"/>
      <c r="T908" s="4"/>
    </row>
    <row r="909" spans="18:20" ht="14.25" customHeight="1" x14ac:dyDescent="0.3">
      <c r="R909" s="4"/>
      <c r="S909" s="4"/>
      <c r="T909" s="4"/>
    </row>
    <row r="910" spans="18:20" ht="14.25" customHeight="1" x14ac:dyDescent="0.3">
      <c r="R910" s="4"/>
      <c r="S910" s="4"/>
      <c r="T910" s="4"/>
    </row>
    <row r="911" spans="18:20" ht="14.25" customHeight="1" x14ac:dyDescent="0.3">
      <c r="R911" s="4"/>
      <c r="S911" s="4"/>
      <c r="T911" s="4"/>
    </row>
    <row r="912" spans="18:20" ht="14.25" customHeight="1" x14ac:dyDescent="0.3">
      <c r="R912" s="4"/>
      <c r="S912" s="4"/>
      <c r="T912" s="4"/>
    </row>
    <row r="913" spans="18:20" ht="14.25" customHeight="1" x14ac:dyDescent="0.3">
      <c r="R913" s="4"/>
      <c r="S913" s="4"/>
      <c r="T913" s="4"/>
    </row>
    <row r="914" spans="18:20" ht="14.25" customHeight="1" x14ac:dyDescent="0.3">
      <c r="R914" s="4"/>
      <c r="S914" s="4"/>
      <c r="T914" s="4"/>
    </row>
    <row r="915" spans="18:20" ht="14.25" customHeight="1" x14ac:dyDescent="0.3">
      <c r="R915" s="4"/>
      <c r="S915" s="4"/>
      <c r="T915" s="4"/>
    </row>
    <row r="916" spans="18:20" ht="14.25" customHeight="1" x14ac:dyDescent="0.3">
      <c r="R916" s="4"/>
      <c r="S916" s="4"/>
      <c r="T916" s="4"/>
    </row>
    <row r="917" spans="18:20" ht="14.25" customHeight="1" x14ac:dyDescent="0.3">
      <c r="R917" s="4"/>
      <c r="S917" s="4"/>
      <c r="T917" s="4"/>
    </row>
    <row r="918" spans="18:20" ht="14.25" customHeight="1" x14ac:dyDescent="0.3">
      <c r="R918" s="4"/>
      <c r="S918" s="4"/>
      <c r="T918" s="4"/>
    </row>
    <row r="919" spans="18:20" ht="14.25" customHeight="1" x14ac:dyDescent="0.3">
      <c r="R919" s="4"/>
      <c r="S919" s="4"/>
      <c r="T919" s="4"/>
    </row>
    <row r="920" spans="18:20" ht="14.25" customHeight="1" x14ac:dyDescent="0.3">
      <c r="R920" s="4"/>
      <c r="S920" s="4"/>
      <c r="T920" s="4"/>
    </row>
    <row r="921" spans="18:20" ht="14.25" customHeight="1" x14ac:dyDescent="0.3">
      <c r="R921" s="4"/>
      <c r="S921" s="4"/>
      <c r="T921" s="4"/>
    </row>
    <row r="922" spans="18:20" ht="14.25" customHeight="1" x14ac:dyDescent="0.3">
      <c r="R922" s="4"/>
      <c r="S922" s="4"/>
      <c r="T922" s="4"/>
    </row>
    <row r="923" spans="18:20" ht="14.25" customHeight="1" x14ac:dyDescent="0.3">
      <c r="R923" s="4"/>
      <c r="S923" s="4"/>
      <c r="T923" s="4"/>
    </row>
    <row r="924" spans="18:20" ht="14.25" customHeight="1" x14ac:dyDescent="0.3">
      <c r="R924" s="4"/>
      <c r="S924" s="4"/>
      <c r="T924" s="4"/>
    </row>
    <row r="925" spans="18:20" ht="14.25" customHeight="1" x14ac:dyDescent="0.3">
      <c r="R925" s="4"/>
      <c r="S925" s="4"/>
      <c r="T925" s="4"/>
    </row>
    <row r="926" spans="18:20" ht="14.25" customHeight="1" x14ac:dyDescent="0.3">
      <c r="R926" s="4"/>
      <c r="S926" s="4"/>
      <c r="T926" s="4"/>
    </row>
    <row r="927" spans="18:20" ht="14.25" customHeight="1" x14ac:dyDescent="0.3">
      <c r="R927" s="4"/>
      <c r="S927" s="4"/>
      <c r="T927" s="4"/>
    </row>
    <row r="928" spans="18:20" ht="14.25" customHeight="1" x14ac:dyDescent="0.3">
      <c r="R928" s="4"/>
      <c r="S928" s="4"/>
      <c r="T928" s="4"/>
    </row>
    <row r="929" spans="18:20" ht="14.25" customHeight="1" x14ac:dyDescent="0.3">
      <c r="R929" s="4"/>
      <c r="S929" s="4"/>
      <c r="T929" s="4"/>
    </row>
    <row r="930" spans="18:20" ht="14.25" customHeight="1" x14ac:dyDescent="0.3">
      <c r="R930" s="4"/>
      <c r="S930" s="4"/>
      <c r="T930" s="4"/>
    </row>
    <row r="931" spans="18:20" ht="14.25" customHeight="1" x14ac:dyDescent="0.3">
      <c r="R931" s="4"/>
      <c r="S931" s="4"/>
      <c r="T931" s="4"/>
    </row>
    <row r="932" spans="18:20" ht="14.25" customHeight="1" x14ac:dyDescent="0.3">
      <c r="R932" s="4"/>
      <c r="S932" s="4"/>
      <c r="T932" s="4"/>
    </row>
    <row r="933" spans="18:20" ht="14.25" customHeight="1" x14ac:dyDescent="0.3">
      <c r="R933" s="4"/>
      <c r="S933" s="4"/>
      <c r="T933" s="4"/>
    </row>
    <row r="934" spans="18:20" ht="14.25" customHeight="1" x14ac:dyDescent="0.3">
      <c r="R934" s="4"/>
      <c r="S934" s="4"/>
      <c r="T934" s="4"/>
    </row>
    <row r="935" spans="18:20" ht="14.25" customHeight="1" x14ac:dyDescent="0.3">
      <c r="R935" s="4"/>
      <c r="S935" s="4"/>
      <c r="T935" s="4"/>
    </row>
    <row r="936" spans="18:20" ht="14.25" customHeight="1" x14ac:dyDescent="0.3">
      <c r="R936" s="4"/>
      <c r="S936" s="4"/>
      <c r="T936" s="4"/>
    </row>
    <row r="937" spans="18:20" ht="14.25" customHeight="1" x14ac:dyDescent="0.3">
      <c r="R937" s="4"/>
      <c r="S937" s="4"/>
      <c r="T937" s="4"/>
    </row>
    <row r="938" spans="18:20" ht="14.25" customHeight="1" x14ac:dyDescent="0.3">
      <c r="R938" s="4"/>
      <c r="S938" s="4"/>
      <c r="T938" s="4"/>
    </row>
    <row r="939" spans="18:20" ht="14.25" customHeight="1" x14ac:dyDescent="0.3">
      <c r="R939" s="4"/>
      <c r="S939" s="4"/>
      <c r="T939" s="4"/>
    </row>
    <row r="940" spans="18:20" ht="14.25" customHeight="1" x14ac:dyDescent="0.3">
      <c r="R940" s="4"/>
      <c r="S940" s="4"/>
      <c r="T940" s="4"/>
    </row>
    <row r="941" spans="18:20" ht="14.25" customHeight="1" x14ac:dyDescent="0.3">
      <c r="R941" s="4"/>
      <c r="S941" s="4"/>
      <c r="T941" s="4"/>
    </row>
    <row r="942" spans="18:20" ht="14.25" customHeight="1" x14ac:dyDescent="0.3">
      <c r="R942" s="4"/>
      <c r="S942" s="4"/>
      <c r="T942" s="4"/>
    </row>
    <row r="943" spans="18:20" ht="14.25" customHeight="1" x14ac:dyDescent="0.3">
      <c r="R943" s="4"/>
      <c r="S943" s="4"/>
      <c r="T943" s="4"/>
    </row>
    <row r="944" spans="18:20" ht="14.25" customHeight="1" x14ac:dyDescent="0.3">
      <c r="R944" s="4"/>
      <c r="S944" s="4"/>
      <c r="T944" s="4"/>
    </row>
    <row r="945" spans="18:20" ht="14.25" customHeight="1" x14ac:dyDescent="0.3">
      <c r="R945" s="4"/>
      <c r="S945" s="4"/>
      <c r="T945" s="4"/>
    </row>
    <row r="946" spans="18:20" ht="14.25" customHeight="1" x14ac:dyDescent="0.3">
      <c r="R946" s="4"/>
      <c r="S946" s="4"/>
      <c r="T946" s="4"/>
    </row>
    <row r="947" spans="18:20" ht="14.25" customHeight="1" x14ac:dyDescent="0.3">
      <c r="R947" s="4"/>
      <c r="S947" s="4"/>
      <c r="T947" s="4"/>
    </row>
    <row r="948" spans="18:20" ht="14.25" customHeight="1" x14ac:dyDescent="0.3">
      <c r="R948" s="4"/>
      <c r="S948" s="4"/>
      <c r="T948" s="4"/>
    </row>
    <row r="949" spans="18:20" ht="14.25" customHeight="1" x14ac:dyDescent="0.3">
      <c r="R949" s="4"/>
      <c r="S949" s="4"/>
      <c r="T949" s="4"/>
    </row>
    <row r="950" spans="18:20" ht="14.25" customHeight="1" x14ac:dyDescent="0.3">
      <c r="R950" s="4"/>
      <c r="S950" s="4"/>
      <c r="T950" s="4"/>
    </row>
    <row r="951" spans="18:20" ht="14.25" customHeight="1" x14ac:dyDescent="0.3">
      <c r="R951" s="4"/>
      <c r="S951" s="4"/>
      <c r="T951" s="4"/>
    </row>
    <row r="952" spans="18:20" ht="14.25" customHeight="1" x14ac:dyDescent="0.3">
      <c r="R952" s="4"/>
      <c r="S952" s="4"/>
      <c r="T952" s="4"/>
    </row>
    <row r="953" spans="18:20" ht="14.25" customHeight="1" x14ac:dyDescent="0.3">
      <c r="R953" s="4"/>
      <c r="S953" s="4"/>
      <c r="T953" s="4"/>
    </row>
    <row r="954" spans="18:20" ht="14.25" customHeight="1" x14ac:dyDescent="0.3">
      <c r="R954" s="4"/>
      <c r="S954" s="4"/>
      <c r="T954" s="4"/>
    </row>
    <row r="955" spans="18:20" ht="14.25" customHeight="1" x14ac:dyDescent="0.3">
      <c r="R955" s="4"/>
      <c r="S955" s="4"/>
      <c r="T955" s="4"/>
    </row>
    <row r="956" spans="18:20" ht="14.25" customHeight="1" x14ac:dyDescent="0.3">
      <c r="R956" s="4"/>
      <c r="S956" s="4"/>
      <c r="T956" s="4"/>
    </row>
    <row r="957" spans="18:20" ht="14.25" customHeight="1" x14ac:dyDescent="0.3">
      <c r="R957" s="4"/>
      <c r="S957" s="4"/>
      <c r="T957" s="4"/>
    </row>
    <row r="958" spans="18:20" ht="14.25" customHeight="1" x14ac:dyDescent="0.3">
      <c r="R958" s="4"/>
      <c r="S958" s="4"/>
      <c r="T958" s="4"/>
    </row>
    <row r="959" spans="18:20" ht="14.25" customHeight="1" x14ac:dyDescent="0.3">
      <c r="R959" s="4"/>
      <c r="S959" s="4"/>
      <c r="T959" s="4"/>
    </row>
    <row r="960" spans="18:20" ht="14.25" customHeight="1" x14ac:dyDescent="0.3">
      <c r="R960" s="4"/>
      <c r="S960" s="4"/>
      <c r="T960" s="4"/>
    </row>
    <row r="961" spans="18:20" ht="14.25" customHeight="1" x14ac:dyDescent="0.3">
      <c r="R961" s="4"/>
      <c r="S961" s="4"/>
      <c r="T961" s="4"/>
    </row>
    <row r="962" spans="18:20" ht="14.25" customHeight="1" x14ac:dyDescent="0.3">
      <c r="R962" s="4"/>
      <c r="S962" s="4"/>
      <c r="T962" s="4"/>
    </row>
    <row r="963" spans="18:20" ht="14.25" customHeight="1" x14ac:dyDescent="0.3">
      <c r="R963" s="4"/>
      <c r="S963" s="4"/>
      <c r="T963" s="4"/>
    </row>
    <row r="964" spans="18:20" ht="14.25" customHeight="1" x14ac:dyDescent="0.3">
      <c r="R964" s="4"/>
      <c r="S964" s="4"/>
      <c r="T964" s="4"/>
    </row>
    <row r="965" spans="18:20" ht="14.25" customHeight="1" x14ac:dyDescent="0.3">
      <c r="R965" s="4"/>
      <c r="S965" s="4"/>
      <c r="T965" s="4"/>
    </row>
    <row r="966" spans="18:20" ht="14.25" customHeight="1" x14ac:dyDescent="0.3">
      <c r="R966" s="4"/>
      <c r="S966" s="4"/>
      <c r="T966" s="4"/>
    </row>
    <row r="967" spans="18:20" ht="14.25" customHeight="1" x14ac:dyDescent="0.3">
      <c r="R967" s="4"/>
      <c r="S967" s="4"/>
      <c r="T967" s="4"/>
    </row>
    <row r="968" spans="18:20" ht="14.25" customHeight="1" x14ac:dyDescent="0.3">
      <c r="R968" s="4"/>
      <c r="S968" s="4"/>
      <c r="T968" s="4"/>
    </row>
    <row r="969" spans="18:20" ht="14.25" customHeight="1" x14ac:dyDescent="0.3">
      <c r="R969" s="4"/>
      <c r="S969" s="4"/>
      <c r="T969" s="4"/>
    </row>
    <row r="970" spans="18:20" ht="14.25" customHeight="1" x14ac:dyDescent="0.3">
      <c r="R970" s="4"/>
      <c r="S970" s="4"/>
      <c r="T970" s="4"/>
    </row>
    <row r="971" spans="18:20" ht="14.25" customHeight="1" x14ac:dyDescent="0.3">
      <c r="R971" s="4"/>
      <c r="S971" s="4"/>
      <c r="T971" s="4"/>
    </row>
    <row r="972" spans="18:20" ht="14.25" customHeight="1" x14ac:dyDescent="0.3">
      <c r="R972" s="4"/>
      <c r="S972" s="4"/>
      <c r="T972" s="4"/>
    </row>
    <row r="973" spans="18:20" ht="14.25" customHeight="1" x14ac:dyDescent="0.3">
      <c r="R973" s="4"/>
      <c r="S973" s="4"/>
      <c r="T973" s="4"/>
    </row>
    <row r="974" spans="18:20" ht="14.25" customHeight="1" x14ac:dyDescent="0.3">
      <c r="R974" s="4"/>
      <c r="S974" s="4"/>
      <c r="T974" s="4"/>
    </row>
    <row r="975" spans="18:20" ht="14.25" customHeight="1" x14ac:dyDescent="0.3">
      <c r="R975" s="4"/>
      <c r="S975" s="4"/>
      <c r="T975" s="4"/>
    </row>
    <row r="976" spans="18:20" ht="14.25" customHeight="1" x14ac:dyDescent="0.3">
      <c r="R976" s="4"/>
      <c r="S976" s="4"/>
      <c r="T976" s="4"/>
    </row>
    <row r="977" spans="18:20" ht="14.25" customHeight="1" x14ac:dyDescent="0.3">
      <c r="R977" s="4"/>
      <c r="S977" s="4"/>
      <c r="T977" s="4"/>
    </row>
    <row r="978" spans="18:20" ht="14.25" customHeight="1" x14ac:dyDescent="0.3">
      <c r="R978" s="4"/>
      <c r="S978" s="4"/>
      <c r="T978" s="4"/>
    </row>
    <row r="979" spans="18:20" ht="14.25" customHeight="1" x14ac:dyDescent="0.3">
      <c r="R979" s="4"/>
      <c r="S979" s="4"/>
      <c r="T979" s="4"/>
    </row>
    <row r="980" spans="18:20" ht="14.25" customHeight="1" x14ac:dyDescent="0.3">
      <c r="R980" s="4"/>
      <c r="S980" s="4"/>
      <c r="T980" s="4"/>
    </row>
    <row r="981" spans="18:20" ht="14.25" customHeight="1" x14ac:dyDescent="0.3">
      <c r="R981" s="4"/>
      <c r="S981" s="4"/>
      <c r="T981" s="4"/>
    </row>
    <row r="982" spans="18:20" ht="14.25" customHeight="1" x14ac:dyDescent="0.3">
      <c r="R982" s="4"/>
      <c r="S982" s="4"/>
      <c r="T982" s="4"/>
    </row>
    <row r="983" spans="18:20" ht="14.25" customHeight="1" x14ac:dyDescent="0.3">
      <c r="R983" s="4"/>
      <c r="S983" s="4"/>
      <c r="T983" s="4"/>
    </row>
    <row r="984" spans="18:20" ht="14.25" customHeight="1" x14ac:dyDescent="0.3">
      <c r="R984" s="4"/>
      <c r="S984" s="4"/>
      <c r="T984" s="4"/>
    </row>
    <row r="985" spans="18:20" ht="14.25" customHeight="1" x14ac:dyDescent="0.3">
      <c r="R985" s="4"/>
      <c r="S985" s="4"/>
      <c r="T985" s="4"/>
    </row>
    <row r="986" spans="18:20" ht="14.25" customHeight="1" x14ac:dyDescent="0.3">
      <c r="R986" s="4"/>
      <c r="S986" s="4"/>
      <c r="T986" s="4"/>
    </row>
    <row r="987" spans="18:20" ht="14.25" customHeight="1" x14ac:dyDescent="0.3">
      <c r="R987" s="4"/>
      <c r="S987" s="4"/>
      <c r="T987" s="4"/>
    </row>
    <row r="988" spans="18:20" ht="14.25" customHeight="1" x14ac:dyDescent="0.3">
      <c r="R988" s="4"/>
      <c r="S988" s="4"/>
      <c r="T988" s="4"/>
    </row>
    <row r="989" spans="18:20" ht="14.25" customHeight="1" x14ac:dyDescent="0.3">
      <c r="R989" s="4"/>
      <c r="S989" s="4"/>
      <c r="T989" s="4"/>
    </row>
    <row r="990" spans="18:20" ht="14.25" customHeight="1" x14ac:dyDescent="0.3">
      <c r="R990" s="4"/>
      <c r="S990" s="4"/>
      <c r="T990" s="4"/>
    </row>
    <row r="991" spans="18:20" ht="14.25" customHeight="1" x14ac:dyDescent="0.3">
      <c r="R991" s="4"/>
      <c r="S991" s="4"/>
      <c r="T991" s="4"/>
    </row>
    <row r="992" spans="18:20" ht="14.25" customHeight="1" x14ac:dyDescent="0.3">
      <c r="R992" s="4"/>
      <c r="S992" s="4"/>
      <c r="T992" s="4"/>
    </row>
    <row r="993" spans="18:20" ht="14.25" customHeight="1" x14ac:dyDescent="0.3">
      <c r="R993" s="4"/>
      <c r="S993" s="4"/>
      <c r="T993" s="4"/>
    </row>
    <row r="994" spans="18:20" ht="14.25" customHeight="1" x14ac:dyDescent="0.3">
      <c r="R994" s="4"/>
      <c r="S994" s="4"/>
      <c r="T994" s="4"/>
    </row>
    <row r="995" spans="18:20" ht="14.25" customHeight="1" x14ac:dyDescent="0.3">
      <c r="R995" s="4"/>
      <c r="S995" s="4"/>
      <c r="T995" s="4"/>
    </row>
    <row r="996" spans="18:20" ht="14.25" customHeight="1" x14ac:dyDescent="0.3">
      <c r="R996" s="4"/>
      <c r="S996" s="4"/>
      <c r="T996" s="4"/>
    </row>
    <row r="997" spans="18:20" ht="14.25" customHeight="1" x14ac:dyDescent="0.3">
      <c r="R997" s="4"/>
      <c r="S997" s="4"/>
      <c r="T997" s="4"/>
    </row>
    <row r="998" spans="18:20" ht="14.25" customHeight="1" x14ac:dyDescent="0.3">
      <c r="R998" s="4"/>
      <c r="S998" s="4"/>
      <c r="T998" s="4"/>
    </row>
    <row r="999" spans="18:20" ht="14.25" customHeight="1" x14ac:dyDescent="0.3">
      <c r="R999" s="4"/>
      <c r="S999" s="4"/>
      <c r="T999" s="4"/>
    </row>
    <row r="1000" spans="18:20" ht="14.25" customHeight="1" x14ac:dyDescent="0.3">
      <c r="R1000" s="4"/>
      <c r="S1000" s="4"/>
      <c r="T100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opLeftCell="L39" zoomScaleNormal="100" workbookViewId="0">
      <selection activeCell="X24" sqref="X24"/>
    </sheetView>
  </sheetViews>
  <sheetFormatPr defaultColWidth="14.44140625" defaultRowHeight="15" customHeight="1" x14ac:dyDescent="0.3"/>
  <cols>
    <col min="1" max="6" width="8.6640625" customWidth="1"/>
    <col min="7" max="7" width="36.6640625" customWidth="1"/>
    <col min="8" max="15" width="8.6640625" customWidth="1"/>
    <col min="16" max="17" width="9" customWidth="1"/>
    <col min="18" max="18" width="13.6640625" customWidth="1"/>
    <col min="19" max="19" width="13.33203125" customWidth="1"/>
    <col min="20" max="20" width="13.109375" customWidth="1"/>
    <col min="21" max="22" width="8.6640625" customWidth="1"/>
    <col min="23" max="23" width="15.109375" customWidth="1"/>
    <col min="24" max="26" width="8.6640625" customWidth="1"/>
  </cols>
  <sheetData>
    <row r="1" spans="1:24" ht="14.25" customHeight="1" x14ac:dyDescent="0.3">
      <c r="A1" s="7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  <c r="Q1" s="10" t="s">
        <v>16</v>
      </c>
      <c r="R1" s="11" t="s">
        <v>17</v>
      </c>
      <c r="S1" s="3" t="s">
        <v>96</v>
      </c>
      <c r="T1" s="12" t="s">
        <v>18</v>
      </c>
      <c r="U1" s="9" t="s">
        <v>19</v>
      </c>
      <c r="V1" s="9" t="s">
        <v>20</v>
      </c>
      <c r="W1" s="9" t="s">
        <v>21</v>
      </c>
    </row>
    <row r="2" spans="1:24" ht="14.25" customHeight="1" x14ac:dyDescent="0.3">
      <c r="A2" s="1">
        <v>1</v>
      </c>
      <c r="B2" s="1" t="s">
        <v>46</v>
      </c>
      <c r="C2" s="1">
        <v>70</v>
      </c>
      <c r="D2" s="1">
        <v>0</v>
      </c>
      <c r="E2" s="1">
        <v>9366559827</v>
      </c>
      <c r="F2" s="1">
        <v>1</v>
      </c>
      <c r="G2" s="1" t="s">
        <v>47</v>
      </c>
      <c r="H2" s="1">
        <v>7</v>
      </c>
      <c r="I2" s="1">
        <v>3</v>
      </c>
      <c r="J2" s="1">
        <v>0</v>
      </c>
      <c r="K2" s="1">
        <v>19</v>
      </c>
      <c r="L2" s="1">
        <v>20</v>
      </c>
      <c r="M2" s="1">
        <v>1</v>
      </c>
      <c r="N2" s="1">
        <v>2</v>
      </c>
      <c r="O2" s="1">
        <v>1900</v>
      </c>
      <c r="P2" s="13">
        <v>1</v>
      </c>
      <c r="Q2" s="13">
        <v>30</v>
      </c>
      <c r="R2" s="14">
        <v>44</v>
      </c>
      <c r="S2" s="4"/>
      <c r="T2" s="4">
        <f>((Q2*R2)*O2)*N2</f>
        <v>5016000</v>
      </c>
      <c r="U2" s="1">
        <v>1</v>
      </c>
      <c r="W2" s="1">
        <v>1</v>
      </c>
      <c r="X2" s="1" t="s">
        <v>48</v>
      </c>
    </row>
    <row r="3" spans="1:24" ht="14.25" customHeight="1" x14ac:dyDescent="0.3">
      <c r="A3" s="1">
        <v>2</v>
      </c>
      <c r="B3" s="1" t="s">
        <v>50</v>
      </c>
      <c r="C3" s="1">
        <v>68</v>
      </c>
      <c r="D3" s="1">
        <v>1</v>
      </c>
      <c r="E3" s="1">
        <v>9273364466</v>
      </c>
      <c r="F3" s="1">
        <v>1</v>
      </c>
      <c r="G3" s="1" t="s">
        <v>47</v>
      </c>
      <c r="H3" s="1">
        <v>7</v>
      </c>
      <c r="I3" s="1">
        <v>3</v>
      </c>
      <c r="J3" s="1">
        <v>0</v>
      </c>
      <c r="K3" s="1">
        <v>19</v>
      </c>
      <c r="L3" s="1">
        <v>20</v>
      </c>
      <c r="M3" s="1">
        <v>1</v>
      </c>
      <c r="N3" s="1">
        <v>2</v>
      </c>
      <c r="O3" s="1">
        <v>1900</v>
      </c>
      <c r="P3" s="13">
        <v>1</v>
      </c>
      <c r="Q3" s="13">
        <v>30</v>
      </c>
      <c r="R3" s="14">
        <v>44</v>
      </c>
      <c r="S3" s="4"/>
      <c r="T3" s="4">
        <f t="shared" ref="T3:T27" si="0">((Q3*R3)*O3)*N3</f>
        <v>5016000</v>
      </c>
      <c r="U3" s="1">
        <v>0</v>
      </c>
      <c r="W3" s="1">
        <v>1</v>
      </c>
      <c r="X3" s="1" t="s">
        <v>48</v>
      </c>
    </row>
    <row r="4" spans="1:24" ht="14.25" customHeight="1" x14ac:dyDescent="0.3">
      <c r="A4" s="1">
        <v>3</v>
      </c>
      <c r="B4" s="1" t="s">
        <v>52</v>
      </c>
      <c r="C4" s="1">
        <v>65</v>
      </c>
      <c r="D4" s="1">
        <v>1</v>
      </c>
      <c r="E4" s="1">
        <v>9976843138</v>
      </c>
      <c r="F4" s="1">
        <v>1</v>
      </c>
      <c r="G4" s="1" t="s">
        <v>53</v>
      </c>
      <c r="H4" s="1">
        <v>3</v>
      </c>
      <c r="K4" s="1">
        <v>0.4</v>
      </c>
      <c r="L4" s="1">
        <v>24</v>
      </c>
      <c r="M4" s="1">
        <v>0</v>
      </c>
      <c r="N4" s="1">
        <v>2</v>
      </c>
      <c r="O4" s="1">
        <v>36</v>
      </c>
      <c r="P4" s="13">
        <v>1</v>
      </c>
      <c r="Q4" s="13">
        <v>37</v>
      </c>
      <c r="R4" s="14">
        <v>25</v>
      </c>
      <c r="S4" s="4"/>
      <c r="T4" s="4">
        <f t="shared" si="0"/>
        <v>66600</v>
      </c>
      <c r="U4" s="1">
        <v>1</v>
      </c>
      <c r="V4" s="1" t="s">
        <v>54</v>
      </c>
      <c r="W4" s="1">
        <v>1</v>
      </c>
      <c r="X4" s="1" t="s">
        <v>55</v>
      </c>
    </row>
    <row r="5" spans="1:24" ht="14.25" customHeight="1" x14ac:dyDescent="0.3">
      <c r="A5" s="1">
        <v>4</v>
      </c>
      <c r="B5" s="1" t="s">
        <v>57</v>
      </c>
      <c r="C5" s="1">
        <v>43</v>
      </c>
      <c r="D5" s="1">
        <v>1</v>
      </c>
      <c r="E5" s="1">
        <v>9858359126</v>
      </c>
      <c r="F5" s="1">
        <v>1</v>
      </c>
      <c r="G5" s="1" t="s">
        <v>53</v>
      </c>
      <c r="H5" s="1">
        <v>2</v>
      </c>
      <c r="I5" s="1">
        <v>5</v>
      </c>
      <c r="J5" s="1">
        <v>0</v>
      </c>
      <c r="K5" s="1">
        <v>0.25</v>
      </c>
      <c r="L5" s="1">
        <v>15</v>
      </c>
      <c r="M5" s="1">
        <v>0</v>
      </c>
      <c r="N5" s="1">
        <v>2</v>
      </c>
      <c r="O5" s="1">
        <v>27</v>
      </c>
      <c r="P5" s="13">
        <v>0</v>
      </c>
      <c r="Q5" s="13">
        <v>33</v>
      </c>
      <c r="R5" s="14"/>
      <c r="S5" s="4"/>
      <c r="T5" s="4">
        <f t="shared" si="0"/>
        <v>0</v>
      </c>
      <c r="U5" s="1">
        <v>1</v>
      </c>
      <c r="V5" s="1" t="s">
        <v>54</v>
      </c>
      <c r="W5" s="1">
        <v>0</v>
      </c>
    </row>
    <row r="6" spans="1:24" ht="14.25" customHeight="1" x14ac:dyDescent="0.3">
      <c r="A6" s="1">
        <v>5</v>
      </c>
      <c r="B6" s="1" t="s">
        <v>59</v>
      </c>
      <c r="C6" s="1">
        <v>61</v>
      </c>
      <c r="D6" s="1">
        <v>0</v>
      </c>
      <c r="E6" s="6" t="s">
        <v>60</v>
      </c>
      <c r="G6" s="1" t="s">
        <v>53</v>
      </c>
      <c r="H6" s="1">
        <v>2</v>
      </c>
      <c r="K6" s="1">
        <v>2.4</v>
      </c>
      <c r="L6" s="1">
        <v>20</v>
      </c>
      <c r="N6" s="1">
        <v>2</v>
      </c>
      <c r="O6" s="1">
        <v>251</v>
      </c>
      <c r="P6" s="13">
        <v>1</v>
      </c>
      <c r="Q6" s="13">
        <v>35</v>
      </c>
      <c r="R6" s="14">
        <v>25</v>
      </c>
      <c r="S6" s="4"/>
      <c r="T6" s="4">
        <f t="shared" si="0"/>
        <v>439250</v>
      </c>
      <c r="U6" s="1">
        <v>1</v>
      </c>
      <c r="V6" s="1" t="s">
        <v>54</v>
      </c>
      <c r="W6" s="1">
        <v>0</v>
      </c>
    </row>
    <row r="7" spans="1:24" ht="14.25" customHeight="1" x14ac:dyDescent="0.3">
      <c r="A7" s="1">
        <v>6</v>
      </c>
      <c r="B7" s="1" t="s">
        <v>61</v>
      </c>
      <c r="C7" s="1">
        <v>61</v>
      </c>
      <c r="D7" s="1">
        <v>0</v>
      </c>
      <c r="E7" s="1">
        <v>9359787564</v>
      </c>
      <c r="F7" s="1">
        <v>3</v>
      </c>
      <c r="G7" s="1" t="s">
        <v>62</v>
      </c>
      <c r="H7" s="1">
        <v>3</v>
      </c>
      <c r="I7" s="1">
        <v>1</v>
      </c>
      <c r="J7" s="1">
        <v>0</v>
      </c>
      <c r="K7" s="1">
        <v>1</v>
      </c>
      <c r="L7" s="1">
        <v>2</v>
      </c>
      <c r="M7" s="1">
        <v>5</v>
      </c>
      <c r="N7" s="1">
        <v>2</v>
      </c>
      <c r="O7" s="1">
        <v>60</v>
      </c>
      <c r="P7" s="13">
        <v>1</v>
      </c>
      <c r="Q7" s="13">
        <v>30</v>
      </c>
      <c r="R7" s="14">
        <v>30</v>
      </c>
      <c r="S7" s="4"/>
      <c r="T7" s="4">
        <f t="shared" si="0"/>
        <v>108000</v>
      </c>
      <c r="U7" s="1">
        <v>1</v>
      </c>
      <c r="V7" s="1" t="s">
        <v>54</v>
      </c>
      <c r="W7" s="1">
        <v>1</v>
      </c>
    </row>
    <row r="8" spans="1:24" ht="14.25" customHeight="1" x14ac:dyDescent="0.3">
      <c r="A8" s="1">
        <v>7</v>
      </c>
      <c r="B8" s="1" t="s">
        <v>64</v>
      </c>
      <c r="C8" s="1">
        <v>68</v>
      </c>
      <c r="D8" s="1">
        <v>0</v>
      </c>
      <c r="E8" s="6" t="s">
        <v>60</v>
      </c>
      <c r="F8" s="1">
        <v>1</v>
      </c>
      <c r="G8" s="1" t="s">
        <v>53</v>
      </c>
      <c r="H8" s="1">
        <v>0</v>
      </c>
      <c r="I8" s="1">
        <v>4</v>
      </c>
      <c r="J8" s="1">
        <v>0</v>
      </c>
      <c r="K8" s="1">
        <v>1</v>
      </c>
      <c r="L8" s="1">
        <v>13</v>
      </c>
      <c r="M8" s="1">
        <v>2</v>
      </c>
      <c r="N8" s="1">
        <v>2</v>
      </c>
      <c r="O8" s="1">
        <v>60</v>
      </c>
      <c r="P8" s="13">
        <v>1</v>
      </c>
      <c r="Q8" s="13">
        <v>36</v>
      </c>
      <c r="R8" s="14">
        <v>25</v>
      </c>
      <c r="S8" s="4"/>
      <c r="T8" s="4">
        <f t="shared" si="0"/>
        <v>108000</v>
      </c>
      <c r="U8" s="1">
        <v>1</v>
      </c>
      <c r="V8" s="1" t="s">
        <v>54</v>
      </c>
      <c r="W8" s="1">
        <v>0</v>
      </c>
    </row>
    <row r="9" spans="1:24" ht="14.25" customHeight="1" x14ac:dyDescent="0.3">
      <c r="A9" s="1">
        <v>8</v>
      </c>
      <c r="B9" s="1" t="s">
        <v>65</v>
      </c>
      <c r="C9" s="1">
        <v>55</v>
      </c>
      <c r="D9" s="1">
        <v>1</v>
      </c>
      <c r="E9" s="1">
        <v>9939353350</v>
      </c>
      <c r="F9" s="1">
        <v>1</v>
      </c>
      <c r="G9" s="1" t="s">
        <v>53</v>
      </c>
      <c r="H9" s="1">
        <v>6</v>
      </c>
      <c r="K9">
        <v>1</v>
      </c>
      <c r="L9" s="1">
        <v>25</v>
      </c>
      <c r="N9" s="1">
        <v>2</v>
      </c>
      <c r="O9" s="1">
        <v>80</v>
      </c>
      <c r="P9" s="13">
        <v>1</v>
      </c>
      <c r="Q9" s="13">
        <v>35</v>
      </c>
      <c r="R9" s="14">
        <v>25</v>
      </c>
      <c r="S9" s="4"/>
      <c r="T9" s="4">
        <f t="shared" si="0"/>
        <v>140000</v>
      </c>
      <c r="U9" s="1">
        <v>1</v>
      </c>
      <c r="V9" s="1" t="s">
        <v>54</v>
      </c>
    </row>
    <row r="10" spans="1:24" ht="14.25" customHeight="1" x14ac:dyDescent="0.3">
      <c r="A10" s="1">
        <v>9</v>
      </c>
      <c r="B10" s="1" t="s">
        <v>66</v>
      </c>
      <c r="C10" s="1">
        <v>44</v>
      </c>
      <c r="D10" s="1">
        <v>0</v>
      </c>
      <c r="F10" s="1">
        <v>1</v>
      </c>
      <c r="G10" s="1" t="s">
        <v>67</v>
      </c>
      <c r="H10" s="1">
        <v>3</v>
      </c>
      <c r="I10" s="1">
        <v>4</v>
      </c>
      <c r="J10" s="1">
        <v>0</v>
      </c>
      <c r="K10" s="1">
        <v>0.5</v>
      </c>
      <c r="L10" s="1">
        <v>10</v>
      </c>
      <c r="M10" s="1">
        <v>0</v>
      </c>
      <c r="N10" s="1">
        <v>2</v>
      </c>
      <c r="O10" s="1">
        <v>20</v>
      </c>
      <c r="P10" s="13">
        <v>1</v>
      </c>
      <c r="Q10" s="13">
        <v>37.5</v>
      </c>
      <c r="R10" s="14">
        <v>30</v>
      </c>
      <c r="S10" s="4"/>
      <c r="T10" s="4">
        <f t="shared" si="0"/>
        <v>45000</v>
      </c>
      <c r="U10" s="1">
        <v>1</v>
      </c>
      <c r="V10" s="1" t="s">
        <v>68</v>
      </c>
      <c r="W10" s="1">
        <v>0</v>
      </c>
    </row>
    <row r="11" spans="1:24" ht="14.25" customHeight="1" x14ac:dyDescent="0.3">
      <c r="A11" s="1">
        <v>10</v>
      </c>
      <c r="B11" s="1" t="s">
        <v>69</v>
      </c>
      <c r="C11" s="1">
        <v>72</v>
      </c>
      <c r="D11" s="1">
        <v>1</v>
      </c>
      <c r="E11" s="1">
        <v>9758392562</v>
      </c>
      <c r="F11" s="1">
        <v>1</v>
      </c>
      <c r="H11" s="1">
        <v>0</v>
      </c>
      <c r="I11" s="1">
        <v>3</v>
      </c>
      <c r="J11" s="1">
        <v>0</v>
      </c>
      <c r="K11" s="1">
        <v>0.22</v>
      </c>
      <c r="L11" s="1">
        <v>55</v>
      </c>
      <c r="M11" s="1">
        <v>0</v>
      </c>
      <c r="N11" s="1">
        <v>2</v>
      </c>
      <c r="O11" s="1">
        <v>17</v>
      </c>
      <c r="P11" s="13">
        <v>1</v>
      </c>
      <c r="Q11" s="13">
        <v>33.5</v>
      </c>
      <c r="R11" s="14">
        <v>25</v>
      </c>
      <c r="S11" s="4"/>
      <c r="T11" s="4">
        <f t="shared" si="0"/>
        <v>28475</v>
      </c>
      <c r="U11" s="1">
        <v>1</v>
      </c>
      <c r="V11" s="1" t="s">
        <v>54</v>
      </c>
      <c r="W11" s="1">
        <v>0</v>
      </c>
    </row>
    <row r="12" spans="1:24" ht="14.25" customHeight="1" x14ac:dyDescent="0.3">
      <c r="A12" s="1">
        <v>11</v>
      </c>
      <c r="B12" s="1" t="s">
        <v>70</v>
      </c>
      <c r="C12" s="1">
        <v>44</v>
      </c>
      <c r="D12" s="1">
        <v>0</v>
      </c>
      <c r="E12" s="1">
        <v>9285809836</v>
      </c>
      <c r="F12" s="1">
        <v>1</v>
      </c>
      <c r="G12" s="1" t="s">
        <v>71</v>
      </c>
      <c r="H12" s="1">
        <v>3</v>
      </c>
      <c r="I12" s="1">
        <v>5</v>
      </c>
      <c r="J12" s="1">
        <v>0</v>
      </c>
      <c r="K12" s="1">
        <v>1</v>
      </c>
      <c r="L12" s="1">
        <v>15</v>
      </c>
      <c r="M12" s="1">
        <v>0</v>
      </c>
      <c r="N12" s="1">
        <v>2</v>
      </c>
      <c r="O12" s="1">
        <v>22</v>
      </c>
      <c r="P12" s="13">
        <v>0</v>
      </c>
      <c r="Q12" s="13">
        <v>50</v>
      </c>
      <c r="R12" s="14"/>
      <c r="S12" s="4"/>
      <c r="T12" s="4">
        <f t="shared" si="0"/>
        <v>0</v>
      </c>
      <c r="U12" s="1">
        <v>1</v>
      </c>
      <c r="V12" s="1" t="s">
        <v>54</v>
      </c>
      <c r="W12" s="1">
        <v>0</v>
      </c>
    </row>
    <row r="13" spans="1:24" ht="14.25" customHeight="1" x14ac:dyDescent="0.3">
      <c r="A13" s="1">
        <v>12</v>
      </c>
      <c r="B13" s="1" t="s">
        <v>72</v>
      </c>
      <c r="C13" s="1">
        <v>62</v>
      </c>
      <c r="D13" s="1">
        <v>0</v>
      </c>
      <c r="F13" s="1">
        <v>1</v>
      </c>
      <c r="G13" s="1" t="s">
        <v>62</v>
      </c>
      <c r="H13" s="1">
        <v>2</v>
      </c>
      <c r="I13" s="1">
        <v>4</v>
      </c>
      <c r="J13" s="1">
        <v>0</v>
      </c>
      <c r="K13" s="1">
        <v>0.8</v>
      </c>
      <c r="L13" s="1">
        <v>48</v>
      </c>
      <c r="N13" s="1">
        <v>2</v>
      </c>
      <c r="O13" s="1">
        <v>22</v>
      </c>
      <c r="P13" s="13">
        <v>1</v>
      </c>
      <c r="Q13" s="13">
        <v>20</v>
      </c>
      <c r="R13" s="14">
        <v>26</v>
      </c>
      <c r="S13" s="4"/>
      <c r="T13" s="4">
        <f>((Q13*R13)*O13)*N13</f>
        <v>22880</v>
      </c>
      <c r="U13" s="1">
        <v>1</v>
      </c>
      <c r="V13" s="1" t="s">
        <v>54</v>
      </c>
      <c r="W13" s="1">
        <v>1</v>
      </c>
      <c r="X13" s="1" t="s">
        <v>73</v>
      </c>
    </row>
    <row r="14" spans="1:24" ht="14.25" customHeight="1" x14ac:dyDescent="0.3">
      <c r="A14" s="1">
        <v>13</v>
      </c>
      <c r="B14" s="1" t="s">
        <v>75</v>
      </c>
      <c r="C14" s="1">
        <v>68</v>
      </c>
      <c r="D14" s="1">
        <v>0</v>
      </c>
      <c r="E14" s="1">
        <v>9505203888</v>
      </c>
      <c r="F14" s="1">
        <v>1</v>
      </c>
      <c r="G14" s="1" t="s">
        <v>76</v>
      </c>
      <c r="H14" s="1">
        <v>6</v>
      </c>
      <c r="I14" s="1">
        <v>4</v>
      </c>
      <c r="J14" s="1">
        <v>0</v>
      </c>
      <c r="K14" s="1">
        <v>0.25</v>
      </c>
      <c r="L14" s="1">
        <v>68</v>
      </c>
      <c r="M14" s="1">
        <v>1</v>
      </c>
      <c r="N14" s="1">
        <v>2</v>
      </c>
      <c r="O14" s="1">
        <v>32</v>
      </c>
      <c r="P14" s="13">
        <v>0</v>
      </c>
      <c r="Q14" s="13">
        <v>35</v>
      </c>
      <c r="R14" s="14"/>
      <c r="S14" s="4"/>
      <c r="T14" s="4">
        <f t="shared" si="0"/>
        <v>0</v>
      </c>
      <c r="U14" s="1">
        <v>1</v>
      </c>
      <c r="V14" s="1" t="s">
        <v>54</v>
      </c>
      <c r="W14" s="1">
        <v>1</v>
      </c>
    </row>
    <row r="15" spans="1:24" ht="14.25" customHeight="1" x14ac:dyDescent="0.3">
      <c r="A15" s="1">
        <v>14</v>
      </c>
      <c r="B15" s="1" t="s">
        <v>78</v>
      </c>
      <c r="C15" s="1">
        <v>47</v>
      </c>
      <c r="D15" s="1">
        <v>0</v>
      </c>
      <c r="E15" s="1">
        <v>9460345616</v>
      </c>
      <c r="F15" s="1">
        <v>1</v>
      </c>
      <c r="G15" s="1" t="s">
        <v>53</v>
      </c>
      <c r="H15" s="1">
        <v>2</v>
      </c>
      <c r="I15" s="1">
        <v>4</v>
      </c>
      <c r="J15" s="1">
        <v>0</v>
      </c>
      <c r="K15" s="1">
        <v>0.75</v>
      </c>
      <c r="L15" s="1">
        <v>15</v>
      </c>
      <c r="M15" s="1">
        <v>0</v>
      </c>
      <c r="N15" s="1">
        <v>2</v>
      </c>
      <c r="O15" s="1">
        <v>100</v>
      </c>
      <c r="P15" s="13">
        <v>1</v>
      </c>
      <c r="Q15" s="13">
        <v>35</v>
      </c>
      <c r="R15" s="14">
        <v>25</v>
      </c>
      <c r="S15" s="4"/>
      <c r="T15" s="4">
        <f t="shared" si="0"/>
        <v>175000</v>
      </c>
      <c r="U15" s="1">
        <v>1</v>
      </c>
      <c r="V15" s="1" t="s">
        <v>54</v>
      </c>
      <c r="W15" s="1">
        <v>0</v>
      </c>
    </row>
    <row r="16" spans="1:24" ht="14.25" customHeight="1" x14ac:dyDescent="0.3">
      <c r="A16" s="1">
        <v>15</v>
      </c>
      <c r="B16" s="1" t="s">
        <v>79</v>
      </c>
      <c r="C16" s="1">
        <v>65</v>
      </c>
      <c r="D16" s="1">
        <v>0</v>
      </c>
      <c r="F16" s="1">
        <v>1</v>
      </c>
      <c r="G16" s="1" t="s">
        <v>53</v>
      </c>
      <c r="H16" s="1">
        <v>2</v>
      </c>
      <c r="I16" s="1">
        <v>6</v>
      </c>
      <c r="J16" s="1">
        <v>0</v>
      </c>
      <c r="K16" s="1">
        <v>1</v>
      </c>
      <c r="L16" s="7">
        <v>44</v>
      </c>
      <c r="M16" s="1">
        <v>0</v>
      </c>
      <c r="N16" s="1">
        <v>2</v>
      </c>
      <c r="O16" s="1">
        <v>40</v>
      </c>
      <c r="P16" s="15">
        <v>1</v>
      </c>
      <c r="Q16" s="13">
        <v>36</v>
      </c>
      <c r="R16" s="14">
        <v>30</v>
      </c>
      <c r="S16" s="4"/>
      <c r="T16" s="4">
        <f t="shared" si="0"/>
        <v>86400</v>
      </c>
      <c r="U16" s="1">
        <v>1</v>
      </c>
      <c r="V16" s="1" t="s">
        <v>54</v>
      </c>
      <c r="W16" s="1">
        <v>1</v>
      </c>
    </row>
    <row r="17" spans="1:24" ht="14.25" customHeight="1" x14ac:dyDescent="0.3">
      <c r="A17" s="1">
        <v>16</v>
      </c>
      <c r="B17" s="1" t="s">
        <v>80</v>
      </c>
      <c r="C17" s="1">
        <v>60</v>
      </c>
      <c r="D17" s="1">
        <v>0</v>
      </c>
      <c r="E17" s="1">
        <v>9482012596</v>
      </c>
      <c r="G17" s="1" t="s">
        <v>62</v>
      </c>
      <c r="H17" s="1">
        <v>2</v>
      </c>
      <c r="I17" s="1">
        <v>5</v>
      </c>
      <c r="J17" s="1">
        <v>0</v>
      </c>
      <c r="K17" s="1">
        <v>0.8</v>
      </c>
      <c r="L17" s="1">
        <v>12</v>
      </c>
      <c r="M17" s="1">
        <v>0</v>
      </c>
      <c r="N17" s="1">
        <v>2</v>
      </c>
      <c r="O17" s="1">
        <v>110</v>
      </c>
      <c r="P17" s="13">
        <v>1</v>
      </c>
      <c r="Q17" s="13">
        <v>34</v>
      </c>
      <c r="R17" s="14">
        <v>25</v>
      </c>
      <c r="S17" s="4"/>
      <c r="T17" s="4">
        <f t="shared" si="0"/>
        <v>187000</v>
      </c>
      <c r="U17" s="1">
        <v>1</v>
      </c>
      <c r="V17" s="1" t="s">
        <v>81</v>
      </c>
      <c r="W17" s="1">
        <v>1</v>
      </c>
    </row>
    <row r="18" spans="1:24" ht="14.25" customHeight="1" x14ac:dyDescent="0.3">
      <c r="A18" s="1">
        <v>17</v>
      </c>
      <c r="B18" s="1" t="s">
        <v>82</v>
      </c>
      <c r="C18" s="1">
        <v>45</v>
      </c>
      <c r="D18" s="1">
        <v>0</v>
      </c>
      <c r="E18" s="1">
        <v>9369471664</v>
      </c>
      <c r="F18" s="1">
        <v>1</v>
      </c>
      <c r="G18" s="1" t="s">
        <v>62</v>
      </c>
      <c r="H18" s="1">
        <v>5</v>
      </c>
      <c r="I18" s="1">
        <v>5</v>
      </c>
      <c r="J18" s="1">
        <v>0</v>
      </c>
      <c r="K18" s="1">
        <v>0.4</v>
      </c>
      <c r="L18" s="1">
        <v>5</v>
      </c>
      <c r="M18" s="1">
        <v>0</v>
      </c>
      <c r="N18" s="1">
        <v>2</v>
      </c>
      <c r="O18" s="1">
        <v>35</v>
      </c>
      <c r="P18" s="13">
        <v>1</v>
      </c>
      <c r="Q18" s="13">
        <v>37</v>
      </c>
      <c r="R18" s="14">
        <v>26</v>
      </c>
      <c r="S18" s="4"/>
      <c r="T18" s="4">
        <f t="shared" si="0"/>
        <v>67340</v>
      </c>
      <c r="U18" s="1">
        <v>1</v>
      </c>
      <c r="V18" s="1" t="s">
        <v>54</v>
      </c>
      <c r="W18" s="1">
        <v>0</v>
      </c>
    </row>
    <row r="19" spans="1:24" ht="14.25" customHeight="1" x14ac:dyDescent="0.3">
      <c r="A19" s="1">
        <v>18</v>
      </c>
      <c r="B19" s="1" t="s">
        <v>83</v>
      </c>
      <c r="D19" s="1">
        <v>1</v>
      </c>
      <c r="F19" s="1">
        <v>1</v>
      </c>
      <c r="H19" s="1">
        <v>2</v>
      </c>
      <c r="I19" s="1">
        <v>4</v>
      </c>
      <c r="J19" s="1">
        <v>0</v>
      </c>
      <c r="K19" s="1">
        <v>0.5</v>
      </c>
      <c r="N19" s="1">
        <v>2</v>
      </c>
      <c r="O19" s="1">
        <v>60</v>
      </c>
      <c r="P19" s="13">
        <v>1</v>
      </c>
      <c r="Q19" s="13">
        <v>35</v>
      </c>
      <c r="R19" s="14">
        <v>25</v>
      </c>
      <c r="S19" s="4"/>
      <c r="T19" s="4">
        <f t="shared" si="0"/>
        <v>105000</v>
      </c>
      <c r="U19" s="1">
        <v>1</v>
      </c>
      <c r="V19" s="1" t="s">
        <v>54</v>
      </c>
      <c r="W19" s="1">
        <v>0</v>
      </c>
    </row>
    <row r="20" spans="1:24" ht="14.25" customHeight="1" x14ac:dyDescent="0.3">
      <c r="A20" s="1">
        <v>19</v>
      </c>
      <c r="B20" s="1" t="s">
        <v>84</v>
      </c>
      <c r="C20" s="1">
        <v>23</v>
      </c>
      <c r="D20" s="1">
        <v>0</v>
      </c>
      <c r="E20" s="1">
        <v>9531724421</v>
      </c>
      <c r="F20" s="1">
        <v>0</v>
      </c>
      <c r="G20" s="1" t="s">
        <v>62</v>
      </c>
      <c r="H20" s="1">
        <v>6</v>
      </c>
      <c r="I20" s="1">
        <v>5</v>
      </c>
      <c r="J20" s="1">
        <v>0</v>
      </c>
      <c r="K20" s="1">
        <v>0.5</v>
      </c>
      <c r="L20" s="1">
        <v>15</v>
      </c>
      <c r="M20" s="1">
        <v>1</v>
      </c>
      <c r="N20" s="1">
        <v>2</v>
      </c>
      <c r="O20" s="1">
        <v>15</v>
      </c>
      <c r="P20" s="13">
        <v>1</v>
      </c>
      <c r="Q20" s="13">
        <v>30</v>
      </c>
      <c r="R20" s="14">
        <v>25</v>
      </c>
      <c r="S20" s="4"/>
      <c r="T20" s="4">
        <f t="shared" si="0"/>
        <v>22500</v>
      </c>
      <c r="U20" s="1">
        <v>1</v>
      </c>
      <c r="V20" s="1" t="s">
        <v>54</v>
      </c>
      <c r="W20" s="1">
        <v>0</v>
      </c>
    </row>
    <row r="21" spans="1:24" ht="14.25" customHeight="1" x14ac:dyDescent="0.3">
      <c r="A21" s="1">
        <v>20</v>
      </c>
      <c r="B21" s="1" t="s">
        <v>85</v>
      </c>
      <c r="C21" s="1">
        <v>49</v>
      </c>
      <c r="D21" s="1">
        <v>1</v>
      </c>
      <c r="E21" s="1">
        <v>9070480679</v>
      </c>
      <c r="F21" s="1">
        <v>1</v>
      </c>
      <c r="G21" s="1" t="s">
        <v>53</v>
      </c>
      <c r="H21" s="1">
        <v>2</v>
      </c>
      <c r="K21">
        <v>0.5</v>
      </c>
      <c r="N21" s="1">
        <v>2</v>
      </c>
      <c r="O21" s="1">
        <v>38</v>
      </c>
      <c r="P21" s="13">
        <v>0</v>
      </c>
      <c r="Q21" s="13"/>
      <c r="R21" s="14"/>
      <c r="S21" s="4"/>
      <c r="T21" s="4">
        <f t="shared" si="0"/>
        <v>0</v>
      </c>
      <c r="W21" s="1">
        <v>0</v>
      </c>
    </row>
    <row r="22" spans="1:24" ht="14.25" customHeight="1" x14ac:dyDescent="0.3">
      <c r="A22" s="1">
        <v>21</v>
      </c>
      <c r="B22" s="1" t="s">
        <v>87</v>
      </c>
      <c r="C22" s="1">
        <v>53</v>
      </c>
      <c r="D22" s="1">
        <v>0</v>
      </c>
      <c r="E22" s="1">
        <v>9108268739</v>
      </c>
      <c r="F22" s="1">
        <v>1</v>
      </c>
      <c r="G22" s="1" t="s">
        <v>53</v>
      </c>
      <c r="H22" s="1">
        <v>6</v>
      </c>
      <c r="J22" s="1">
        <v>0</v>
      </c>
      <c r="K22" s="1">
        <v>0.55000000000000004</v>
      </c>
      <c r="L22" s="1">
        <v>10</v>
      </c>
      <c r="N22" s="1">
        <v>2</v>
      </c>
      <c r="O22" s="1">
        <v>60</v>
      </c>
      <c r="P22" s="13">
        <v>1</v>
      </c>
      <c r="Q22" s="13">
        <v>40</v>
      </c>
      <c r="R22" s="14">
        <v>25</v>
      </c>
      <c r="S22" s="4"/>
      <c r="T22" s="4">
        <f t="shared" si="0"/>
        <v>120000</v>
      </c>
      <c r="W22" s="1">
        <v>0</v>
      </c>
    </row>
    <row r="23" spans="1:24" ht="14.25" customHeight="1" x14ac:dyDescent="0.3">
      <c r="A23" s="1">
        <v>22</v>
      </c>
      <c r="B23" s="1" t="s">
        <v>88</v>
      </c>
      <c r="C23" s="1">
        <v>72</v>
      </c>
      <c r="D23" s="1">
        <v>0</v>
      </c>
      <c r="F23" s="1">
        <v>72</v>
      </c>
      <c r="H23" s="1">
        <v>2</v>
      </c>
      <c r="K23" s="1">
        <v>0.5</v>
      </c>
      <c r="L23" s="1">
        <v>24</v>
      </c>
      <c r="N23" s="1">
        <v>2</v>
      </c>
      <c r="O23" s="1">
        <v>40</v>
      </c>
      <c r="P23" s="13">
        <v>1</v>
      </c>
      <c r="Q23" s="13">
        <v>36</v>
      </c>
      <c r="R23" s="14">
        <v>26</v>
      </c>
      <c r="S23" s="4"/>
      <c r="T23" s="4">
        <f t="shared" si="0"/>
        <v>74880</v>
      </c>
      <c r="U23" s="1">
        <v>1</v>
      </c>
      <c r="V23" s="1" t="s">
        <v>54</v>
      </c>
      <c r="W23" s="1">
        <v>0</v>
      </c>
    </row>
    <row r="24" spans="1:24" ht="14.25" customHeight="1" x14ac:dyDescent="0.3">
      <c r="A24" s="1">
        <v>23</v>
      </c>
      <c r="B24" s="1" t="s">
        <v>89</v>
      </c>
      <c r="C24" s="1">
        <v>57</v>
      </c>
      <c r="D24" s="1">
        <v>1</v>
      </c>
      <c r="F24" s="1">
        <v>3</v>
      </c>
      <c r="G24" s="1" t="s">
        <v>53</v>
      </c>
      <c r="H24" s="1">
        <v>2</v>
      </c>
      <c r="I24" s="1">
        <v>6</v>
      </c>
      <c r="J24" s="1">
        <v>1</v>
      </c>
      <c r="K24" s="1">
        <v>0.75</v>
      </c>
      <c r="L24" s="1">
        <v>13</v>
      </c>
      <c r="M24" s="1">
        <v>0</v>
      </c>
      <c r="N24" s="1">
        <v>2</v>
      </c>
      <c r="O24" s="1">
        <v>73</v>
      </c>
      <c r="P24" s="13">
        <v>1</v>
      </c>
      <c r="Q24" s="13">
        <v>38</v>
      </c>
      <c r="R24" s="14">
        <v>25</v>
      </c>
      <c r="S24" s="4"/>
      <c r="T24" s="4">
        <f t="shared" si="0"/>
        <v>138700</v>
      </c>
      <c r="U24" s="1">
        <v>1</v>
      </c>
      <c r="V24" s="1" t="s">
        <v>54</v>
      </c>
      <c r="W24" s="1">
        <v>1</v>
      </c>
      <c r="X24" s="1" t="s">
        <v>90</v>
      </c>
    </row>
    <row r="25" spans="1:24" ht="14.25" customHeight="1" x14ac:dyDescent="0.3">
      <c r="A25" s="1">
        <v>24</v>
      </c>
      <c r="B25" s="1" t="s">
        <v>91</v>
      </c>
      <c r="C25" s="1">
        <v>62</v>
      </c>
      <c r="D25" s="1">
        <v>0</v>
      </c>
      <c r="F25" s="1">
        <v>1</v>
      </c>
      <c r="G25" s="1" t="s">
        <v>53</v>
      </c>
      <c r="H25" s="1">
        <v>2</v>
      </c>
      <c r="K25" s="1">
        <v>0.53</v>
      </c>
      <c r="N25" s="1">
        <v>2</v>
      </c>
      <c r="O25" s="1">
        <v>70</v>
      </c>
      <c r="P25" s="13">
        <v>1</v>
      </c>
      <c r="Q25" s="13">
        <v>35</v>
      </c>
      <c r="R25" s="14">
        <v>25</v>
      </c>
      <c r="S25" s="4"/>
      <c r="T25" s="4">
        <f t="shared" si="0"/>
        <v>122500</v>
      </c>
      <c r="U25" s="1">
        <v>1</v>
      </c>
      <c r="V25" s="1" t="s">
        <v>54</v>
      </c>
      <c r="W25" s="1">
        <v>0</v>
      </c>
    </row>
    <row r="26" spans="1:24" ht="14.25" customHeight="1" x14ac:dyDescent="0.3">
      <c r="A26" s="1">
        <v>25</v>
      </c>
      <c r="B26" s="1" t="s">
        <v>92</v>
      </c>
      <c r="C26" s="1">
        <v>76</v>
      </c>
      <c r="D26" s="1">
        <v>1</v>
      </c>
      <c r="E26" s="1">
        <v>9466948071</v>
      </c>
      <c r="F26" s="1">
        <v>3</v>
      </c>
      <c r="G26" s="1" t="s">
        <v>53</v>
      </c>
      <c r="H26" s="1">
        <v>2</v>
      </c>
      <c r="I26" s="1">
        <v>1</v>
      </c>
      <c r="J26" s="1">
        <v>1</v>
      </c>
      <c r="K26" s="1">
        <v>0.33</v>
      </c>
      <c r="L26" s="1">
        <v>54</v>
      </c>
      <c r="M26" s="1">
        <v>0</v>
      </c>
      <c r="N26" s="1">
        <v>2</v>
      </c>
      <c r="O26" s="1">
        <v>50</v>
      </c>
      <c r="P26" s="13">
        <v>0</v>
      </c>
      <c r="Q26" s="13">
        <v>30</v>
      </c>
      <c r="R26" s="14"/>
      <c r="S26" s="4"/>
      <c r="T26" s="4">
        <f t="shared" si="0"/>
        <v>0</v>
      </c>
      <c r="U26" s="1">
        <v>1</v>
      </c>
      <c r="V26" s="1" t="s">
        <v>54</v>
      </c>
      <c r="W26" s="1">
        <v>0</v>
      </c>
    </row>
    <row r="27" spans="1:24" ht="14.25" customHeight="1" x14ac:dyDescent="0.3">
      <c r="A27" s="1">
        <v>26</v>
      </c>
      <c r="B27" s="1" t="s">
        <v>93</v>
      </c>
      <c r="C27" s="1">
        <v>64</v>
      </c>
      <c r="D27" s="1">
        <v>1</v>
      </c>
      <c r="E27" s="1">
        <v>9069271493</v>
      </c>
      <c r="F27" s="1">
        <v>1</v>
      </c>
      <c r="G27" s="1" t="s">
        <v>62</v>
      </c>
      <c r="H27" s="1">
        <v>1</v>
      </c>
      <c r="K27" s="1">
        <v>0.5</v>
      </c>
      <c r="N27" s="1">
        <v>2</v>
      </c>
      <c r="O27" s="1">
        <v>30</v>
      </c>
      <c r="P27" s="13"/>
      <c r="Q27" s="13"/>
      <c r="R27" s="14"/>
      <c r="S27" s="4"/>
      <c r="T27" s="4">
        <f t="shared" si="0"/>
        <v>0</v>
      </c>
      <c r="U27" s="1">
        <v>1</v>
      </c>
      <c r="V27" s="1" t="s">
        <v>54</v>
      </c>
      <c r="W27" s="1">
        <v>0</v>
      </c>
    </row>
    <row r="28" spans="1:24" ht="14.25" customHeight="1" x14ac:dyDescent="0.3">
      <c r="A28" s="1">
        <v>27</v>
      </c>
      <c r="B28" s="1" t="s">
        <v>107</v>
      </c>
      <c r="C28" s="1">
        <v>37</v>
      </c>
      <c r="D28" s="1">
        <v>0</v>
      </c>
      <c r="E28" s="1">
        <v>9125776440</v>
      </c>
      <c r="F28" s="1">
        <v>1</v>
      </c>
      <c r="G28" s="1" t="s">
        <v>108</v>
      </c>
      <c r="H28" s="1">
        <v>8</v>
      </c>
      <c r="I28" s="1">
        <v>6</v>
      </c>
      <c r="J28" s="1">
        <v>0</v>
      </c>
      <c r="K28" s="1">
        <v>0.2</v>
      </c>
      <c r="L28" s="1">
        <v>3</v>
      </c>
      <c r="M28" s="1">
        <v>0</v>
      </c>
      <c r="N28" s="1">
        <v>2</v>
      </c>
      <c r="O28" s="1">
        <v>15</v>
      </c>
      <c r="P28" s="13"/>
      <c r="Q28" s="13"/>
      <c r="R28" s="16"/>
      <c r="S28" s="4">
        <v>750</v>
      </c>
      <c r="T28" s="5">
        <f>S28*O27*N27</f>
        <v>45000</v>
      </c>
      <c r="U28" s="1">
        <v>0</v>
      </c>
      <c r="W28" s="1">
        <v>0</v>
      </c>
    </row>
    <row r="29" spans="1:24" ht="14.25" customHeight="1" x14ac:dyDescent="0.3">
      <c r="A29" s="1">
        <v>28</v>
      </c>
      <c r="B29" s="1" t="s">
        <v>109</v>
      </c>
      <c r="C29" s="1">
        <v>65</v>
      </c>
      <c r="D29" s="1">
        <v>0</v>
      </c>
      <c r="F29" s="1">
        <v>1</v>
      </c>
      <c r="G29" s="1" t="s">
        <v>110</v>
      </c>
      <c r="H29" s="1">
        <v>4</v>
      </c>
      <c r="I29" s="1">
        <v>4</v>
      </c>
      <c r="J29" s="1">
        <v>0</v>
      </c>
      <c r="K29" s="1">
        <v>3</v>
      </c>
      <c r="L29" s="1">
        <v>30</v>
      </c>
      <c r="M29" s="1">
        <v>1</v>
      </c>
      <c r="N29" s="1">
        <v>2</v>
      </c>
      <c r="O29" s="1">
        <v>400</v>
      </c>
      <c r="P29" s="13"/>
      <c r="Q29" s="13"/>
      <c r="R29" s="16"/>
      <c r="S29" s="4">
        <v>1020</v>
      </c>
      <c r="T29" s="5">
        <f t="shared" ref="T29:T46" si="1">S29*O28*N28</f>
        <v>30600</v>
      </c>
      <c r="U29" s="1">
        <v>1</v>
      </c>
      <c r="V29" s="1" t="s">
        <v>111</v>
      </c>
      <c r="W29" s="1">
        <v>0</v>
      </c>
    </row>
    <row r="30" spans="1:24" ht="14.25" customHeight="1" x14ac:dyDescent="0.3">
      <c r="A30" s="1">
        <v>29</v>
      </c>
      <c r="B30" s="1" t="s">
        <v>112</v>
      </c>
      <c r="C30" s="1">
        <v>68</v>
      </c>
      <c r="D30" s="1">
        <v>1</v>
      </c>
      <c r="E30" s="1">
        <v>9070892214</v>
      </c>
      <c r="F30" s="1">
        <v>3</v>
      </c>
      <c r="G30" s="1" t="s">
        <v>113</v>
      </c>
      <c r="H30" s="1">
        <v>1</v>
      </c>
      <c r="I30" s="1">
        <v>3</v>
      </c>
      <c r="J30" s="1">
        <v>1</v>
      </c>
      <c r="K30" s="1">
        <v>0.5</v>
      </c>
      <c r="L30" s="1">
        <v>20</v>
      </c>
      <c r="M30" s="1">
        <v>0</v>
      </c>
      <c r="N30" s="1">
        <v>2</v>
      </c>
      <c r="O30" s="1">
        <v>40</v>
      </c>
      <c r="P30" s="13"/>
      <c r="Q30" s="13"/>
      <c r="R30" s="16"/>
      <c r="S30" s="4">
        <v>750</v>
      </c>
      <c r="T30" s="5">
        <f t="shared" si="1"/>
        <v>600000</v>
      </c>
      <c r="U30" s="1">
        <v>1</v>
      </c>
      <c r="V30" s="1" t="s">
        <v>111</v>
      </c>
      <c r="W30" s="1">
        <v>1</v>
      </c>
    </row>
    <row r="31" spans="1:24" ht="14.25" customHeight="1" x14ac:dyDescent="0.3">
      <c r="A31" s="1">
        <v>30</v>
      </c>
      <c r="B31" s="1" t="s">
        <v>114</v>
      </c>
      <c r="C31" s="1">
        <v>67</v>
      </c>
      <c r="D31" s="1">
        <v>1</v>
      </c>
      <c r="E31" s="1">
        <v>9468103097</v>
      </c>
      <c r="F31" s="1">
        <v>1</v>
      </c>
      <c r="G31" s="1" t="s">
        <v>113</v>
      </c>
      <c r="H31" s="1">
        <v>1</v>
      </c>
      <c r="I31" s="1">
        <v>2</v>
      </c>
      <c r="J31" s="1">
        <v>1</v>
      </c>
      <c r="K31" s="1">
        <v>35</v>
      </c>
      <c r="L31" s="1">
        <v>2</v>
      </c>
      <c r="M31" s="1">
        <v>0</v>
      </c>
      <c r="N31" s="1">
        <v>2</v>
      </c>
      <c r="O31" s="1">
        <v>70</v>
      </c>
      <c r="P31" s="13"/>
      <c r="Q31" s="13"/>
      <c r="R31" s="16"/>
      <c r="S31" s="4">
        <v>750</v>
      </c>
      <c r="T31" s="5">
        <f t="shared" si="1"/>
        <v>60000</v>
      </c>
      <c r="U31" s="1">
        <v>1</v>
      </c>
      <c r="V31" s="1" t="s">
        <v>111</v>
      </c>
      <c r="W31" s="1">
        <v>1</v>
      </c>
    </row>
    <row r="32" spans="1:24" ht="14.25" customHeight="1" x14ac:dyDescent="0.3">
      <c r="A32" s="1">
        <v>31</v>
      </c>
      <c r="B32" s="1" t="s">
        <v>115</v>
      </c>
      <c r="C32" s="1">
        <v>68</v>
      </c>
      <c r="D32" s="1">
        <v>1</v>
      </c>
      <c r="E32" s="6"/>
      <c r="F32" s="1">
        <v>1</v>
      </c>
      <c r="G32" s="1" t="s">
        <v>108</v>
      </c>
      <c r="H32" s="1">
        <v>2</v>
      </c>
      <c r="I32" s="1">
        <v>8</v>
      </c>
      <c r="J32" s="1">
        <v>1</v>
      </c>
      <c r="K32" s="1">
        <v>0.25</v>
      </c>
      <c r="L32" s="1">
        <v>11</v>
      </c>
      <c r="M32" s="1">
        <v>0</v>
      </c>
      <c r="N32" s="1">
        <v>2</v>
      </c>
      <c r="O32" s="1">
        <v>40</v>
      </c>
      <c r="P32" s="13"/>
      <c r="Q32" s="13"/>
      <c r="R32" s="16"/>
      <c r="S32" s="4">
        <v>750</v>
      </c>
      <c r="T32" s="5">
        <f t="shared" si="1"/>
        <v>105000</v>
      </c>
      <c r="U32" s="1">
        <v>1</v>
      </c>
      <c r="V32" s="1" t="s">
        <v>111</v>
      </c>
      <c r="W32" s="1">
        <v>1</v>
      </c>
    </row>
    <row r="33" spans="1:23" ht="14.25" customHeight="1" x14ac:dyDescent="0.3">
      <c r="A33" s="1">
        <v>32</v>
      </c>
      <c r="B33" s="1" t="s">
        <v>116</v>
      </c>
      <c r="C33" s="1">
        <v>65</v>
      </c>
      <c r="D33" s="1">
        <v>0</v>
      </c>
      <c r="F33" s="1">
        <v>1</v>
      </c>
      <c r="G33" s="1" t="s">
        <v>108</v>
      </c>
      <c r="H33" s="1">
        <v>0</v>
      </c>
      <c r="I33" s="1">
        <v>7</v>
      </c>
      <c r="J33" s="1">
        <v>1</v>
      </c>
      <c r="K33" s="1">
        <v>0.5</v>
      </c>
      <c r="L33" s="1">
        <v>15</v>
      </c>
      <c r="M33" s="1">
        <v>0</v>
      </c>
      <c r="N33" s="1">
        <v>2</v>
      </c>
      <c r="O33" s="1">
        <v>20</v>
      </c>
      <c r="P33" s="13"/>
      <c r="Q33" s="13"/>
      <c r="R33" s="16"/>
      <c r="S33" s="4">
        <v>750</v>
      </c>
      <c r="T33" s="5">
        <f t="shared" si="1"/>
        <v>60000</v>
      </c>
      <c r="U33" s="1">
        <v>1</v>
      </c>
      <c r="V33" s="1" t="s">
        <v>111</v>
      </c>
      <c r="W33" s="1">
        <v>0</v>
      </c>
    </row>
    <row r="34" spans="1:23" ht="14.25" customHeight="1" x14ac:dyDescent="0.3">
      <c r="A34" s="1">
        <v>33</v>
      </c>
      <c r="B34" s="1" t="s">
        <v>117</v>
      </c>
      <c r="C34" s="1">
        <v>28</v>
      </c>
      <c r="D34" s="1">
        <v>0</v>
      </c>
      <c r="E34" s="6">
        <v>9518228519</v>
      </c>
      <c r="F34" s="1">
        <v>0</v>
      </c>
      <c r="G34" s="1" t="s">
        <v>113</v>
      </c>
      <c r="H34" s="1">
        <v>4</v>
      </c>
      <c r="I34" s="1">
        <v>4</v>
      </c>
      <c r="J34" s="1">
        <v>0</v>
      </c>
      <c r="K34" s="1">
        <v>0.15</v>
      </c>
      <c r="L34" s="1">
        <v>3</v>
      </c>
      <c r="M34" s="1">
        <v>1</v>
      </c>
      <c r="N34" s="1">
        <v>2</v>
      </c>
      <c r="O34" s="1">
        <v>20</v>
      </c>
      <c r="P34" s="13"/>
      <c r="Q34" s="13"/>
      <c r="R34" s="16"/>
      <c r="S34" s="4">
        <v>750</v>
      </c>
      <c r="T34" s="5">
        <f t="shared" si="1"/>
        <v>30000</v>
      </c>
      <c r="U34" s="1">
        <v>1</v>
      </c>
      <c r="V34" s="1" t="s">
        <v>118</v>
      </c>
      <c r="W34" s="1">
        <v>1</v>
      </c>
    </row>
    <row r="35" spans="1:23" ht="14.25" customHeight="1" x14ac:dyDescent="0.3">
      <c r="A35" s="1">
        <v>34</v>
      </c>
      <c r="B35" s="1" t="s">
        <v>120</v>
      </c>
      <c r="C35" s="1">
        <v>59</v>
      </c>
      <c r="D35" s="1">
        <v>1</v>
      </c>
      <c r="F35" s="1">
        <v>1</v>
      </c>
      <c r="G35" s="1" t="s">
        <v>113</v>
      </c>
      <c r="H35" s="1">
        <v>2</v>
      </c>
      <c r="I35" s="1">
        <v>4</v>
      </c>
      <c r="J35" s="1">
        <v>0</v>
      </c>
      <c r="K35" s="1">
        <v>1.5</v>
      </c>
      <c r="L35" s="1">
        <v>20</v>
      </c>
      <c r="M35" s="1">
        <v>1</v>
      </c>
      <c r="N35" s="1">
        <v>2</v>
      </c>
      <c r="O35" s="1">
        <v>100</v>
      </c>
      <c r="P35" s="13"/>
      <c r="Q35" s="13"/>
      <c r="R35" s="16"/>
      <c r="S35" s="4">
        <v>750</v>
      </c>
      <c r="T35" s="5">
        <f t="shared" si="1"/>
        <v>30000</v>
      </c>
      <c r="U35" s="1">
        <v>1</v>
      </c>
      <c r="V35" s="1" t="s">
        <v>111</v>
      </c>
      <c r="W35" s="1">
        <v>1</v>
      </c>
    </row>
    <row r="36" spans="1:23" ht="14.25" customHeight="1" x14ac:dyDescent="0.3">
      <c r="A36" s="1">
        <v>35</v>
      </c>
      <c r="B36" s="1" t="s">
        <v>121</v>
      </c>
      <c r="C36" s="1">
        <v>74</v>
      </c>
      <c r="D36" s="1">
        <v>1</v>
      </c>
      <c r="E36" s="1">
        <v>9070364440</v>
      </c>
      <c r="F36" s="1">
        <v>3</v>
      </c>
      <c r="G36" s="1" t="s">
        <v>113</v>
      </c>
      <c r="H36" s="1">
        <v>1</v>
      </c>
      <c r="I36" s="1">
        <v>3</v>
      </c>
      <c r="J36" s="1">
        <v>1</v>
      </c>
      <c r="K36" s="1">
        <v>0.25</v>
      </c>
      <c r="L36" s="1">
        <v>7</v>
      </c>
      <c r="M36" s="1">
        <v>0</v>
      </c>
      <c r="N36" s="1">
        <v>2</v>
      </c>
      <c r="O36" s="1">
        <v>30</v>
      </c>
      <c r="P36" s="13"/>
      <c r="Q36" s="13"/>
      <c r="R36" s="16"/>
      <c r="S36" s="4">
        <v>750</v>
      </c>
      <c r="T36" s="5">
        <f t="shared" si="1"/>
        <v>150000</v>
      </c>
      <c r="U36" s="1">
        <v>1</v>
      </c>
      <c r="V36" s="1" t="s">
        <v>111</v>
      </c>
      <c r="W36" s="1">
        <v>0</v>
      </c>
    </row>
    <row r="37" spans="1:23" ht="14.25" customHeight="1" x14ac:dyDescent="0.3">
      <c r="A37" s="1">
        <v>36</v>
      </c>
      <c r="B37" s="1" t="s">
        <v>122</v>
      </c>
      <c r="C37" s="1">
        <v>67</v>
      </c>
      <c r="D37" s="1">
        <v>1</v>
      </c>
      <c r="E37" s="1">
        <v>9945791275</v>
      </c>
      <c r="F37" s="1">
        <v>1</v>
      </c>
      <c r="G37" s="1" t="s">
        <v>108</v>
      </c>
      <c r="H37" s="1">
        <v>1</v>
      </c>
      <c r="I37" s="1">
        <v>3</v>
      </c>
      <c r="J37" s="1">
        <v>1</v>
      </c>
      <c r="K37" s="1">
        <v>3</v>
      </c>
      <c r="L37" s="1">
        <v>45</v>
      </c>
      <c r="M37" s="1">
        <v>0</v>
      </c>
      <c r="N37" s="1">
        <v>2</v>
      </c>
      <c r="O37" s="1">
        <v>40</v>
      </c>
      <c r="P37" s="13"/>
      <c r="Q37" s="13"/>
      <c r="R37" s="16"/>
      <c r="S37" s="4">
        <v>600</v>
      </c>
      <c r="T37" s="5">
        <f t="shared" si="1"/>
        <v>36000</v>
      </c>
      <c r="U37" s="1">
        <v>1</v>
      </c>
      <c r="V37" s="1" t="s">
        <v>123</v>
      </c>
      <c r="W37" s="1">
        <v>0</v>
      </c>
    </row>
    <row r="38" spans="1:23" ht="14.25" customHeight="1" x14ac:dyDescent="0.3">
      <c r="A38" s="1">
        <v>37</v>
      </c>
      <c r="B38" s="1" t="s">
        <v>124</v>
      </c>
      <c r="C38" s="1">
        <v>61</v>
      </c>
      <c r="D38" s="1">
        <v>1</v>
      </c>
      <c r="E38" s="1">
        <v>9462900391</v>
      </c>
      <c r="F38" s="1">
        <v>1</v>
      </c>
      <c r="G38" s="1" t="s">
        <v>108</v>
      </c>
      <c r="H38" s="1">
        <v>2</v>
      </c>
      <c r="I38" s="1">
        <v>5</v>
      </c>
      <c r="J38" s="1">
        <v>0</v>
      </c>
      <c r="K38" s="1">
        <v>1</v>
      </c>
      <c r="L38" s="1">
        <v>40</v>
      </c>
      <c r="M38" s="1">
        <v>0</v>
      </c>
      <c r="N38" s="1">
        <v>2</v>
      </c>
      <c r="O38" s="1">
        <v>60</v>
      </c>
      <c r="P38" s="13"/>
      <c r="Q38" s="13"/>
      <c r="R38" s="16"/>
      <c r="S38" s="4">
        <v>600</v>
      </c>
      <c r="T38" s="5">
        <f t="shared" si="1"/>
        <v>48000</v>
      </c>
      <c r="U38" s="1">
        <v>1</v>
      </c>
      <c r="V38" s="1" t="s">
        <v>123</v>
      </c>
      <c r="W38" s="1">
        <v>1</v>
      </c>
    </row>
    <row r="39" spans="1:23" ht="14.25" customHeight="1" x14ac:dyDescent="0.3">
      <c r="A39" s="1">
        <v>38</v>
      </c>
      <c r="B39" s="1" t="s">
        <v>125</v>
      </c>
      <c r="C39" s="1">
        <v>58</v>
      </c>
      <c r="D39" s="1">
        <v>1</v>
      </c>
      <c r="E39" s="1">
        <v>9974570133</v>
      </c>
      <c r="F39" s="1">
        <v>1</v>
      </c>
      <c r="G39" s="1" t="s">
        <v>108</v>
      </c>
      <c r="H39" s="1">
        <v>3</v>
      </c>
      <c r="I39" s="1">
        <v>9</v>
      </c>
      <c r="J39" s="1">
        <v>0</v>
      </c>
      <c r="K39" s="1">
        <v>1</v>
      </c>
      <c r="L39" s="1">
        <v>36</v>
      </c>
      <c r="M39" s="1">
        <v>1</v>
      </c>
      <c r="N39" s="1">
        <v>2</v>
      </c>
      <c r="O39" s="1">
        <v>50</v>
      </c>
      <c r="P39" s="13"/>
      <c r="Q39" s="13"/>
      <c r="R39" s="16"/>
      <c r="S39" s="4">
        <v>750</v>
      </c>
      <c r="T39" s="5">
        <f t="shared" si="1"/>
        <v>90000</v>
      </c>
      <c r="U39" s="1">
        <v>0</v>
      </c>
      <c r="W39" s="1">
        <v>0</v>
      </c>
    </row>
    <row r="40" spans="1:23" ht="14.25" customHeight="1" x14ac:dyDescent="0.3">
      <c r="A40" s="1">
        <v>39</v>
      </c>
      <c r="B40" s="1" t="s">
        <v>126</v>
      </c>
      <c r="C40" s="1">
        <v>66</v>
      </c>
      <c r="D40" s="1">
        <v>1</v>
      </c>
      <c r="E40" s="1">
        <v>9207249530</v>
      </c>
      <c r="F40" s="1">
        <v>1</v>
      </c>
      <c r="G40" s="1" t="s">
        <v>113</v>
      </c>
      <c r="H40" s="1">
        <v>1</v>
      </c>
      <c r="I40" s="1">
        <v>2</v>
      </c>
      <c r="J40" s="1">
        <v>0</v>
      </c>
      <c r="K40" s="1">
        <v>0.3</v>
      </c>
      <c r="L40" s="1">
        <v>30</v>
      </c>
      <c r="M40" s="1">
        <v>0</v>
      </c>
      <c r="N40" s="1">
        <v>2</v>
      </c>
      <c r="O40" s="1">
        <v>35</v>
      </c>
      <c r="P40" s="13"/>
      <c r="Q40" s="13"/>
      <c r="R40" s="16"/>
      <c r="S40" s="4">
        <v>750</v>
      </c>
      <c r="T40" s="5">
        <f t="shared" si="1"/>
        <v>75000</v>
      </c>
      <c r="U40" s="1">
        <v>0</v>
      </c>
      <c r="W40" s="1">
        <v>0</v>
      </c>
    </row>
    <row r="41" spans="1:23" ht="14.25" customHeight="1" x14ac:dyDescent="0.3">
      <c r="A41" s="1">
        <v>40</v>
      </c>
      <c r="B41" s="1" t="s">
        <v>127</v>
      </c>
      <c r="C41" s="1">
        <v>35</v>
      </c>
      <c r="D41" s="1">
        <v>0</v>
      </c>
      <c r="E41" s="1">
        <v>9638523787</v>
      </c>
      <c r="F41" s="1">
        <v>0</v>
      </c>
      <c r="G41" s="1" t="s">
        <v>128</v>
      </c>
      <c r="H41" s="1">
        <v>3</v>
      </c>
      <c r="I41" s="1">
        <v>5</v>
      </c>
      <c r="J41" s="1">
        <v>1</v>
      </c>
      <c r="K41" s="1">
        <v>1.5</v>
      </c>
      <c r="L41" s="1">
        <v>5</v>
      </c>
      <c r="M41" s="1">
        <v>0</v>
      </c>
      <c r="N41" s="1">
        <v>2</v>
      </c>
      <c r="O41" s="1">
        <v>110</v>
      </c>
      <c r="P41" s="13"/>
      <c r="Q41" s="13"/>
      <c r="R41" s="16"/>
      <c r="S41" s="4">
        <v>800</v>
      </c>
      <c r="T41" s="5">
        <f t="shared" si="1"/>
        <v>56000</v>
      </c>
      <c r="U41" s="1">
        <v>0</v>
      </c>
      <c r="W41" s="1">
        <v>1</v>
      </c>
    </row>
    <row r="42" spans="1:23" ht="14.25" customHeight="1" x14ac:dyDescent="0.3">
      <c r="A42" s="1">
        <v>41</v>
      </c>
      <c r="B42" s="1" t="s">
        <v>129</v>
      </c>
      <c r="C42" s="1">
        <v>55</v>
      </c>
      <c r="D42" s="1">
        <v>0</v>
      </c>
      <c r="E42" s="1">
        <v>9487297050</v>
      </c>
      <c r="F42" s="1">
        <v>1</v>
      </c>
      <c r="G42" s="1" t="s">
        <v>108</v>
      </c>
      <c r="H42" s="1">
        <v>6</v>
      </c>
      <c r="I42" s="1">
        <v>2</v>
      </c>
      <c r="J42" s="1">
        <v>1</v>
      </c>
      <c r="K42" s="1">
        <v>0.5</v>
      </c>
      <c r="L42" s="7">
        <v>20</v>
      </c>
      <c r="M42" s="1">
        <v>1</v>
      </c>
      <c r="N42" s="1">
        <v>2</v>
      </c>
      <c r="O42" s="1">
        <v>50</v>
      </c>
      <c r="P42" s="13"/>
      <c r="Q42" s="13"/>
      <c r="R42" s="16"/>
      <c r="S42" s="4">
        <v>750</v>
      </c>
      <c r="T42" s="5">
        <f t="shared" si="1"/>
        <v>165000</v>
      </c>
      <c r="U42" s="1">
        <v>1</v>
      </c>
      <c r="V42" s="1" t="s">
        <v>123</v>
      </c>
      <c r="W42" s="1">
        <v>1</v>
      </c>
    </row>
    <row r="43" spans="1:23" ht="14.25" customHeight="1" x14ac:dyDescent="0.3">
      <c r="A43" s="1">
        <v>42</v>
      </c>
      <c r="B43" s="1" t="s">
        <v>130</v>
      </c>
      <c r="C43" s="1">
        <v>72</v>
      </c>
      <c r="D43" s="1">
        <v>1</v>
      </c>
      <c r="F43" s="1">
        <v>3</v>
      </c>
      <c r="G43" s="1" t="s">
        <v>110</v>
      </c>
      <c r="H43" s="1">
        <v>1</v>
      </c>
      <c r="I43" s="1">
        <v>2</v>
      </c>
      <c r="J43" s="1">
        <v>1</v>
      </c>
      <c r="K43" s="1">
        <v>2</v>
      </c>
      <c r="L43" s="1">
        <v>30</v>
      </c>
      <c r="M43" s="1">
        <v>0</v>
      </c>
      <c r="N43" s="1">
        <v>2</v>
      </c>
      <c r="O43" s="1">
        <v>100</v>
      </c>
      <c r="P43" s="13"/>
      <c r="Q43" s="13"/>
      <c r="R43" s="16"/>
      <c r="S43" s="4">
        <v>750</v>
      </c>
      <c r="T43" s="5">
        <f t="shared" si="1"/>
        <v>75000</v>
      </c>
      <c r="U43" s="1">
        <v>1</v>
      </c>
      <c r="V43" s="1" t="s">
        <v>111</v>
      </c>
      <c r="W43" s="1">
        <v>1</v>
      </c>
    </row>
    <row r="44" spans="1:23" ht="14.25" customHeight="1" x14ac:dyDescent="0.3">
      <c r="A44" s="1">
        <v>43</v>
      </c>
      <c r="B44" s="1" t="s">
        <v>131</v>
      </c>
      <c r="C44" s="1">
        <v>51</v>
      </c>
      <c r="D44" s="1">
        <v>1</v>
      </c>
      <c r="E44" s="1">
        <v>9987279500</v>
      </c>
      <c r="F44" s="1">
        <v>1</v>
      </c>
      <c r="G44" s="1" t="s">
        <v>113</v>
      </c>
      <c r="H44" s="1">
        <v>6</v>
      </c>
      <c r="I44" s="1">
        <v>4</v>
      </c>
      <c r="J44" s="1">
        <v>1</v>
      </c>
      <c r="K44" s="1">
        <v>0.25</v>
      </c>
      <c r="L44" s="1">
        <v>13</v>
      </c>
      <c r="M44" s="1">
        <v>1</v>
      </c>
      <c r="N44" s="1">
        <v>2</v>
      </c>
      <c r="O44" s="1">
        <v>28</v>
      </c>
      <c r="P44" s="13"/>
      <c r="Q44" s="13"/>
      <c r="R44" s="16"/>
      <c r="S44" s="4">
        <v>1020</v>
      </c>
      <c r="T44" s="5">
        <f t="shared" si="1"/>
        <v>204000</v>
      </c>
      <c r="U44" s="1">
        <v>1</v>
      </c>
      <c r="V44" s="1" t="s">
        <v>111</v>
      </c>
      <c r="W44" s="1">
        <v>1</v>
      </c>
    </row>
    <row r="45" spans="1:23" ht="14.25" customHeight="1" x14ac:dyDescent="0.3">
      <c r="A45" s="1">
        <v>44</v>
      </c>
      <c r="B45" s="1" t="s">
        <v>132</v>
      </c>
      <c r="C45" s="1">
        <v>63</v>
      </c>
      <c r="D45" s="1">
        <v>1</v>
      </c>
      <c r="E45" s="1">
        <v>9930235419</v>
      </c>
      <c r="F45" s="1">
        <v>1</v>
      </c>
      <c r="G45" s="1" t="s">
        <v>113</v>
      </c>
      <c r="H45" s="1">
        <v>1</v>
      </c>
      <c r="I45" s="1">
        <v>3</v>
      </c>
      <c r="J45" s="1">
        <v>0</v>
      </c>
      <c r="K45" s="1">
        <v>0.2</v>
      </c>
      <c r="L45" s="1">
        <v>30</v>
      </c>
      <c r="M45" s="1">
        <v>0</v>
      </c>
      <c r="N45" s="1">
        <v>2</v>
      </c>
      <c r="O45" s="1">
        <v>18</v>
      </c>
      <c r="P45" s="13"/>
      <c r="Q45" s="13"/>
      <c r="R45" s="16"/>
      <c r="S45" s="4">
        <v>750</v>
      </c>
      <c r="T45" s="5">
        <f t="shared" si="1"/>
        <v>42000</v>
      </c>
      <c r="U45" s="1">
        <v>1</v>
      </c>
      <c r="V45" s="1" t="s">
        <v>111</v>
      </c>
      <c r="W45" s="1">
        <v>1</v>
      </c>
    </row>
    <row r="46" spans="1:23" ht="14.25" customHeight="1" x14ac:dyDescent="0.3">
      <c r="A46" s="1">
        <v>45</v>
      </c>
      <c r="B46" s="1" t="s">
        <v>133</v>
      </c>
      <c r="C46" s="1">
        <v>45</v>
      </c>
      <c r="D46" s="1">
        <v>1</v>
      </c>
      <c r="E46" s="1">
        <v>9534463825</v>
      </c>
      <c r="F46" s="1">
        <v>1</v>
      </c>
      <c r="G46" s="1" t="s">
        <v>108</v>
      </c>
      <c r="H46" s="1">
        <v>2</v>
      </c>
      <c r="I46" s="1">
        <v>4</v>
      </c>
      <c r="J46" s="1">
        <v>0</v>
      </c>
      <c r="K46" s="1">
        <v>0.3</v>
      </c>
      <c r="L46" s="1">
        <v>5</v>
      </c>
      <c r="M46" s="1">
        <v>1</v>
      </c>
      <c r="N46" s="1">
        <v>2</v>
      </c>
      <c r="O46" s="1">
        <v>17</v>
      </c>
      <c r="P46" s="13"/>
      <c r="Q46" s="13"/>
      <c r="R46" s="16"/>
      <c r="S46" s="4">
        <v>750</v>
      </c>
      <c r="T46" s="5">
        <f t="shared" si="1"/>
        <v>27000</v>
      </c>
      <c r="U46" s="1">
        <v>1</v>
      </c>
      <c r="V46" s="1" t="s">
        <v>134</v>
      </c>
      <c r="W46" s="1">
        <v>1</v>
      </c>
    </row>
    <row r="47" spans="1:23" ht="14.25" customHeight="1" x14ac:dyDescent="0.3">
      <c r="P47" s="13"/>
      <c r="Q47" s="13"/>
      <c r="R47" s="13"/>
      <c r="S47" s="4"/>
      <c r="T47" s="5"/>
    </row>
    <row r="48" spans="1:23" ht="14.25" customHeight="1" x14ac:dyDescent="0.3">
      <c r="P48" s="13"/>
      <c r="Q48" s="13"/>
      <c r="R48" s="13"/>
      <c r="S48" s="4"/>
    </row>
    <row r="49" spans="16:19" ht="14.25" customHeight="1" x14ac:dyDescent="0.3">
      <c r="P49" s="13"/>
      <c r="Q49" s="13"/>
      <c r="R49" s="13"/>
      <c r="S49" s="4"/>
    </row>
    <row r="50" spans="16:19" ht="14.25" customHeight="1" x14ac:dyDescent="0.3">
      <c r="P50" s="13"/>
      <c r="Q50" s="13"/>
      <c r="R50" s="13"/>
      <c r="S50" s="4"/>
    </row>
    <row r="51" spans="16:19" ht="14.25" customHeight="1" x14ac:dyDescent="0.3">
      <c r="P51" s="13"/>
      <c r="Q51" s="13"/>
      <c r="R51" s="13"/>
      <c r="S51" s="4"/>
    </row>
    <row r="52" spans="16:19" ht="14.25" customHeight="1" x14ac:dyDescent="0.3">
      <c r="P52" s="13"/>
      <c r="Q52" s="13"/>
      <c r="R52" s="13"/>
      <c r="S52" s="4"/>
    </row>
    <row r="53" spans="16:19" ht="14.25" customHeight="1" x14ac:dyDescent="0.3">
      <c r="P53" s="13"/>
      <c r="Q53" s="13"/>
      <c r="R53" s="13"/>
      <c r="S53" s="4"/>
    </row>
    <row r="54" spans="16:19" ht="14.25" customHeight="1" x14ac:dyDescent="0.3">
      <c r="P54" s="13"/>
      <c r="Q54" s="13"/>
      <c r="R54" s="13"/>
      <c r="S54" s="4"/>
    </row>
    <row r="55" spans="16:19" ht="14.25" customHeight="1" x14ac:dyDescent="0.3">
      <c r="P55" s="13"/>
      <c r="Q55" s="13"/>
      <c r="R55" s="13"/>
      <c r="S55" s="4"/>
    </row>
    <row r="56" spans="16:19" ht="14.25" customHeight="1" x14ac:dyDescent="0.3">
      <c r="P56" s="13"/>
      <c r="Q56" s="13"/>
      <c r="R56" s="13"/>
      <c r="S56" s="4"/>
    </row>
    <row r="57" spans="16:19" ht="14.25" customHeight="1" x14ac:dyDescent="0.3">
      <c r="P57" s="13"/>
      <c r="Q57" s="13"/>
      <c r="R57" s="13"/>
      <c r="S57" s="4"/>
    </row>
    <row r="58" spans="16:19" ht="14.25" customHeight="1" x14ac:dyDescent="0.3">
      <c r="P58" s="13"/>
      <c r="Q58" s="13"/>
      <c r="R58" s="13"/>
      <c r="S58" s="4"/>
    </row>
    <row r="59" spans="16:19" ht="14.25" customHeight="1" x14ac:dyDescent="0.3">
      <c r="P59" s="13"/>
      <c r="Q59" s="13"/>
      <c r="R59" s="13"/>
      <c r="S59" s="4"/>
    </row>
    <row r="60" spans="16:19" ht="14.25" customHeight="1" x14ac:dyDescent="0.3">
      <c r="P60" s="13"/>
      <c r="Q60" s="13"/>
      <c r="R60" s="13"/>
      <c r="S60" s="4"/>
    </row>
    <row r="61" spans="16:19" ht="14.25" customHeight="1" x14ac:dyDescent="0.3">
      <c r="P61" s="13"/>
      <c r="Q61" s="13"/>
      <c r="R61" s="13"/>
      <c r="S61" s="4"/>
    </row>
    <row r="62" spans="16:19" ht="14.25" customHeight="1" x14ac:dyDescent="0.3">
      <c r="P62" s="13"/>
      <c r="Q62" s="13"/>
      <c r="R62" s="13"/>
      <c r="S62" s="4"/>
    </row>
    <row r="63" spans="16:19" ht="14.25" customHeight="1" x14ac:dyDescent="0.3">
      <c r="P63" s="13"/>
      <c r="Q63" s="13"/>
      <c r="R63" s="13"/>
      <c r="S63" s="4"/>
    </row>
    <row r="64" spans="16:19" ht="14.25" customHeight="1" x14ac:dyDescent="0.3">
      <c r="P64" s="13"/>
      <c r="Q64" s="13"/>
      <c r="R64" s="13"/>
      <c r="S64" s="4"/>
    </row>
    <row r="65" spans="16:19" ht="14.25" customHeight="1" x14ac:dyDescent="0.3">
      <c r="P65" s="13"/>
      <c r="Q65" s="13"/>
      <c r="R65" s="13"/>
      <c r="S65" s="4"/>
    </row>
    <row r="66" spans="16:19" ht="14.25" customHeight="1" x14ac:dyDescent="0.3">
      <c r="P66" s="13"/>
      <c r="Q66" s="13"/>
      <c r="R66" s="13"/>
      <c r="S66" s="4"/>
    </row>
    <row r="67" spans="16:19" ht="14.25" customHeight="1" x14ac:dyDescent="0.3">
      <c r="P67" s="13"/>
      <c r="Q67" s="13"/>
      <c r="R67" s="13"/>
      <c r="S67" s="4"/>
    </row>
    <row r="68" spans="16:19" ht="14.25" customHeight="1" x14ac:dyDescent="0.3">
      <c r="P68" s="13"/>
      <c r="Q68" s="13"/>
      <c r="R68" s="13"/>
      <c r="S68" s="4"/>
    </row>
    <row r="69" spans="16:19" ht="14.25" customHeight="1" x14ac:dyDescent="0.3">
      <c r="P69" s="13"/>
      <c r="Q69" s="13"/>
      <c r="R69" s="13"/>
      <c r="S69" s="4"/>
    </row>
    <row r="70" spans="16:19" ht="14.25" customHeight="1" x14ac:dyDescent="0.3">
      <c r="P70" s="13"/>
      <c r="Q70" s="13"/>
      <c r="R70" s="13"/>
      <c r="S70" s="4"/>
    </row>
    <row r="71" spans="16:19" ht="14.25" customHeight="1" x14ac:dyDescent="0.3">
      <c r="P71" s="13"/>
      <c r="Q71" s="13"/>
      <c r="R71" s="13"/>
      <c r="S71" s="4"/>
    </row>
    <row r="72" spans="16:19" ht="14.25" customHeight="1" x14ac:dyDescent="0.3">
      <c r="P72" s="13"/>
      <c r="Q72" s="13"/>
      <c r="R72" s="13"/>
      <c r="S72" s="4"/>
    </row>
    <row r="73" spans="16:19" ht="14.25" customHeight="1" x14ac:dyDescent="0.3">
      <c r="P73" s="13"/>
      <c r="Q73" s="13"/>
      <c r="R73" s="13"/>
      <c r="S73" s="4"/>
    </row>
    <row r="74" spans="16:19" ht="14.25" customHeight="1" x14ac:dyDescent="0.3">
      <c r="P74" s="13"/>
      <c r="Q74" s="13"/>
      <c r="R74" s="13"/>
      <c r="S74" s="4"/>
    </row>
    <row r="75" spans="16:19" ht="14.25" customHeight="1" x14ac:dyDescent="0.3">
      <c r="P75" s="13"/>
      <c r="Q75" s="13"/>
      <c r="R75" s="13"/>
      <c r="S75" s="4"/>
    </row>
    <row r="76" spans="16:19" ht="14.25" customHeight="1" x14ac:dyDescent="0.3">
      <c r="P76" s="13"/>
      <c r="Q76" s="13"/>
      <c r="R76" s="13"/>
      <c r="S76" s="4"/>
    </row>
    <row r="77" spans="16:19" ht="14.25" customHeight="1" x14ac:dyDescent="0.3">
      <c r="P77" s="13"/>
      <c r="Q77" s="13"/>
      <c r="R77" s="13"/>
      <c r="S77" s="4"/>
    </row>
    <row r="78" spans="16:19" ht="14.25" customHeight="1" x14ac:dyDescent="0.3">
      <c r="P78" s="13"/>
      <c r="Q78" s="13"/>
      <c r="R78" s="13"/>
      <c r="S78" s="4"/>
    </row>
    <row r="79" spans="16:19" ht="14.25" customHeight="1" x14ac:dyDescent="0.3">
      <c r="P79" s="13"/>
      <c r="Q79" s="13"/>
      <c r="R79" s="13"/>
      <c r="S79" s="4"/>
    </row>
    <row r="80" spans="16:19" ht="14.25" customHeight="1" x14ac:dyDescent="0.3">
      <c r="P80" s="13"/>
      <c r="Q80" s="13"/>
      <c r="R80" s="13"/>
      <c r="S80" s="4"/>
    </row>
    <row r="81" spans="16:19" ht="14.25" customHeight="1" x14ac:dyDescent="0.3">
      <c r="P81" s="13"/>
      <c r="Q81" s="13"/>
      <c r="R81" s="13"/>
      <c r="S81" s="4"/>
    </row>
    <row r="82" spans="16:19" ht="14.25" customHeight="1" x14ac:dyDescent="0.3">
      <c r="P82" s="13"/>
      <c r="Q82" s="13"/>
      <c r="R82" s="13"/>
      <c r="S82" s="4"/>
    </row>
    <row r="83" spans="16:19" ht="14.25" customHeight="1" x14ac:dyDescent="0.3">
      <c r="P83" s="13"/>
      <c r="Q83" s="13"/>
      <c r="R83" s="13"/>
      <c r="S83" s="4"/>
    </row>
    <row r="84" spans="16:19" ht="14.25" customHeight="1" x14ac:dyDescent="0.3">
      <c r="P84" s="13"/>
      <c r="Q84" s="13"/>
      <c r="R84" s="13"/>
      <c r="S84" s="4"/>
    </row>
    <row r="85" spans="16:19" ht="14.25" customHeight="1" x14ac:dyDescent="0.3">
      <c r="P85" s="13"/>
      <c r="Q85" s="13"/>
      <c r="R85" s="13"/>
      <c r="S85" s="4"/>
    </row>
    <row r="86" spans="16:19" ht="14.25" customHeight="1" x14ac:dyDescent="0.3">
      <c r="P86" s="13"/>
      <c r="Q86" s="13"/>
      <c r="R86" s="13"/>
      <c r="S86" s="4"/>
    </row>
    <row r="87" spans="16:19" ht="14.25" customHeight="1" x14ac:dyDescent="0.3">
      <c r="P87" s="13"/>
      <c r="Q87" s="13"/>
      <c r="R87" s="13"/>
      <c r="S87" s="4"/>
    </row>
    <row r="88" spans="16:19" ht="14.25" customHeight="1" x14ac:dyDescent="0.3">
      <c r="P88" s="13"/>
      <c r="Q88" s="13"/>
      <c r="R88" s="13"/>
      <c r="S88" s="4"/>
    </row>
    <row r="89" spans="16:19" ht="14.25" customHeight="1" x14ac:dyDescent="0.3">
      <c r="P89" s="13"/>
      <c r="Q89" s="13"/>
      <c r="R89" s="13"/>
      <c r="S89" s="4"/>
    </row>
    <row r="90" spans="16:19" ht="14.25" customHeight="1" x14ac:dyDescent="0.3">
      <c r="P90" s="13"/>
      <c r="Q90" s="13"/>
      <c r="R90" s="13"/>
      <c r="S90" s="4"/>
    </row>
    <row r="91" spans="16:19" ht="14.25" customHeight="1" x14ac:dyDescent="0.3">
      <c r="P91" s="13"/>
      <c r="Q91" s="13"/>
      <c r="R91" s="13"/>
      <c r="S91" s="4"/>
    </row>
    <row r="92" spans="16:19" ht="14.25" customHeight="1" x14ac:dyDescent="0.3">
      <c r="P92" s="13"/>
      <c r="Q92" s="13"/>
      <c r="R92" s="13"/>
      <c r="S92" s="4"/>
    </row>
    <row r="93" spans="16:19" ht="14.25" customHeight="1" x14ac:dyDescent="0.3">
      <c r="P93" s="13"/>
      <c r="Q93" s="13"/>
      <c r="R93" s="13"/>
      <c r="S93" s="4"/>
    </row>
    <row r="94" spans="16:19" ht="14.25" customHeight="1" x14ac:dyDescent="0.3">
      <c r="P94" s="13"/>
      <c r="Q94" s="13"/>
      <c r="R94" s="13"/>
      <c r="S94" s="4"/>
    </row>
    <row r="95" spans="16:19" ht="14.25" customHeight="1" x14ac:dyDescent="0.3">
      <c r="P95" s="13"/>
      <c r="Q95" s="13"/>
      <c r="R95" s="13"/>
      <c r="S95" s="4"/>
    </row>
    <row r="96" spans="16:19" ht="14.25" customHeight="1" x14ac:dyDescent="0.3">
      <c r="P96" s="13"/>
      <c r="Q96" s="13"/>
      <c r="R96" s="13"/>
      <c r="S96" s="4"/>
    </row>
    <row r="97" spans="16:19" ht="14.25" customHeight="1" x14ac:dyDescent="0.3">
      <c r="P97" s="13"/>
      <c r="Q97" s="13"/>
      <c r="R97" s="13"/>
      <c r="S97" s="4"/>
    </row>
    <row r="98" spans="16:19" ht="14.25" customHeight="1" x14ac:dyDescent="0.3">
      <c r="P98" s="13"/>
      <c r="Q98" s="13"/>
      <c r="R98" s="13"/>
      <c r="S98" s="4"/>
    </row>
    <row r="99" spans="16:19" ht="14.25" customHeight="1" x14ac:dyDescent="0.3">
      <c r="P99" s="13"/>
      <c r="Q99" s="13"/>
      <c r="R99" s="13"/>
      <c r="S99" s="4"/>
    </row>
    <row r="100" spans="16:19" ht="14.25" customHeight="1" x14ac:dyDescent="0.3">
      <c r="P100" s="13"/>
      <c r="Q100" s="13"/>
      <c r="R100" s="13"/>
      <c r="S100" s="4"/>
    </row>
    <row r="101" spans="16:19" ht="14.25" customHeight="1" x14ac:dyDescent="0.3">
      <c r="P101" s="13"/>
      <c r="Q101" s="13"/>
      <c r="R101" s="13"/>
      <c r="S101" s="4"/>
    </row>
    <row r="102" spans="16:19" ht="14.25" customHeight="1" x14ac:dyDescent="0.3">
      <c r="P102" s="13"/>
      <c r="Q102" s="13"/>
      <c r="R102" s="13"/>
      <c r="S102" s="4"/>
    </row>
    <row r="103" spans="16:19" ht="14.25" customHeight="1" x14ac:dyDescent="0.3">
      <c r="P103" s="13"/>
      <c r="Q103" s="13"/>
      <c r="R103" s="13"/>
      <c r="S103" s="4"/>
    </row>
    <row r="104" spans="16:19" ht="14.25" customHeight="1" x14ac:dyDescent="0.3">
      <c r="P104" s="13"/>
      <c r="Q104" s="13"/>
      <c r="R104" s="13"/>
      <c r="S104" s="4"/>
    </row>
    <row r="105" spans="16:19" ht="14.25" customHeight="1" x14ac:dyDescent="0.3">
      <c r="P105" s="13"/>
      <c r="Q105" s="13"/>
      <c r="R105" s="13"/>
      <c r="S105" s="4"/>
    </row>
    <row r="106" spans="16:19" ht="14.25" customHeight="1" x14ac:dyDescent="0.3">
      <c r="P106" s="13"/>
      <c r="Q106" s="13"/>
      <c r="R106" s="13"/>
      <c r="S106" s="4"/>
    </row>
    <row r="107" spans="16:19" ht="14.25" customHeight="1" x14ac:dyDescent="0.3">
      <c r="P107" s="13"/>
      <c r="Q107" s="13"/>
      <c r="R107" s="13"/>
      <c r="S107" s="4"/>
    </row>
    <row r="108" spans="16:19" ht="14.25" customHeight="1" x14ac:dyDescent="0.3">
      <c r="P108" s="13"/>
      <c r="Q108" s="13"/>
      <c r="R108" s="13"/>
      <c r="S108" s="4"/>
    </row>
    <row r="109" spans="16:19" ht="14.25" customHeight="1" x14ac:dyDescent="0.3">
      <c r="P109" s="13"/>
      <c r="Q109" s="13"/>
      <c r="R109" s="13"/>
      <c r="S109" s="4"/>
    </row>
    <row r="110" spans="16:19" ht="14.25" customHeight="1" x14ac:dyDescent="0.3">
      <c r="P110" s="13"/>
      <c r="Q110" s="13"/>
      <c r="R110" s="13"/>
      <c r="S110" s="4"/>
    </row>
    <row r="111" spans="16:19" ht="14.25" customHeight="1" x14ac:dyDescent="0.3">
      <c r="P111" s="13"/>
      <c r="Q111" s="13"/>
      <c r="R111" s="13"/>
      <c r="S111" s="4"/>
    </row>
    <row r="112" spans="16:19" ht="14.25" customHeight="1" x14ac:dyDescent="0.3">
      <c r="P112" s="13"/>
      <c r="Q112" s="13"/>
      <c r="R112" s="13"/>
      <c r="S112" s="4"/>
    </row>
    <row r="113" spans="16:19" ht="14.25" customHeight="1" x14ac:dyDescent="0.3">
      <c r="P113" s="13"/>
      <c r="Q113" s="13"/>
      <c r="R113" s="13"/>
      <c r="S113" s="4"/>
    </row>
    <row r="114" spans="16:19" ht="14.25" customHeight="1" x14ac:dyDescent="0.3">
      <c r="P114" s="13"/>
      <c r="Q114" s="13"/>
      <c r="R114" s="13"/>
      <c r="S114" s="4"/>
    </row>
    <row r="115" spans="16:19" ht="14.25" customHeight="1" x14ac:dyDescent="0.3">
      <c r="P115" s="13"/>
      <c r="Q115" s="13"/>
      <c r="R115" s="13"/>
      <c r="S115" s="4"/>
    </row>
    <row r="116" spans="16:19" ht="14.25" customHeight="1" x14ac:dyDescent="0.3">
      <c r="P116" s="13"/>
      <c r="Q116" s="13"/>
      <c r="R116" s="13"/>
      <c r="S116" s="4"/>
    </row>
    <row r="117" spans="16:19" ht="14.25" customHeight="1" x14ac:dyDescent="0.3">
      <c r="P117" s="13"/>
      <c r="Q117" s="13"/>
      <c r="R117" s="13"/>
      <c r="S117" s="4"/>
    </row>
    <row r="118" spans="16:19" ht="14.25" customHeight="1" x14ac:dyDescent="0.3">
      <c r="P118" s="13"/>
      <c r="Q118" s="13"/>
      <c r="R118" s="13"/>
      <c r="S118" s="4"/>
    </row>
    <row r="119" spans="16:19" ht="14.25" customHeight="1" x14ac:dyDescent="0.3">
      <c r="P119" s="13"/>
      <c r="Q119" s="13"/>
      <c r="R119" s="13"/>
      <c r="S119" s="4"/>
    </row>
    <row r="120" spans="16:19" ht="14.25" customHeight="1" x14ac:dyDescent="0.3">
      <c r="P120" s="13"/>
      <c r="Q120" s="13"/>
      <c r="R120" s="13"/>
      <c r="S120" s="4"/>
    </row>
    <row r="121" spans="16:19" ht="14.25" customHeight="1" x14ac:dyDescent="0.3">
      <c r="P121" s="13"/>
      <c r="Q121" s="13"/>
      <c r="R121" s="13"/>
      <c r="S121" s="4"/>
    </row>
    <row r="122" spans="16:19" ht="14.25" customHeight="1" x14ac:dyDescent="0.3">
      <c r="P122" s="13"/>
      <c r="Q122" s="13"/>
      <c r="R122" s="13"/>
      <c r="S122" s="4"/>
    </row>
    <row r="123" spans="16:19" ht="14.25" customHeight="1" x14ac:dyDescent="0.3">
      <c r="P123" s="13"/>
      <c r="Q123" s="13"/>
      <c r="R123" s="13"/>
      <c r="S123" s="4"/>
    </row>
    <row r="124" spans="16:19" ht="14.25" customHeight="1" x14ac:dyDescent="0.3">
      <c r="P124" s="13"/>
      <c r="Q124" s="13"/>
      <c r="R124" s="13"/>
      <c r="S124" s="4"/>
    </row>
    <row r="125" spans="16:19" ht="14.25" customHeight="1" x14ac:dyDescent="0.3">
      <c r="P125" s="13"/>
      <c r="Q125" s="13"/>
      <c r="R125" s="13"/>
      <c r="S125" s="4"/>
    </row>
    <row r="126" spans="16:19" ht="14.25" customHeight="1" x14ac:dyDescent="0.3">
      <c r="P126" s="13"/>
      <c r="Q126" s="13"/>
      <c r="R126" s="13"/>
      <c r="S126" s="4"/>
    </row>
    <row r="127" spans="16:19" ht="14.25" customHeight="1" x14ac:dyDescent="0.3">
      <c r="P127" s="13"/>
      <c r="Q127" s="13"/>
      <c r="R127" s="13"/>
      <c r="S127" s="4"/>
    </row>
    <row r="128" spans="16:19" ht="14.25" customHeight="1" x14ac:dyDescent="0.3">
      <c r="P128" s="13"/>
      <c r="Q128" s="13"/>
      <c r="R128" s="13"/>
      <c r="S128" s="4"/>
    </row>
    <row r="129" spans="16:19" ht="14.25" customHeight="1" x14ac:dyDescent="0.3">
      <c r="P129" s="13"/>
      <c r="Q129" s="13"/>
      <c r="R129" s="13"/>
      <c r="S129" s="4"/>
    </row>
    <row r="130" spans="16:19" ht="14.25" customHeight="1" x14ac:dyDescent="0.3">
      <c r="P130" s="13"/>
      <c r="Q130" s="13"/>
      <c r="R130" s="13"/>
      <c r="S130" s="4"/>
    </row>
    <row r="131" spans="16:19" ht="14.25" customHeight="1" x14ac:dyDescent="0.3">
      <c r="P131" s="13"/>
      <c r="Q131" s="13"/>
      <c r="R131" s="13"/>
      <c r="S131" s="4"/>
    </row>
    <row r="132" spans="16:19" ht="14.25" customHeight="1" x14ac:dyDescent="0.3">
      <c r="P132" s="13"/>
      <c r="Q132" s="13"/>
      <c r="R132" s="13"/>
      <c r="S132" s="4"/>
    </row>
    <row r="133" spans="16:19" ht="14.25" customHeight="1" x14ac:dyDescent="0.3">
      <c r="P133" s="13"/>
      <c r="Q133" s="13"/>
      <c r="R133" s="13"/>
      <c r="S133" s="4"/>
    </row>
    <row r="134" spans="16:19" ht="14.25" customHeight="1" x14ac:dyDescent="0.3">
      <c r="P134" s="13"/>
      <c r="Q134" s="13"/>
      <c r="R134" s="13"/>
      <c r="S134" s="4"/>
    </row>
    <row r="135" spans="16:19" ht="14.25" customHeight="1" x14ac:dyDescent="0.3">
      <c r="P135" s="13"/>
      <c r="Q135" s="13"/>
      <c r="R135" s="13"/>
      <c r="S135" s="4"/>
    </row>
    <row r="136" spans="16:19" ht="14.25" customHeight="1" x14ac:dyDescent="0.3">
      <c r="P136" s="13"/>
      <c r="Q136" s="13"/>
      <c r="R136" s="13"/>
      <c r="S136" s="4"/>
    </row>
    <row r="137" spans="16:19" ht="14.25" customHeight="1" x14ac:dyDescent="0.3">
      <c r="P137" s="13"/>
      <c r="Q137" s="13"/>
      <c r="R137" s="13"/>
      <c r="S137" s="4"/>
    </row>
    <row r="138" spans="16:19" ht="14.25" customHeight="1" x14ac:dyDescent="0.3">
      <c r="P138" s="13"/>
      <c r="Q138" s="13"/>
      <c r="R138" s="13"/>
      <c r="S138" s="4"/>
    </row>
    <row r="139" spans="16:19" ht="14.25" customHeight="1" x14ac:dyDescent="0.3">
      <c r="P139" s="13"/>
      <c r="Q139" s="13"/>
      <c r="R139" s="13"/>
      <c r="S139" s="4"/>
    </row>
    <row r="140" spans="16:19" ht="14.25" customHeight="1" x14ac:dyDescent="0.3">
      <c r="P140" s="13"/>
      <c r="Q140" s="13"/>
      <c r="R140" s="13"/>
      <c r="S140" s="4"/>
    </row>
    <row r="141" spans="16:19" ht="14.25" customHeight="1" x14ac:dyDescent="0.3">
      <c r="P141" s="13"/>
      <c r="Q141" s="13"/>
      <c r="R141" s="13"/>
      <c r="S141" s="4"/>
    </row>
    <row r="142" spans="16:19" ht="14.25" customHeight="1" x14ac:dyDescent="0.3">
      <c r="P142" s="13"/>
      <c r="Q142" s="13"/>
      <c r="R142" s="13"/>
      <c r="S142" s="4"/>
    </row>
    <row r="143" spans="16:19" ht="14.25" customHeight="1" x14ac:dyDescent="0.3">
      <c r="P143" s="13"/>
      <c r="Q143" s="13"/>
      <c r="R143" s="13"/>
      <c r="S143" s="4"/>
    </row>
    <row r="144" spans="16:19" ht="14.25" customHeight="1" x14ac:dyDescent="0.3">
      <c r="P144" s="13"/>
      <c r="Q144" s="13"/>
      <c r="R144" s="13"/>
      <c r="S144" s="4"/>
    </row>
    <row r="145" spans="16:19" ht="14.25" customHeight="1" x14ac:dyDescent="0.3">
      <c r="P145" s="13"/>
      <c r="Q145" s="13"/>
      <c r="R145" s="13"/>
      <c r="S145" s="4"/>
    </row>
    <row r="146" spans="16:19" ht="14.25" customHeight="1" x14ac:dyDescent="0.3">
      <c r="P146" s="13"/>
      <c r="Q146" s="13"/>
      <c r="R146" s="13"/>
      <c r="S146" s="4"/>
    </row>
    <row r="147" spans="16:19" ht="14.25" customHeight="1" x14ac:dyDescent="0.3">
      <c r="P147" s="13"/>
      <c r="Q147" s="13"/>
      <c r="R147" s="13"/>
      <c r="S147" s="4"/>
    </row>
    <row r="148" spans="16:19" ht="14.25" customHeight="1" x14ac:dyDescent="0.3">
      <c r="P148" s="13"/>
      <c r="Q148" s="13"/>
      <c r="R148" s="13"/>
      <c r="S148" s="4"/>
    </row>
    <row r="149" spans="16:19" ht="14.25" customHeight="1" x14ac:dyDescent="0.3">
      <c r="P149" s="13"/>
      <c r="Q149" s="13"/>
      <c r="R149" s="13"/>
      <c r="S149" s="4"/>
    </row>
    <row r="150" spans="16:19" ht="14.25" customHeight="1" x14ac:dyDescent="0.3">
      <c r="P150" s="13"/>
      <c r="Q150" s="13"/>
      <c r="R150" s="13"/>
      <c r="S150" s="4"/>
    </row>
    <row r="151" spans="16:19" ht="14.25" customHeight="1" x14ac:dyDescent="0.3">
      <c r="P151" s="13"/>
      <c r="Q151" s="13"/>
      <c r="R151" s="13"/>
      <c r="S151" s="4"/>
    </row>
    <row r="152" spans="16:19" ht="14.25" customHeight="1" x14ac:dyDescent="0.3">
      <c r="P152" s="13"/>
      <c r="Q152" s="13"/>
      <c r="R152" s="13"/>
      <c r="S152" s="4"/>
    </row>
    <row r="153" spans="16:19" ht="14.25" customHeight="1" x14ac:dyDescent="0.3">
      <c r="P153" s="13"/>
      <c r="Q153" s="13"/>
      <c r="R153" s="13"/>
      <c r="S153" s="4"/>
    </row>
    <row r="154" spans="16:19" ht="14.25" customHeight="1" x14ac:dyDescent="0.3">
      <c r="P154" s="13"/>
      <c r="Q154" s="13"/>
      <c r="R154" s="13"/>
      <c r="S154" s="4"/>
    </row>
    <row r="155" spans="16:19" ht="14.25" customHeight="1" x14ac:dyDescent="0.3">
      <c r="P155" s="13"/>
      <c r="Q155" s="13"/>
      <c r="R155" s="13"/>
      <c r="S155" s="4"/>
    </row>
    <row r="156" spans="16:19" ht="14.25" customHeight="1" x14ac:dyDescent="0.3">
      <c r="P156" s="13"/>
      <c r="Q156" s="13"/>
      <c r="R156" s="13"/>
      <c r="S156" s="4"/>
    </row>
    <row r="157" spans="16:19" ht="14.25" customHeight="1" x14ac:dyDescent="0.3">
      <c r="P157" s="13"/>
      <c r="Q157" s="13"/>
      <c r="R157" s="13"/>
      <c r="S157" s="4"/>
    </row>
    <row r="158" spans="16:19" ht="14.25" customHeight="1" x14ac:dyDescent="0.3">
      <c r="P158" s="13"/>
      <c r="Q158" s="13"/>
      <c r="R158" s="13"/>
      <c r="S158" s="4"/>
    </row>
    <row r="159" spans="16:19" ht="14.25" customHeight="1" x14ac:dyDescent="0.3">
      <c r="P159" s="13"/>
      <c r="Q159" s="13"/>
      <c r="R159" s="13"/>
      <c r="S159" s="4"/>
    </row>
    <row r="160" spans="16:19" ht="14.25" customHeight="1" x14ac:dyDescent="0.3">
      <c r="P160" s="13"/>
      <c r="Q160" s="13"/>
      <c r="R160" s="13"/>
      <c r="S160" s="4"/>
    </row>
    <row r="161" spans="16:19" ht="14.25" customHeight="1" x14ac:dyDescent="0.3">
      <c r="P161" s="13"/>
      <c r="Q161" s="13"/>
      <c r="R161" s="13"/>
      <c r="S161" s="4"/>
    </row>
    <row r="162" spans="16:19" ht="14.25" customHeight="1" x14ac:dyDescent="0.3">
      <c r="P162" s="13"/>
      <c r="Q162" s="13"/>
      <c r="R162" s="13"/>
      <c r="S162" s="4"/>
    </row>
    <row r="163" spans="16:19" ht="14.25" customHeight="1" x14ac:dyDescent="0.3">
      <c r="P163" s="13"/>
      <c r="Q163" s="13"/>
      <c r="R163" s="13"/>
      <c r="S163" s="4"/>
    </row>
    <row r="164" spans="16:19" ht="14.25" customHeight="1" x14ac:dyDescent="0.3">
      <c r="P164" s="13"/>
      <c r="Q164" s="13"/>
      <c r="R164" s="13"/>
      <c r="S164" s="4"/>
    </row>
    <row r="165" spans="16:19" ht="14.25" customHeight="1" x14ac:dyDescent="0.3">
      <c r="P165" s="13"/>
      <c r="Q165" s="13"/>
      <c r="R165" s="13"/>
      <c r="S165" s="4"/>
    </row>
    <row r="166" spans="16:19" ht="14.25" customHeight="1" x14ac:dyDescent="0.3">
      <c r="P166" s="13"/>
      <c r="Q166" s="13"/>
      <c r="R166" s="13"/>
      <c r="S166" s="4"/>
    </row>
    <row r="167" spans="16:19" ht="14.25" customHeight="1" x14ac:dyDescent="0.3">
      <c r="P167" s="13"/>
      <c r="Q167" s="13"/>
      <c r="R167" s="13"/>
      <c r="S167" s="4"/>
    </row>
    <row r="168" spans="16:19" ht="14.25" customHeight="1" x14ac:dyDescent="0.3">
      <c r="P168" s="13"/>
      <c r="Q168" s="13"/>
      <c r="R168" s="13"/>
      <c r="S168" s="4"/>
    </row>
    <row r="169" spans="16:19" ht="14.25" customHeight="1" x14ac:dyDescent="0.3">
      <c r="P169" s="13"/>
      <c r="Q169" s="13"/>
      <c r="R169" s="13"/>
      <c r="S169" s="4"/>
    </row>
    <row r="170" spans="16:19" ht="14.25" customHeight="1" x14ac:dyDescent="0.3">
      <c r="P170" s="13"/>
      <c r="Q170" s="13"/>
      <c r="R170" s="13"/>
      <c r="S170" s="4"/>
    </row>
    <row r="171" spans="16:19" ht="14.25" customHeight="1" x14ac:dyDescent="0.3">
      <c r="P171" s="13"/>
      <c r="Q171" s="13"/>
      <c r="R171" s="13"/>
      <c r="S171" s="4"/>
    </row>
    <row r="172" spans="16:19" ht="14.25" customHeight="1" x14ac:dyDescent="0.3">
      <c r="P172" s="13"/>
      <c r="Q172" s="13"/>
      <c r="R172" s="13"/>
      <c r="S172" s="4"/>
    </row>
    <row r="173" spans="16:19" ht="14.25" customHeight="1" x14ac:dyDescent="0.3">
      <c r="P173" s="13"/>
      <c r="Q173" s="13"/>
      <c r="R173" s="13"/>
      <c r="S173" s="4"/>
    </row>
    <row r="174" spans="16:19" ht="14.25" customHeight="1" x14ac:dyDescent="0.3">
      <c r="P174" s="13"/>
      <c r="Q174" s="13"/>
      <c r="R174" s="13"/>
      <c r="S174" s="4"/>
    </row>
    <row r="175" spans="16:19" ht="14.25" customHeight="1" x14ac:dyDescent="0.3">
      <c r="P175" s="13"/>
      <c r="Q175" s="13"/>
      <c r="R175" s="13"/>
      <c r="S175" s="4"/>
    </row>
    <row r="176" spans="16:19" ht="14.25" customHeight="1" x14ac:dyDescent="0.3">
      <c r="P176" s="13"/>
      <c r="Q176" s="13"/>
      <c r="R176" s="13"/>
      <c r="S176" s="4"/>
    </row>
    <row r="177" spans="16:19" ht="14.25" customHeight="1" x14ac:dyDescent="0.3">
      <c r="P177" s="13"/>
      <c r="Q177" s="13"/>
      <c r="R177" s="13"/>
      <c r="S177" s="4"/>
    </row>
    <row r="178" spans="16:19" ht="14.25" customHeight="1" x14ac:dyDescent="0.3">
      <c r="P178" s="13"/>
      <c r="Q178" s="13"/>
      <c r="R178" s="13"/>
      <c r="S178" s="4"/>
    </row>
    <row r="179" spans="16:19" ht="14.25" customHeight="1" x14ac:dyDescent="0.3">
      <c r="P179" s="13"/>
      <c r="Q179" s="13"/>
      <c r="R179" s="13"/>
      <c r="S179" s="4"/>
    </row>
    <row r="180" spans="16:19" ht="14.25" customHeight="1" x14ac:dyDescent="0.3">
      <c r="P180" s="13"/>
      <c r="Q180" s="13"/>
      <c r="R180" s="13"/>
      <c r="S180" s="4"/>
    </row>
    <row r="181" spans="16:19" ht="14.25" customHeight="1" x14ac:dyDescent="0.3">
      <c r="P181" s="13"/>
      <c r="Q181" s="13"/>
      <c r="R181" s="13"/>
      <c r="S181" s="4"/>
    </row>
    <row r="182" spans="16:19" ht="14.25" customHeight="1" x14ac:dyDescent="0.3">
      <c r="P182" s="13"/>
      <c r="Q182" s="13"/>
      <c r="R182" s="13"/>
      <c r="S182" s="4"/>
    </row>
    <row r="183" spans="16:19" ht="14.25" customHeight="1" x14ac:dyDescent="0.3">
      <c r="P183" s="13"/>
      <c r="Q183" s="13"/>
      <c r="R183" s="13"/>
      <c r="S183" s="4"/>
    </row>
    <row r="184" spans="16:19" ht="14.25" customHeight="1" x14ac:dyDescent="0.3">
      <c r="P184" s="13"/>
      <c r="Q184" s="13"/>
      <c r="R184" s="13"/>
      <c r="S184" s="4"/>
    </row>
    <row r="185" spans="16:19" ht="14.25" customHeight="1" x14ac:dyDescent="0.3">
      <c r="P185" s="13"/>
      <c r="Q185" s="13"/>
      <c r="R185" s="13"/>
      <c r="S185" s="4"/>
    </row>
    <row r="186" spans="16:19" ht="14.25" customHeight="1" x14ac:dyDescent="0.3">
      <c r="P186" s="13"/>
      <c r="Q186" s="13"/>
      <c r="R186" s="13"/>
      <c r="S186" s="4"/>
    </row>
    <row r="187" spans="16:19" ht="14.25" customHeight="1" x14ac:dyDescent="0.3">
      <c r="P187" s="13"/>
      <c r="Q187" s="13"/>
      <c r="R187" s="13"/>
      <c r="S187" s="4"/>
    </row>
    <row r="188" spans="16:19" ht="14.25" customHeight="1" x14ac:dyDescent="0.3">
      <c r="P188" s="13"/>
      <c r="Q188" s="13"/>
      <c r="R188" s="13"/>
      <c r="S188" s="4"/>
    </row>
    <row r="189" spans="16:19" ht="14.25" customHeight="1" x14ac:dyDescent="0.3">
      <c r="P189" s="13"/>
      <c r="Q189" s="13"/>
      <c r="R189" s="13"/>
      <c r="S189" s="4"/>
    </row>
    <row r="190" spans="16:19" ht="14.25" customHeight="1" x14ac:dyDescent="0.3">
      <c r="P190" s="13"/>
      <c r="Q190" s="13"/>
      <c r="R190" s="13"/>
      <c r="S190" s="4"/>
    </row>
    <row r="191" spans="16:19" ht="14.25" customHeight="1" x14ac:dyDescent="0.3">
      <c r="P191" s="13"/>
      <c r="Q191" s="13"/>
      <c r="R191" s="13"/>
      <c r="S191" s="4"/>
    </row>
    <row r="192" spans="16:19" ht="14.25" customHeight="1" x14ac:dyDescent="0.3">
      <c r="P192" s="13"/>
      <c r="Q192" s="13"/>
      <c r="R192" s="13"/>
      <c r="S192" s="4"/>
    </row>
    <row r="193" spans="16:19" ht="14.25" customHeight="1" x14ac:dyDescent="0.3">
      <c r="P193" s="13"/>
      <c r="Q193" s="13"/>
      <c r="R193" s="13"/>
      <c r="S193" s="4"/>
    </row>
    <row r="194" spans="16:19" ht="14.25" customHeight="1" x14ac:dyDescent="0.3">
      <c r="P194" s="13"/>
      <c r="Q194" s="13"/>
      <c r="R194" s="13"/>
      <c r="S194" s="4"/>
    </row>
    <row r="195" spans="16:19" ht="14.25" customHeight="1" x14ac:dyDescent="0.3">
      <c r="P195" s="13"/>
      <c r="Q195" s="13"/>
      <c r="R195" s="13"/>
      <c r="S195" s="4"/>
    </row>
    <row r="196" spans="16:19" ht="14.25" customHeight="1" x14ac:dyDescent="0.3">
      <c r="P196" s="13"/>
      <c r="Q196" s="13"/>
      <c r="R196" s="13"/>
      <c r="S196" s="4"/>
    </row>
    <row r="197" spans="16:19" ht="14.25" customHeight="1" x14ac:dyDescent="0.3">
      <c r="P197" s="13"/>
      <c r="Q197" s="13"/>
      <c r="R197" s="13"/>
      <c r="S197" s="4"/>
    </row>
    <row r="198" spans="16:19" ht="14.25" customHeight="1" x14ac:dyDescent="0.3">
      <c r="P198" s="13"/>
      <c r="Q198" s="13"/>
      <c r="R198" s="13"/>
      <c r="S198" s="4"/>
    </row>
    <row r="199" spans="16:19" ht="14.25" customHeight="1" x14ac:dyDescent="0.3">
      <c r="P199" s="13"/>
      <c r="Q199" s="13"/>
      <c r="R199" s="13"/>
      <c r="S199" s="4"/>
    </row>
    <row r="200" spans="16:19" ht="14.25" customHeight="1" x14ac:dyDescent="0.3">
      <c r="P200" s="13"/>
      <c r="Q200" s="13"/>
      <c r="R200" s="13"/>
      <c r="S200" s="4"/>
    </row>
    <row r="201" spans="16:19" ht="14.25" customHeight="1" x14ac:dyDescent="0.3">
      <c r="P201" s="13"/>
      <c r="Q201" s="13"/>
      <c r="R201" s="13"/>
      <c r="S201" s="4"/>
    </row>
    <row r="202" spans="16:19" ht="14.25" customHeight="1" x14ac:dyDescent="0.3">
      <c r="P202" s="13"/>
      <c r="Q202" s="13"/>
      <c r="R202" s="13"/>
      <c r="S202" s="4"/>
    </row>
    <row r="203" spans="16:19" ht="14.25" customHeight="1" x14ac:dyDescent="0.3">
      <c r="P203" s="13"/>
      <c r="Q203" s="13"/>
      <c r="R203" s="13"/>
      <c r="S203" s="4"/>
    </row>
    <row r="204" spans="16:19" ht="14.25" customHeight="1" x14ac:dyDescent="0.3">
      <c r="P204" s="13"/>
      <c r="Q204" s="13"/>
      <c r="R204" s="13"/>
      <c r="S204" s="4"/>
    </row>
    <row r="205" spans="16:19" ht="14.25" customHeight="1" x14ac:dyDescent="0.3">
      <c r="P205" s="13"/>
      <c r="Q205" s="13"/>
      <c r="R205" s="13"/>
      <c r="S205" s="4"/>
    </row>
    <row r="206" spans="16:19" ht="14.25" customHeight="1" x14ac:dyDescent="0.3">
      <c r="P206" s="13"/>
      <c r="Q206" s="13"/>
      <c r="R206" s="13"/>
      <c r="S206" s="4"/>
    </row>
    <row r="207" spans="16:19" ht="14.25" customHeight="1" x14ac:dyDescent="0.3">
      <c r="P207" s="13"/>
      <c r="Q207" s="13"/>
      <c r="R207" s="13"/>
      <c r="S207" s="4"/>
    </row>
    <row r="208" spans="16:19" ht="14.25" customHeight="1" x14ac:dyDescent="0.3">
      <c r="P208" s="13"/>
      <c r="Q208" s="13"/>
      <c r="R208" s="13"/>
      <c r="S208" s="4"/>
    </row>
    <row r="209" spans="16:19" ht="14.25" customHeight="1" x14ac:dyDescent="0.3">
      <c r="P209" s="13"/>
      <c r="Q209" s="13"/>
      <c r="R209" s="13"/>
      <c r="S209" s="4"/>
    </row>
    <row r="210" spans="16:19" ht="14.25" customHeight="1" x14ac:dyDescent="0.3">
      <c r="P210" s="13"/>
      <c r="Q210" s="13"/>
      <c r="R210" s="13"/>
      <c r="S210" s="4"/>
    </row>
    <row r="211" spans="16:19" ht="14.25" customHeight="1" x14ac:dyDescent="0.3">
      <c r="P211" s="13"/>
      <c r="Q211" s="13"/>
      <c r="R211" s="13"/>
      <c r="S211" s="4"/>
    </row>
    <row r="212" spans="16:19" ht="14.25" customHeight="1" x14ac:dyDescent="0.3">
      <c r="P212" s="13"/>
      <c r="Q212" s="13"/>
      <c r="R212" s="13"/>
      <c r="S212" s="4"/>
    </row>
    <row r="213" spans="16:19" ht="14.25" customHeight="1" x14ac:dyDescent="0.3">
      <c r="P213" s="13"/>
      <c r="Q213" s="13"/>
      <c r="R213" s="13"/>
      <c r="S213" s="4"/>
    </row>
    <row r="214" spans="16:19" ht="14.25" customHeight="1" x14ac:dyDescent="0.3">
      <c r="P214" s="13"/>
      <c r="Q214" s="13"/>
      <c r="R214" s="13"/>
      <c r="S214" s="4"/>
    </row>
    <row r="215" spans="16:19" ht="14.25" customHeight="1" x14ac:dyDescent="0.3">
      <c r="P215" s="13"/>
      <c r="Q215" s="13"/>
      <c r="R215" s="13"/>
      <c r="S215" s="4"/>
    </row>
    <row r="216" spans="16:19" ht="14.25" customHeight="1" x14ac:dyDescent="0.3">
      <c r="P216" s="13"/>
      <c r="Q216" s="13"/>
      <c r="R216" s="13"/>
      <c r="S216" s="4"/>
    </row>
    <row r="217" spans="16:19" ht="14.25" customHeight="1" x14ac:dyDescent="0.3">
      <c r="P217" s="13"/>
      <c r="Q217" s="13"/>
      <c r="R217" s="13"/>
      <c r="S217" s="4"/>
    </row>
    <row r="218" spans="16:19" ht="14.25" customHeight="1" x14ac:dyDescent="0.3">
      <c r="P218" s="13"/>
      <c r="Q218" s="13"/>
      <c r="R218" s="13"/>
      <c r="S218" s="4"/>
    </row>
    <row r="219" spans="16:19" ht="14.25" customHeight="1" x14ac:dyDescent="0.3">
      <c r="P219" s="13"/>
      <c r="Q219" s="13"/>
      <c r="R219" s="13"/>
      <c r="S219" s="4"/>
    </row>
    <row r="220" spans="16:19" ht="14.25" customHeight="1" x14ac:dyDescent="0.3">
      <c r="P220" s="13"/>
      <c r="Q220" s="13"/>
      <c r="R220" s="13"/>
      <c r="S220" s="4"/>
    </row>
    <row r="221" spans="16:19" ht="14.25" customHeight="1" x14ac:dyDescent="0.3">
      <c r="P221" s="13"/>
      <c r="Q221" s="13"/>
      <c r="R221" s="13"/>
      <c r="S221" s="4"/>
    </row>
    <row r="222" spans="16:19" ht="14.25" customHeight="1" x14ac:dyDescent="0.3">
      <c r="P222" s="13"/>
      <c r="Q222" s="13"/>
      <c r="R222" s="13"/>
      <c r="S222" s="4"/>
    </row>
    <row r="223" spans="16:19" ht="14.25" customHeight="1" x14ac:dyDescent="0.3">
      <c r="P223" s="13"/>
      <c r="Q223" s="13"/>
      <c r="R223" s="13"/>
      <c r="S223" s="4"/>
    </row>
    <row r="224" spans="16:19" ht="14.25" customHeight="1" x14ac:dyDescent="0.3">
      <c r="P224" s="13"/>
      <c r="Q224" s="13"/>
      <c r="R224" s="13"/>
      <c r="S224" s="4"/>
    </row>
    <row r="225" spans="16:19" ht="14.25" customHeight="1" x14ac:dyDescent="0.3">
      <c r="P225" s="13"/>
      <c r="Q225" s="13"/>
      <c r="R225" s="13"/>
      <c r="S225" s="4"/>
    </row>
    <row r="226" spans="16:19" ht="14.25" customHeight="1" x14ac:dyDescent="0.3">
      <c r="P226" s="13"/>
      <c r="Q226" s="13"/>
      <c r="R226" s="13"/>
      <c r="S226" s="4"/>
    </row>
    <row r="227" spans="16:19" ht="14.25" customHeight="1" x14ac:dyDescent="0.3">
      <c r="P227" s="13"/>
      <c r="Q227" s="13"/>
      <c r="R227" s="13"/>
      <c r="S227" s="4"/>
    </row>
    <row r="228" spans="16:19" ht="14.25" customHeight="1" x14ac:dyDescent="0.3">
      <c r="P228" s="13"/>
      <c r="Q228" s="13"/>
      <c r="R228" s="13"/>
      <c r="S228" s="4"/>
    </row>
    <row r="229" spans="16:19" ht="14.25" customHeight="1" x14ac:dyDescent="0.3">
      <c r="P229" s="13"/>
      <c r="Q229" s="13"/>
      <c r="R229" s="13"/>
      <c r="S229" s="4"/>
    </row>
    <row r="230" spans="16:19" ht="14.25" customHeight="1" x14ac:dyDescent="0.3">
      <c r="P230" s="13"/>
      <c r="Q230" s="13"/>
      <c r="R230" s="13"/>
      <c r="S230" s="4"/>
    </row>
    <row r="231" spans="16:19" ht="14.25" customHeight="1" x14ac:dyDescent="0.3">
      <c r="P231" s="13"/>
      <c r="Q231" s="13"/>
      <c r="R231" s="13"/>
      <c r="S231" s="4"/>
    </row>
    <row r="232" spans="16:19" ht="14.25" customHeight="1" x14ac:dyDescent="0.3">
      <c r="P232" s="13"/>
      <c r="Q232" s="13"/>
      <c r="R232" s="13"/>
      <c r="S232" s="4"/>
    </row>
    <row r="233" spans="16:19" ht="14.25" customHeight="1" x14ac:dyDescent="0.3">
      <c r="P233" s="13"/>
      <c r="Q233" s="13"/>
      <c r="R233" s="13"/>
      <c r="S233" s="4"/>
    </row>
    <row r="234" spans="16:19" ht="14.25" customHeight="1" x14ac:dyDescent="0.3">
      <c r="P234" s="13"/>
      <c r="Q234" s="13"/>
      <c r="R234" s="13"/>
      <c r="S234" s="4"/>
    </row>
    <row r="235" spans="16:19" ht="14.25" customHeight="1" x14ac:dyDescent="0.3">
      <c r="P235" s="13"/>
      <c r="Q235" s="13"/>
      <c r="R235" s="13"/>
      <c r="S235" s="4"/>
    </row>
    <row r="236" spans="16:19" ht="14.25" customHeight="1" x14ac:dyDescent="0.3">
      <c r="P236" s="13"/>
      <c r="Q236" s="13"/>
      <c r="R236" s="13"/>
      <c r="S236" s="4"/>
    </row>
    <row r="237" spans="16:19" ht="14.25" customHeight="1" x14ac:dyDescent="0.3">
      <c r="P237" s="13"/>
      <c r="Q237" s="13"/>
      <c r="R237" s="13"/>
      <c r="S237" s="4"/>
    </row>
    <row r="238" spans="16:19" ht="14.25" customHeight="1" x14ac:dyDescent="0.3">
      <c r="P238" s="13"/>
      <c r="Q238" s="13"/>
      <c r="R238" s="13"/>
      <c r="S238" s="4"/>
    </row>
    <row r="239" spans="16:19" ht="14.25" customHeight="1" x14ac:dyDescent="0.3">
      <c r="P239" s="13"/>
      <c r="Q239" s="13"/>
      <c r="R239" s="13"/>
      <c r="S239" s="4"/>
    </row>
    <row r="240" spans="16:19" ht="14.25" customHeight="1" x14ac:dyDescent="0.3">
      <c r="P240" s="13"/>
      <c r="Q240" s="13"/>
      <c r="R240" s="13"/>
      <c r="S240" s="4"/>
    </row>
    <row r="241" spans="16:19" ht="14.25" customHeight="1" x14ac:dyDescent="0.3">
      <c r="P241" s="13"/>
      <c r="Q241" s="13"/>
      <c r="R241" s="13"/>
      <c r="S241" s="4"/>
    </row>
    <row r="242" spans="16:19" ht="14.25" customHeight="1" x14ac:dyDescent="0.3">
      <c r="P242" s="13"/>
      <c r="Q242" s="13"/>
      <c r="R242" s="13"/>
      <c r="S242" s="4"/>
    </row>
    <row r="243" spans="16:19" ht="14.25" customHeight="1" x14ac:dyDescent="0.3">
      <c r="P243" s="13"/>
      <c r="Q243" s="13"/>
      <c r="R243" s="13"/>
      <c r="S243" s="4"/>
    </row>
    <row r="244" spans="16:19" ht="14.25" customHeight="1" x14ac:dyDescent="0.3">
      <c r="P244" s="13"/>
      <c r="Q244" s="13"/>
      <c r="R244" s="13"/>
      <c r="S244" s="4"/>
    </row>
    <row r="245" spans="16:19" ht="14.25" customHeight="1" x14ac:dyDescent="0.3">
      <c r="P245" s="13"/>
      <c r="Q245" s="13"/>
      <c r="R245" s="13"/>
      <c r="S245" s="4"/>
    </row>
    <row r="246" spans="16:19" ht="14.25" customHeight="1" x14ac:dyDescent="0.3">
      <c r="P246" s="13"/>
      <c r="Q246" s="13"/>
      <c r="R246" s="13"/>
      <c r="S246" s="4"/>
    </row>
    <row r="247" spans="16:19" ht="14.25" customHeight="1" x14ac:dyDescent="0.3">
      <c r="P247" s="13"/>
      <c r="Q247" s="13"/>
      <c r="R247" s="13"/>
      <c r="S247" s="4"/>
    </row>
    <row r="248" spans="16:19" ht="14.25" customHeight="1" x14ac:dyDescent="0.3">
      <c r="P248" s="13"/>
      <c r="Q248" s="13"/>
      <c r="R248" s="13"/>
      <c r="S248" s="4"/>
    </row>
    <row r="249" spans="16:19" ht="14.25" customHeight="1" x14ac:dyDescent="0.3">
      <c r="P249" s="13"/>
      <c r="Q249" s="13"/>
      <c r="R249" s="13"/>
      <c r="S249" s="4"/>
    </row>
    <row r="250" spans="16:19" ht="14.25" customHeight="1" x14ac:dyDescent="0.3">
      <c r="P250" s="13"/>
      <c r="Q250" s="13"/>
      <c r="R250" s="13"/>
      <c r="S250" s="4"/>
    </row>
    <row r="251" spans="16:19" ht="14.25" customHeight="1" x14ac:dyDescent="0.3">
      <c r="P251" s="13"/>
      <c r="Q251" s="13"/>
      <c r="R251" s="13"/>
      <c r="S251" s="4"/>
    </row>
    <row r="252" spans="16:19" ht="14.25" customHeight="1" x14ac:dyDescent="0.3">
      <c r="P252" s="13"/>
      <c r="Q252" s="13"/>
      <c r="R252" s="13"/>
      <c r="S252" s="4"/>
    </row>
    <row r="253" spans="16:19" ht="14.25" customHeight="1" x14ac:dyDescent="0.3">
      <c r="P253" s="13"/>
      <c r="Q253" s="13"/>
      <c r="R253" s="13"/>
      <c r="S253" s="4"/>
    </row>
    <row r="254" spans="16:19" ht="14.25" customHeight="1" x14ac:dyDescent="0.3">
      <c r="P254" s="13"/>
      <c r="Q254" s="13"/>
      <c r="R254" s="13"/>
      <c r="S254" s="4"/>
    </row>
    <row r="255" spans="16:19" ht="14.25" customHeight="1" x14ac:dyDescent="0.3">
      <c r="P255" s="13"/>
      <c r="Q255" s="13"/>
      <c r="R255" s="13"/>
      <c r="S255" s="4"/>
    </row>
    <row r="256" spans="16:19" ht="14.25" customHeight="1" x14ac:dyDescent="0.3">
      <c r="P256" s="13"/>
      <c r="Q256" s="13"/>
      <c r="R256" s="13"/>
      <c r="S256" s="4"/>
    </row>
    <row r="257" spans="16:19" ht="14.25" customHeight="1" x14ac:dyDescent="0.3">
      <c r="P257" s="13"/>
      <c r="Q257" s="13"/>
      <c r="R257" s="13"/>
      <c r="S257" s="4"/>
    </row>
    <row r="258" spans="16:19" ht="14.25" customHeight="1" x14ac:dyDescent="0.3">
      <c r="P258" s="13"/>
      <c r="Q258" s="13"/>
      <c r="R258" s="13"/>
      <c r="S258" s="4"/>
    </row>
    <row r="259" spans="16:19" ht="14.25" customHeight="1" x14ac:dyDescent="0.3">
      <c r="P259" s="13"/>
      <c r="Q259" s="13"/>
      <c r="R259" s="13"/>
      <c r="S259" s="4"/>
    </row>
    <row r="260" spans="16:19" ht="14.25" customHeight="1" x14ac:dyDescent="0.3">
      <c r="P260" s="13"/>
      <c r="Q260" s="13"/>
      <c r="R260" s="13"/>
      <c r="S260" s="4"/>
    </row>
    <row r="261" spans="16:19" ht="14.25" customHeight="1" x14ac:dyDescent="0.3">
      <c r="P261" s="13"/>
      <c r="Q261" s="13"/>
      <c r="R261" s="13"/>
      <c r="S261" s="4"/>
    </row>
    <row r="262" spans="16:19" ht="14.25" customHeight="1" x14ac:dyDescent="0.3">
      <c r="P262" s="13"/>
      <c r="Q262" s="13"/>
      <c r="R262" s="13"/>
      <c r="S262" s="4"/>
    </row>
    <row r="263" spans="16:19" ht="14.25" customHeight="1" x14ac:dyDescent="0.3">
      <c r="P263" s="13"/>
      <c r="Q263" s="13"/>
      <c r="R263" s="13"/>
      <c r="S263" s="4"/>
    </row>
    <row r="264" spans="16:19" ht="14.25" customHeight="1" x14ac:dyDescent="0.3">
      <c r="P264" s="13"/>
      <c r="Q264" s="13"/>
      <c r="R264" s="13"/>
      <c r="S264" s="4"/>
    </row>
    <row r="265" spans="16:19" ht="14.25" customHeight="1" x14ac:dyDescent="0.3">
      <c r="P265" s="13"/>
      <c r="Q265" s="13"/>
      <c r="R265" s="13"/>
      <c r="S265" s="4"/>
    </row>
    <row r="266" spans="16:19" ht="14.25" customHeight="1" x14ac:dyDescent="0.3">
      <c r="P266" s="13"/>
      <c r="Q266" s="13"/>
      <c r="R266" s="13"/>
      <c r="S266" s="4"/>
    </row>
    <row r="267" spans="16:19" ht="14.25" customHeight="1" x14ac:dyDescent="0.3">
      <c r="P267" s="13"/>
      <c r="Q267" s="13"/>
      <c r="R267" s="13"/>
      <c r="S267" s="4"/>
    </row>
    <row r="268" spans="16:19" ht="14.25" customHeight="1" x14ac:dyDescent="0.3">
      <c r="P268" s="13"/>
      <c r="Q268" s="13"/>
      <c r="R268" s="13"/>
      <c r="S268" s="4"/>
    </row>
    <row r="269" spans="16:19" ht="14.25" customHeight="1" x14ac:dyDescent="0.3">
      <c r="P269" s="13"/>
      <c r="Q269" s="13"/>
      <c r="R269" s="13"/>
      <c r="S269" s="4"/>
    </row>
    <row r="270" spans="16:19" ht="14.25" customHeight="1" x14ac:dyDescent="0.3">
      <c r="P270" s="13"/>
      <c r="Q270" s="13"/>
      <c r="R270" s="13"/>
      <c r="S270" s="4"/>
    </row>
    <row r="271" spans="16:19" ht="14.25" customHeight="1" x14ac:dyDescent="0.3">
      <c r="P271" s="13"/>
      <c r="Q271" s="13"/>
      <c r="R271" s="13"/>
      <c r="S271" s="4"/>
    </row>
    <row r="272" spans="16:19" ht="14.25" customHeight="1" x14ac:dyDescent="0.3">
      <c r="P272" s="13"/>
      <c r="Q272" s="13"/>
      <c r="R272" s="13"/>
      <c r="S272" s="4"/>
    </row>
    <row r="273" spans="16:19" ht="14.25" customHeight="1" x14ac:dyDescent="0.3">
      <c r="P273" s="13"/>
      <c r="Q273" s="13"/>
      <c r="R273" s="13"/>
      <c r="S273" s="4"/>
    </row>
    <row r="274" spans="16:19" ht="14.25" customHeight="1" x14ac:dyDescent="0.3">
      <c r="P274" s="13"/>
      <c r="Q274" s="13"/>
      <c r="R274" s="13"/>
      <c r="S274" s="4"/>
    </row>
    <row r="275" spans="16:19" ht="14.25" customHeight="1" x14ac:dyDescent="0.3">
      <c r="P275" s="13"/>
      <c r="Q275" s="13"/>
      <c r="R275" s="13"/>
      <c r="S275" s="4"/>
    </row>
    <row r="276" spans="16:19" ht="14.25" customHeight="1" x14ac:dyDescent="0.3">
      <c r="P276" s="13"/>
      <c r="Q276" s="13"/>
      <c r="R276" s="13"/>
      <c r="S276" s="4"/>
    </row>
    <row r="277" spans="16:19" ht="14.25" customHeight="1" x14ac:dyDescent="0.3">
      <c r="P277" s="13"/>
      <c r="Q277" s="13"/>
      <c r="R277" s="13"/>
      <c r="S277" s="4"/>
    </row>
    <row r="278" spans="16:19" ht="14.25" customHeight="1" x14ac:dyDescent="0.3">
      <c r="P278" s="13"/>
      <c r="Q278" s="13"/>
      <c r="R278" s="13"/>
      <c r="S278" s="4"/>
    </row>
    <row r="279" spans="16:19" ht="14.25" customHeight="1" x14ac:dyDescent="0.3">
      <c r="P279" s="13"/>
      <c r="Q279" s="13"/>
      <c r="R279" s="13"/>
      <c r="S279" s="4"/>
    </row>
    <row r="280" spans="16:19" ht="14.25" customHeight="1" x14ac:dyDescent="0.3">
      <c r="P280" s="13"/>
      <c r="Q280" s="13"/>
      <c r="R280" s="13"/>
      <c r="S280" s="4"/>
    </row>
    <row r="281" spans="16:19" ht="14.25" customHeight="1" x14ac:dyDescent="0.3">
      <c r="P281" s="13"/>
      <c r="Q281" s="13"/>
      <c r="R281" s="13"/>
      <c r="S281" s="4"/>
    </row>
    <row r="282" spans="16:19" ht="14.25" customHeight="1" x14ac:dyDescent="0.3">
      <c r="P282" s="13"/>
      <c r="Q282" s="13"/>
      <c r="R282" s="13"/>
      <c r="S282" s="4"/>
    </row>
    <row r="283" spans="16:19" ht="14.25" customHeight="1" x14ac:dyDescent="0.3">
      <c r="P283" s="13"/>
      <c r="Q283" s="13"/>
      <c r="R283" s="13"/>
      <c r="S283" s="4"/>
    </row>
    <row r="284" spans="16:19" ht="14.25" customHeight="1" x14ac:dyDescent="0.3">
      <c r="P284" s="13"/>
      <c r="Q284" s="13"/>
      <c r="R284" s="13"/>
      <c r="S284" s="4"/>
    </row>
    <row r="285" spans="16:19" ht="14.25" customHeight="1" x14ac:dyDescent="0.3">
      <c r="P285" s="13"/>
      <c r="Q285" s="13"/>
      <c r="R285" s="13"/>
      <c r="S285" s="4"/>
    </row>
    <row r="286" spans="16:19" ht="14.25" customHeight="1" x14ac:dyDescent="0.3">
      <c r="P286" s="13"/>
      <c r="Q286" s="13"/>
      <c r="R286" s="13"/>
      <c r="S286" s="4"/>
    </row>
    <row r="287" spans="16:19" ht="14.25" customHeight="1" x14ac:dyDescent="0.3">
      <c r="P287" s="13"/>
      <c r="Q287" s="13"/>
      <c r="R287" s="13"/>
      <c r="S287" s="4"/>
    </row>
    <row r="288" spans="16:19" ht="14.25" customHeight="1" x14ac:dyDescent="0.3">
      <c r="P288" s="13"/>
      <c r="Q288" s="13"/>
      <c r="R288" s="13"/>
      <c r="S288" s="4"/>
    </row>
    <row r="289" spans="16:19" ht="14.25" customHeight="1" x14ac:dyDescent="0.3">
      <c r="P289" s="13"/>
      <c r="Q289" s="13"/>
      <c r="R289" s="13"/>
      <c r="S289" s="4"/>
    </row>
    <row r="290" spans="16:19" ht="14.25" customHeight="1" x14ac:dyDescent="0.3">
      <c r="P290" s="13"/>
      <c r="Q290" s="13"/>
      <c r="R290" s="13"/>
      <c r="S290" s="4"/>
    </row>
    <row r="291" spans="16:19" ht="14.25" customHeight="1" x14ac:dyDescent="0.3">
      <c r="P291" s="13"/>
      <c r="Q291" s="13"/>
      <c r="R291" s="13"/>
      <c r="S291" s="4"/>
    </row>
    <row r="292" spans="16:19" ht="14.25" customHeight="1" x14ac:dyDescent="0.3">
      <c r="P292" s="13"/>
      <c r="Q292" s="13"/>
      <c r="R292" s="13"/>
      <c r="S292" s="4"/>
    </row>
    <row r="293" spans="16:19" ht="14.25" customHeight="1" x14ac:dyDescent="0.3">
      <c r="P293" s="13"/>
      <c r="Q293" s="13"/>
      <c r="R293" s="13"/>
      <c r="S293" s="4"/>
    </row>
    <row r="294" spans="16:19" ht="14.25" customHeight="1" x14ac:dyDescent="0.3">
      <c r="P294" s="13"/>
      <c r="Q294" s="13"/>
      <c r="R294" s="13"/>
      <c r="S294" s="4"/>
    </row>
    <row r="295" spans="16:19" ht="14.25" customHeight="1" x14ac:dyDescent="0.3">
      <c r="P295" s="13"/>
      <c r="Q295" s="13"/>
      <c r="R295" s="13"/>
      <c r="S295" s="4"/>
    </row>
    <row r="296" spans="16:19" ht="14.25" customHeight="1" x14ac:dyDescent="0.3">
      <c r="P296" s="13"/>
      <c r="Q296" s="13"/>
      <c r="R296" s="13"/>
      <c r="S296" s="4"/>
    </row>
    <row r="297" spans="16:19" ht="14.25" customHeight="1" x14ac:dyDescent="0.3">
      <c r="P297" s="13"/>
      <c r="Q297" s="13"/>
      <c r="R297" s="13"/>
      <c r="S297" s="4"/>
    </row>
    <row r="298" spans="16:19" ht="14.25" customHeight="1" x14ac:dyDescent="0.3">
      <c r="P298" s="13"/>
      <c r="Q298" s="13"/>
      <c r="R298" s="13"/>
      <c r="S298" s="4"/>
    </row>
    <row r="299" spans="16:19" ht="14.25" customHeight="1" x14ac:dyDescent="0.3">
      <c r="P299" s="13"/>
      <c r="Q299" s="13"/>
      <c r="R299" s="13"/>
      <c r="S299" s="4"/>
    </row>
    <row r="300" spans="16:19" ht="14.25" customHeight="1" x14ac:dyDescent="0.3">
      <c r="P300" s="13"/>
      <c r="Q300" s="13"/>
      <c r="R300" s="13"/>
      <c r="S300" s="4"/>
    </row>
    <row r="301" spans="16:19" ht="14.25" customHeight="1" x14ac:dyDescent="0.3">
      <c r="P301" s="13"/>
      <c r="Q301" s="13"/>
      <c r="R301" s="13"/>
      <c r="S301" s="4"/>
    </row>
    <row r="302" spans="16:19" ht="14.25" customHeight="1" x14ac:dyDescent="0.3">
      <c r="P302" s="13"/>
      <c r="Q302" s="13"/>
      <c r="R302" s="13"/>
      <c r="S302" s="4"/>
    </row>
    <row r="303" spans="16:19" ht="14.25" customHeight="1" x14ac:dyDescent="0.3">
      <c r="P303" s="13"/>
      <c r="Q303" s="13"/>
      <c r="R303" s="13"/>
      <c r="S303" s="4"/>
    </row>
    <row r="304" spans="16:19" ht="14.25" customHeight="1" x14ac:dyDescent="0.3">
      <c r="P304" s="13"/>
      <c r="Q304" s="13"/>
      <c r="R304" s="13"/>
      <c r="S304" s="4"/>
    </row>
    <row r="305" spans="16:19" ht="14.25" customHeight="1" x14ac:dyDescent="0.3">
      <c r="P305" s="13"/>
      <c r="Q305" s="13"/>
      <c r="R305" s="13"/>
      <c r="S305" s="4"/>
    </row>
    <row r="306" spans="16:19" ht="14.25" customHeight="1" x14ac:dyDescent="0.3">
      <c r="P306" s="13"/>
      <c r="Q306" s="13"/>
      <c r="R306" s="13"/>
      <c r="S306" s="4"/>
    </row>
    <row r="307" spans="16:19" ht="14.25" customHeight="1" x14ac:dyDescent="0.3">
      <c r="P307" s="13"/>
      <c r="Q307" s="13"/>
      <c r="R307" s="13"/>
      <c r="S307" s="4"/>
    </row>
    <row r="308" spans="16:19" ht="14.25" customHeight="1" x14ac:dyDescent="0.3">
      <c r="P308" s="13"/>
      <c r="Q308" s="13"/>
      <c r="R308" s="13"/>
      <c r="S308" s="4"/>
    </row>
    <row r="309" spans="16:19" ht="14.25" customHeight="1" x14ac:dyDescent="0.3">
      <c r="P309" s="13"/>
      <c r="Q309" s="13"/>
      <c r="R309" s="13"/>
      <c r="S309" s="4"/>
    </row>
    <row r="310" spans="16:19" ht="14.25" customHeight="1" x14ac:dyDescent="0.3">
      <c r="P310" s="13"/>
      <c r="Q310" s="13"/>
      <c r="R310" s="13"/>
      <c r="S310" s="4"/>
    </row>
    <row r="311" spans="16:19" ht="14.25" customHeight="1" x14ac:dyDescent="0.3">
      <c r="P311" s="13"/>
      <c r="Q311" s="13"/>
      <c r="R311" s="13"/>
      <c r="S311" s="4"/>
    </row>
    <row r="312" spans="16:19" ht="14.25" customHeight="1" x14ac:dyDescent="0.3">
      <c r="P312" s="13"/>
      <c r="Q312" s="13"/>
      <c r="R312" s="13"/>
      <c r="S312" s="4"/>
    </row>
    <row r="313" spans="16:19" ht="14.25" customHeight="1" x14ac:dyDescent="0.3">
      <c r="P313" s="13"/>
      <c r="Q313" s="13"/>
      <c r="R313" s="13"/>
      <c r="S313" s="4"/>
    </row>
    <row r="314" spans="16:19" ht="14.25" customHeight="1" x14ac:dyDescent="0.3">
      <c r="P314" s="13"/>
      <c r="Q314" s="13"/>
      <c r="R314" s="13"/>
      <c r="S314" s="4"/>
    </row>
    <row r="315" spans="16:19" ht="14.25" customHeight="1" x14ac:dyDescent="0.3">
      <c r="P315" s="13"/>
      <c r="Q315" s="13"/>
      <c r="R315" s="13"/>
      <c r="S315" s="4"/>
    </row>
    <row r="316" spans="16:19" ht="14.25" customHeight="1" x14ac:dyDescent="0.3">
      <c r="P316" s="13"/>
      <c r="Q316" s="13"/>
      <c r="R316" s="13"/>
      <c r="S316" s="4"/>
    </row>
    <row r="317" spans="16:19" ht="14.25" customHeight="1" x14ac:dyDescent="0.3">
      <c r="P317" s="13"/>
      <c r="Q317" s="13"/>
      <c r="R317" s="13"/>
      <c r="S317" s="4"/>
    </row>
    <row r="318" spans="16:19" ht="14.25" customHeight="1" x14ac:dyDescent="0.3">
      <c r="P318" s="13"/>
      <c r="Q318" s="13"/>
      <c r="R318" s="13"/>
      <c r="S318" s="4"/>
    </row>
    <row r="319" spans="16:19" ht="14.25" customHeight="1" x14ac:dyDescent="0.3">
      <c r="P319" s="13"/>
      <c r="Q319" s="13"/>
      <c r="R319" s="13"/>
      <c r="S319" s="4"/>
    </row>
    <row r="320" spans="16:19" ht="14.25" customHeight="1" x14ac:dyDescent="0.3">
      <c r="P320" s="13"/>
      <c r="Q320" s="13"/>
      <c r="R320" s="13"/>
      <c r="S320" s="4"/>
    </row>
    <row r="321" spans="16:19" ht="14.25" customHeight="1" x14ac:dyDescent="0.3">
      <c r="P321" s="13"/>
      <c r="Q321" s="13"/>
      <c r="R321" s="13"/>
      <c r="S321" s="4"/>
    </row>
    <row r="322" spans="16:19" ht="14.25" customHeight="1" x14ac:dyDescent="0.3">
      <c r="P322" s="13"/>
      <c r="Q322" s="13"/>
      <c r="R322" s="13"/>
      <c r="S322" s="4"/>
    </row>
    <row r="323" spans="16:19" ht="14.25" customHeight="1" x14ac:dyDescent="0.3">
      <c r="P323" s="13"/>
      <c r="Q323" s="13"/>
      <c r="R323" s="13"/>
      <c r="S323" s="4"/>
    </row>
    <row r="324" spans="16:19" ht="14.25" customHeight="1" x14ac:dyDescent="0.3">
      <c r="P324" s="13"/>
      <c r="Q324" s="13"/>
      <c r="R324" s="13"/>
      <c r="S324" s="4"/>
    </row>
    <row r="325" spans="16:19" ht="14.25" customHeight="1" x14ac:dyDescent="0.3">
      <c r="P325" s="13"/>
      <c r="Q325" s="13"/>
      <c r="R325" s="13"/>
      <c r="S325" s="4"/>
    </row>
    <row r="326" spans="16:19" ht="14.25" customHeight="1" x14ac:dyDescent="0.3">
      <c r="P326" s="13"/>
      <c r="Q326" s="13"/>
      <c r="R326" s="13"/>
      <c r="S326" s="4"/>
    </row>
    <row r="327" spans="16:19" ht="14.25" customHeight="1" x14ac:dyDescent="0.3">
      <c r="P327" s="13"/>
      <c r="Q327" s="13"/>
      <c r="R327" s="13"/>
      <c r="S327" s="4"/>
    </row>
    <row r="328" spans="16:19" ht="14.25" customHeight="1" x14ac:dyDescent="0.3">
      <c r="P328" s="13"/>
      <c r="Q328" s="13"/>
      <c r="R328" s="13"/>
      <c r="S328" s="4"/>
    </row>
    <row r="329" spans="16:19" ht="14.25" customHeight="1" x14ac:dyDescent="0.3">
      <c r="P329" s="13"/>
      <c r="Q329" s="13"/>
      <c r="R329" s="13"/>
      <c r="S329" s="4"/>
    </row>
    <row r="330" spans="16:19" ht="14.25" customHeight="1" x14ac:dyDescent="0.3">
      <c r="P330" s="13"/>
      <c r="Q330" s="13"/>
      <c r="R330" s="13"/>
      <c r="S330" s="4"/>
    </row>
    <row r="331" spans="16:19" ht="14.25" customHeight="1" x14ac:dyDescent="0.3">
      <c r="P331" s="13"/>
      <c r="Q331" s="13"/>
      <c r="R331" s="13"/>
      <c r="S331" s="4"/>
    </row>
    <row r="332" spans="16:19" ht="14.25" customHeight="1" x14ac:dyDescent="0.3">
      <c r="P332" s="13"/>
      <c r="Q332" s="13"/>
      <c r="R332" s="13"/>
      <c r="S332" s="4"/>
    </row>
    <row r="333" spans="16:19" ht="14.25" customHeight="1" x14ac:dyDescent="0.3">
      <c r="P333" s="13"/>
      <c r="Q333" s="13"/>
      <c r="R333" s="13"/>
      <c r="S333" s="4"/>
    </row>
    <row r="334" spans="16:19" ht="14.25" customHeight="1" x14ac:dyDescent="0.3">
      <c r="P334" s="13"/>
      <c r="Q334" s="13"/>
      <c r="R334" s="13"/>
      <c r="S334" s="4"/>
    </row>
    <row r="335" spans="16:19" ht="14.25" customHeight="1" x14ac:dyDescent="0.3">
      <c r="P335" s="13"/>
      <c r="Q335" s="13"/>
      <c r="R335" s="13"/>
      <c r="S335" s="4"/>
    </row>
    <row r="336" spans="16:19" ht="14.25" customHeight="1" x14ac:dyDescent="0.3">
      <c r="P336" s="13"/>
      <c r="Q336" s="13"/>
      <c r="R336" s="13"/>
      <c r="S336" s="4"/>
    </row>
    <row r="337" spans="16:19" ht="14.25" customHeight="1" x14ac:dyDescent="0.3">
      <c r="P337" s="13"/>
      <c r="Q337" s="13"/>
      <c r="R337" s="13"/>
      <c r="S337" s="4"/>
    </row>
    <row r="338" spans="16:19" ht="14.25" customHeight="1" x14ac:dyDescent="0.3">
      <c r="P338" s="13"/>
      <c r="Q338" s="13"/>
      <c r="R338" s="13"/>
      <c r="S338" s="4"/>
    </row>
    <row r="339" spans="16:19" ht="14.25" customHeight="1" x14ac:dyDescent="0.3">
      <c r="P339" s="13"/>
      <c r="Q339" s="13"/>
      <c r="R339" s="13"/>
      <c r="S339" s="4"/>
    </row>
    <row r="340" spans="16:19" ht="14.25" customHeight="1" x14ac:dyDescent="0.3">
      <c r="P340" s="13"/>
      <c r="Q340" s="13"/>
      <c r="R340" s="13"/>
      <c r="S340" s="4"/>
    </row>
    <row r="341" spans="16:19" ht="14.25" customHeight="1" x14ac:dyDescent="0.3">
      <c r="P341" s="13"/>
      <c r="Q341" s="13"/>
      <c r="R341" s="13"/>
      <c r="S341" s="4"/>
    </row>
    <row r="342" spans="16:19" ht="14.25" customHeight="1" x14ac:dyDescent="0.3">
      <c r="P342" s="13"/>
      <c r="Q342" s="13"/>
      <c r="R342" s="13"/>
      <c r="S342" s="4"/>
    </row>
    <row r="343" spans="16:19" ht="14.25" customHeight="1" x14ac:dyDescent="0.3">
      <c r="P343" s="13"/>
      <c r="Q343" s="13"/>
      <c r="R343" s="13"/>
      <c r="S343" s="4"/>
    </row>
    <row r="344" spans="16:19" ht="14.25" customHeight="1" x14ac:dyDescent="0.3">
      <c r="P344" s="13"/>
      <c r="Q344" s="13"/>
      <c r="R344" s="13"/>
      <c r="S344" s="4"/>
    </row>
    <row r="345" spans="16:19" ht="14.25" customHeight="1" x14ac:dyDescent="0.3">
      <c r="P345" s="13"/>
      <c r="Q345" s="13"/>
      <c r="R345" s="13"/>
      <c r="S345" s="4"/>
    </row>
    <row r="346" spans="16:19" ht="14.25" customHeight="1" x14ac:dyDescent="0.3">
      <c r="P346" s="13"/>
      <c r="Q346" s="13"/>
      <c r="R346" s="13"/>
      <c r="S346" s="4"/>
    </row>
    <row r="347" spans="16:19" ht="14.25" customHeight="1" x14ac:dyDescent="0.3">
      <c r="P347" s="13"/>
      <c r="Q347" s="13"/>
      <c r="R347" s="13"/>
      <c r="S347" s="4"/>
    </row>
    <row r="348" spans="16:19" ht="14.25" customHeight="1" x14ac:dyDescent="0.3">
      <c r="P348" s="13"/>
      <c r="Q348" s="13"/>
      <c r="R348" s="13"/>
      <c r="S348" s="4"/>
    </row>
    <row r="349" spans="16:19" ht="14.25" customHeight="1" x14ac:dyDescent="0.3">
      <c r="P349" s="13"/>
      <c r="Q349" s="13"/>
      <c r="R349" s="13"/>
      <c r="S349" s="4"/>
    </row>
    <row r="350" spans="16:19" ht="14.25" customHeight="1" x14ac:dyDescent="0.3">
      <c r="P350" s="13"/>
      <c r="Q350" s="13"/>
      <c r="R350" s="13"/>
      <c r="S350" s="4"/>
    </row>
    <row r="351" spans="16:19" ht="14.25" customHeight="1" x14ac:dyDescent="0.3">
      <c r="P351" s="13"/>
      <c r="Q351" s="13"/>
      <c r="R351" s="13"/>
      <c r="S351" s="4"/>
    </row>
    <row r="352" spans="16:19" ht="14.25" customHeight="1" x14ac:dyDescent="0.3">
      <c r="P352" s="13"/>
      <c r="Q352" s="13"/>
      <c r="R352" s="13"/>
      <c r="S352" s="4"/>
    </row>
    <row r="353" spans="16:19" ht="14.25" customHeight="1" x14ac:dyDescent="0.3">
      <c r="P353" s="13"/>
      <c r="Q353" s="13"/>
      <c r="R353" s="13"/>
      <c r="S353" s="4"/>
    </row>
    <row r="354" spans="16:19" ht="14.25" customHeight="1" x14ac:dyDescent="0.3">
      <c r="P354" s="13"/>
      <c r="Q354" s="13"/>
      <c r="R354" s="13"/>
      <c r="S354" s="4"/>
    </row>
    <row r="355" spans="16:19" ht="14.25" customHeight="1" x14ac:dyDescent="0.3">
      <c r="P355" s="13"/>
      <c r="Q355" s="13"/>
      <c r="R355" s="13"/>
      <c r="S355" s="4"/>
    </row>
    <row r="356" spans="16:19" ht="14.25" customHeight="1" x14ac:dyDescent="0.3">
      <c r="P356" s="13"/>
      <c r="Q356" s="13"/>
      <c r="R356" s="13"/>
      <c r="S356" s="4"/>
    </row>
    <row r="357" spans="16:19" ht="14.25" customHeight="1" x14ac:dyDescent="0.3">
      <c r="P357" s="13"/>
      <c r="Q357" s="13"/>
      <c r="R357" s="13"/>
      <c r="S357" s="4"/>
    </row>
    <row r="358" spans="16:19" ht="14.25" customHeight="1" x14ac:dyDescent="0.3">
      <c r="P358" s="13"/>
      <c r="Q358" s="13"/>
      <c r="R358" s="13"/>
      <c r="S358" s="4"/>
    </row>
    <row r="359" spans="16:19" ht="14.25" customHeight="1" x14ac:dyDescent="0.3">
      <c r="P359" s="13"/>
      <c r="Q359" s="13"/>
      <c r="R359" s="13"/>
      <c r="S359" s="4"/>
    </row>
    <row r="360" spans="16:19" ht="14.25" customHeight="1" x14ac:dyDescent="0.3">
      <c r="P360" s="13"/>
      <c r="Q360" s="13"/>
      <c r="R360" s="13"/>
      <c r="S360" s="4"/>
    </row>
    <row r="361" spans="16:19" ht="14.25" customHeight="1" x14ac:dyDescent="0.3">
      <c r="P361" s="13"/>
      <c r="Q361" s="13"/>
      <c r="R361" s="13"/>
      <c r="S361" s="4"/>
    </row>
    <row r="362" spans="16:19" ht="14.25" customHeight="1" x14ac:dyDescent="0.3">
      <c r="P362" s="13"/>
      <c r="Q362" s="13"/>
      <c r="R362" s="13"/>
      <c r="S362" s="4"/>
    </row>
    <row r="363" spans="16:19" ht="14.25" customHeight="1" x14ac:dyDescent="0.3">
      <c r="P363" s="13"/>
      <c r="Q363" s="13"/>
      <c r="R363" s="13"/>
      <c r="S363" s="4"/>
    </row>
    <row r="364" spans="16:19" ht="14.25" customHeight="1" x14ac:dyDescent="0.3">
      <c r="P364" s="13"/>
      <c r="Q364" s="13"/>
      <c r="R364" s="13"/>
      <c r="S364" s="4"/>
    </row>
    <row r="365" spans="16:19" ht="14.25" customHeight="1" x14ac:dyDescent="0.3">
      <c r="P365" s="13"/>
      <c r="Q365" s="13"/>
      <c r="R365" s="13"/>
      <c r="S365" s="4"/>
    </row>
    <row r="366" spans="16:19" ht="14.25" customHeight="1" x14ac:dyDescent="0.3">
      <c r="P366" s="13"/>
      <c r="Q366" s="13"/>
      <c r="R366" s="13"/>
      <c r="S366" s="4"/>
    </row>
    <row r="367" spans="16:19" ht="14.25" customHeight="1" x14ac:dyDescent="0.3">
      <c r="P367" s="13"/>
      <c r="Q367" s="13"/>
      <c r="R367" s="13"/>
      <c r="S367" s="4"/>
    </row>
    <row r="368" spans="16:19" ht="14.25" customHeight="1" x14ac:dyDescent="0.3">
      <c r="P368" s="13"/>
      <c r="Q368" s="13"/>
      <c r="R368" s="13"/>
      <c r="S368" s="4"/>
    </row>
    <row r="369" spans="16:19" ht="14.25" customHeight="1" x14ac:dyDescent="0.3">
      <c r="P369" s="13"/>
      <c r="Q369" s="13"/>
      <c r="R369" s="13"/>
      <c r="S369" s="4"/>
    </row>
    <row r="370" spans="16:19" ht="14.25" customHeight="1" x14ac:dyDescent="0.3">
      <c r="P370" s="13"/>
      <c r="Q370" s="13"/>
      <c r="R370" s="13"/>
      <c r="S370" s="4"/>
    </row>
    <row r="371" spans="16:19" ht="14.25" customHeight="1" x14ac:dyDescent="0.3">
      <c r="P371" s="13"/>
      <c r="Q371" s="13"/>
      <c r="R371" s="13"/>
      <c r="S371" s="4"/>
    </row>
    <row r="372" spans="16:19" ht="14.25" customHeight="1" x14ac:dyDescent="0.3">
      <c r="P372" s="13"/>
      <c r="Q372" s="13"/>
      <c r="R372" s="13"/>
      <c r="S372" s="4"/>
    </row>
    <row r="373" spans="16:19" ht="14.25" customHeight="1" x14ac:dyDescent="0.3">
      <c r="P373" s="13"/>
      <c r="Q373" s="13"/>
      <c r="R373" s="13"/>
      <c r="S373" s="4"/>
    </row>
    <row r="374" spans="16:19" ht="14.25" customHeight="1" x14ac:dyDescent="0.3">
      <c r="P374" s="13"/>
      <c r="Q374" s="13"/>
      <c r="R374" s="13"/>
      <c r="S374" s="4"/>
    </row>
    <row r="375" spans="16:19" ht="14.25" customHeight="1" x14ac:dyDescent="0.3">
      <c r="P375" s="13"/>
      <c r="Q375" s="13"/>
      <c r="R375" s="13"/>
      <c r="S375" s="4"/>
    </row>
    <row r="376" spans="16:19" ht="14.25" customHeight="1" x14ac:dyDescent="0.3">
      <c r="P376" s="13"/>
      <c r="Q376" s="13"/>
      <c r="R376" s="13"/>
      <c r="S376" s="4"/>
    </row>
    <row r="377" spans="16:19" ht="14.25" customHeight="1" x14ac:dyDescent="0.3">
      <c r="P377" s="13"/>
      <c r="Q377" s="13"/>
      <c r="R377" s="13"/>
      <c r="S377" s="4"/>
    </row>
    <row r="378" spans="16:19" ht="14.25" customHeight="1" x14ac:dyDescent="0.3">
      <c r="P378" s="13"/>
      <c r="Q378" s="13"/>
      <c r="R378" s="13"/>
      <c r="S378" s="4"/>
    </row>
    <row r="379" spans="16:19" ht="14.25" customHeight="1" x14ac:dyDescent="0.3">
      <c r="P379" s="13"/>
      <c r="Q379" s="13"/>
      <c r="R379" s="13"/>
      <c r="S379" s="4"/>
    </row>
    <row r="380" spans="16:19" ht="14.25" customHeight="1" x14ac:dyDescent="0.3">
      <c r="P380" s="13"/>
      <c r="Q380" s="13"/>
      <c r="R380" s="13"/>
      <c r="S380" s="4"/>
    </row>
    <row r="381" spans="16:19" ht="14.25" customHeight="1" x14ac:dyDescent="0.3">
      <c r="P381" s="13"/>
      <c r="Q381" s="13"/>
      <c r="R381" s="13"/>
      <c r="S381" s="4"/>
    </row>
    <row r="382" spans="16:19" ht="14.25" customHeight="1" x14ac:dyDescent="0.3">
      <c r="P382" s="13"/>
      <c r="Q382" s="13"/>
      <c r="R382" s="13"/>
      <c r="S382" s="4"/>
    </row>
    <row r="383" spans="16:19" ht="14.25" customHeight="1" x14ac:dyDescent="0.3">
      <c r="P383" s="13"/>
      <c r="Q383" s="13"/>
      <c r="R383" s="13"/>
      <c r="S383" s="4"/>
    </row>
    <row r="384" spans="16:19" ht="14.25" customHeight="1" x14ac:dyDescent="0.3">
      <c r="P384" s="13"/>
      <c r="Q384" s="13"/>
      <c r="R384" s="13"/>
      <c r="S384" s="4"/>
    </row>
    <row r="385" spans="16:19" ht="14.25" customHeight="1" x14ac:dyDescent="0.3">
      <c r="P385" s="13"/>
      <c r="Q385" s="13"/>
      <c r="R385" s="13"/>
      <c r="S385" s="4"/>
    </row>
    <row r="386" spans="16:19" ht="14.25" customHeight="1" x14ac:dyDescent="0.3">
      <c r="P386" s="13"/>
      <c r="Q386" s="13"/>
      <c r="R386" s="13"/>
      <c r="S386" s="4"/>
    </row>
    <row r="387" spans="16:19" ht="14.25" customHeight="1" x14ac:dyDescent="0.3">
      <c r="P387" s="13"/>
      <c r="Q387" s="13"/>
      <c r="R387" s="13"/>
      <c r="S387" s="4"/>
    </row>
    <row r="388" spans="16:19" ht="14.25" customHeight="1" x14ac:dyDescent="0.3">
      <c r="P388" s="13"/>
      <c r="Q388" s="13"/>
      <c r="R388" s="13"/>
      <c r="S388" s="4"/>
    </row>
    <row r="389" spans="16:19" ht="14.25" customHeight="1" x14ac:dyDescent="0.3">
      <c r="P389" s="13"/>
      <c r="Q389" s="13"/>
      <c r="R389" s="13"/>
      <c r="S389" s="4"/>
    </row>
    <row r="390" spans="16:19" ht="14.25" customHeight="1" x14ac:dyDescent="0.3">
      <c r="P390" s="13"/>
      <c r="Q390" s="13"/>
      <c r="R390" s="13"/>
      <c r="S390" s="4"/>
    </row>
    <row r="391" spans="16:19" ht="14.25" customHeight="1" x14ac:dyDescent="0.3">
      <c r="P391" s="13"/>
      <c r="Q391" s="13"/>
      <c r="R391" s="13"/>
      <c r="S391" s="4"/>
    </row>
    <row r="392" spans="16:19" ht="14.25" customHeight="1" x14ac:dyDescent="0.3">
      <c r="P392" s="13"/>
      <c r="Q392" s="13"/>
      <c r="R392" s="13"/>
      <c r="S392" s="4"/>
    </row>
    <row r="393" spans="16:19" ht="14.25" customHeight="1" x14ac:dyDescent="0.3">
      <c r="P393" s="13"/>
      <c r="Q393" s="13"/>
      <c r="R393" s="13"/>
      <c r="S393" s="4"/>
    </row>
    <row r="394" spans="16:19" ht="14.25" customHeight="1" x14ac:dyDescent="0.3">
      <c r="P394" s="13"/>
      <c r="Q394" s="13"/>
      <c r="R394" s="13"/>
      <c r="S394" s="4"/>
    </row>
    <row r="395" spans="16:19" ht="14.25" customHeight="1" x14ac:dyDescent="0.3">
      <c r="P395" s="13"/>
      <c r="Q395" s="13"/>
      <c r="R395" s="13"/>
      <c r="S395" s="4"/>
    </row>
    <row r="396" spans="16:19" ht="14.25" customHeight="1" x14ac:dyDescent="0.3">
      <c r="P396" s="13"/>
      <c r="Q396" s="13"/>
      <c r="R396" s="13"/>
      <c r="S396" s="4"/>
    </row>
    <row r="397" spans="16:19" ht="14.25" customHeight="1" x14ac:dyDescent="0.3">
      <c r="P397" s="13"/>
      <c r="Q397" s="13"/>
      <c r="R397" s="13"/>
      <c r="S397" s="4"/>
    </row>
    <row r="398" spans="16:19" ht="14.25" customHeight="1" x14ac:dyDescent="0.3">
      <c r="P398" s="13"/>
      <c r="Q398" s="13"/>
      <c r="R398" s="13"/>
      <c r="S398" s="4"/>
    </row>
    <row r="399" spans="16:19" ht="14.25" customHeight="1" x14ac:dyDescent="0.3">
      <c r="P399" s="13"/>
      <c r="Q399" s="13"/>
      <c r="R399" s="13"/>
      <c r="S399" s="4"/>
    </row>
    <row r="400" spans="16:19" ht="14.25" customHeight="1" x14ac:dyDescent="0.3">
      <c r="P400" s="13"/>
      <c r="Q400" s="13"/>
      <c r="R400" s="13"/>
      <c r="S400" s="4"/>
    </row>
    <row r="401" spans="16:19" ht="14.25" customHeight="1" x14ac:dyDescent="0.3">
      <c r="P401" s="13"/>
      <c r="Q401" s="13"/>
      <c r="R401" s="13"/>
      <c r="S401" s="4"/>
    </row>
    <row r="402" spans="16:19" ht="14.25" customHeight="1" x14ac:dyDescent="0.3">
      <c r="P402" s="13"/>
      <c r="Q402" s="13"/>
      <c r="R402" s="13"/>
      <c r="S402" s="4"/>
    </row>
    <row r="403" spans="16:19" ht="14.25" customHeight="1" x14ac:dyDescent="0.3">
      <c r="P403" s="13"/>
      <c r="Q403" s="13"/>
      <c r="R403" s="13"/>
      <c r="S403" s="4"/>
    </row>
    <row r="404" spans="16:19" ht="14.25" customHeight="1" x14ac:dyDescent="0.3">
      <c r="P404" s="13"/>
      <c r="Q404" s="13"/>
      <c r="R404" s="13"/>
      <c r="S404" s="4"/>
    </row>
    <row r="405" spans="16:19" ht="14.25" customHeight="1" x14ac:dyDescent="0.3">
      <c r="P405" s="13"/>
      <c r="Q405" s="13"/>
      <c r="R405" s="13"/>
      <c r="S405" s="4"/>
    </row>
    <row r="406" spans="16:19" ht="14.25" customHeight="1" x14ac:dyDescent="0.3">
      <c r="P406" s="13"/>
      <c r="Q406" s="13"/>
      <c r="R406" s="13"/>
      <c r="S406" s="4"/>
    </row>
    <row r="407" spans="16:19" ht="14.25" customHeight="1" x14ac:dyDescent="0.3">
      <c r="P407" s="13"/>
      <c r="Q407" s="13"/>
      <c r="R407" s="13"/>
      <c r="S407" s="4"/>
    </row>
    <row r="408" spans="16:19" ht="14.25" customHeight="1" x14ac:dyDescent="0.3">
      <c r="P408" s="13"/>
      <c r="Q408" s="13"/>
      <c r="R408" s="13"/>
      <c r="S408" s="4"/>
    </row>
    <row r="409" spans="16:19" ht="14.25" customHeight="1" x14ac:dyDescent="0.3">
      <c r="P409" s="13"/>
      <c r="Q409" s="13"/>
      <c r="R409" s="13"/>
      <c r="S409" s="4"/>
    </row>
    <row r="410" spans="16:19" ht="14.25" customHeight="1" x14ac:dyDescent="0.3">
      <c r="P410" s="13"/>
      <c r="Q410" s="13"/>
      <c r="R410" s="13"/>
      <c r="S410" s="4"/>
    </row>
    <row r="411" spans="16:19" ht="14.25" customHeight="1" x14ac:dyDescent="0.3">
      <c r="P411" s="13"/>
      <c r="Q411" s="13"/>
      <c r="R411" s="13"/>
      <c r="S411" s="4"/>
    </row>
    <row r="412" spans="16:19" ht="14.25" customHeight="1" x14ac:dyDescent="0.3">
      <c r="P412" s="13"/>
      <c r="Q412" s="13"/>
      <c r="R412" s="13"/>
      <c r="S412" s="4"/>
    </row>
    <row r="413" spans="16:19" ht="14.25" customHeight="1" x14ac:dyDescent="0.3">
      <c r="P413" s="13"/>
      <c r="Q413" s="13"/>
      <c r="R413" s="13"/>
      <c r="S413" s="4"/>
    </row>
    <row r="414" spans="16:19" ht="14.25" customHeight="1" x14ac:dyDescent="0.3">
      <c r="P414" s="13"/>
      <c r="Q414" s="13"/>
      <c r="R414" s="13"/>
      <c r="S414" s="4"/>
    </row>
    <row r="415" spans="16:19" ht="14.25" customHeight="1" x14ac:dyDescent="0.3">
      <c r="P415" s="13"/>
      <c r="Q415" s="13"/>
      <c r="R415" s="13"/>
      <c r="S415" s="4"/>
    </row>
    <row r="416" spans="16:19" ht="14.25" customHeight="1" x14ac:dyDescent="0.3">
      <c r="P416" s="13"/>
      <c r="Q416" s="13"/>
      <c r="R416" s="13"/>
      <c r="S416" s="4"/>
    </row>
    <row r="417" spans="16:19" ht="14.25" customHeight="1" x14ac:dyDescent="0.3">
      <c r="P417" s="13"/>
      <c r="Q417" s="13"/>
      <c r="R417" s="13"/>
      <c r="S417" s="4"/>
    </row>
    <row r="418" spans="16:19" ht="14.25" customHeight="1" x14ac:dyDescent="0.3">
      <c r="P418" s="13"/>
      <c r="Q418" s="13"/>
      <c r="R418" s="13"/>
      <c r="S418" s="4"/>
    </row>
    <row r="419" spans="16:19" ht="14.25" customHeight="1" x14ac:dyDescent="0.3">
      <c r="P419" s="13"/>
      <c r="Q419" s="13"/>
      <c r="R419" s="13"/>
      <c r="S419" s="4"/>
    </row>
    <row r="420" spans="16:19" ht="14.25" customHeight="1" x14ac:dyDescent="0.3">
      <c r="P420" s="13"/>
      <c r="Q420" s="13"/>
      <c r="R420" s="13"/>
      <c r="S420" s="4"/>
    </row>
    <row r="421" spans="16:19" ht="14.25" customHeight="1" x14ac:dyDescent="0.3">
      <c r="P421" s="13"/>
      <c r="Q421" s="13"/>
      <c r="R421" s="13"/>
      <c r="S421" s="4"/>
    </row>
    <row r="422" spans="16:19" ht="14.25" customHeight="1" x14ac:dyDescent="0.3">
      <c r="P422" s="13"/>
      <c r="Q422" s="13"/>
      <c r="R422" s="13"/>
      <c r="S422" s="4"/>
    </row>
    <row r="423" spans="16:19" ht="14.25" customHeight="1" x14ac:dyDescent="0.3">
      <c r="P423" s="13"/>
      <c r="Q423" s="13"/>
      <c r="R423" s="13"/>
      <c r="S423" s="4"/>
    </row>
    <row r="424" spans="16:19" ht="14.25" customHeight="1" x14ac:dyDescent="0.3">
      <c r="P424" s="13"/>
      <c r="Q424" s="13"/>
      <c r="R424" s="13"/>
      <c r="S424" s="4"/>
    </row>
    <row r="425" spans="16:19" ht="14.25" customHeight="1" x14ac:dyDescent="0.3">
      <c r="P425" s="13"/>
      <c r="Q425" s="13"/>
      <c r="R425" s="13"/>
      <c r="S425" s="4"/>
    </row>
    <row r="426" spans="16:19" ht="14.25" customHeight="1" x14ac:dyDescent="0.3">
      <c r="P426" s="13"/>
      <c r="Q426" s="13"/>
      <c r="R426" s="13"/>
      <c r="S426" s="4"/>
    </row>
    <row r="427" spans="16:19" ht="14.25" customHeight="1" x14ac:dyDescent="0.3">
      <c r="P427" s="13"/>
      <c r="Q427" s="13"/>
      <c r="R427" s="13"/>
      <c r="S427" s="4"/>
    </row>
    <row r="428" spans="16:19" ht="14.25" customHeight="1" x14ac:dyDescent="0.3">
      <c r="P428" s="13"/>
      <c r="Q428" s="13"/>
      <c r="R428" s="13"/>
      <c r="S428" s="4"/>
    </row>
    <row r="429" spans="16:19" ht="14.25" customHeight="1" x14ac:dyDescent="0.3">
      <c r="P429" s="13"/>
      <c r="Q429" s="13"/>
      <c r="R429" s="13"/>
      <c r="S429" s="4"/>
    </row>
    <row r="430" spans="16:19" ht="14.25" customHeight="1" x14ac:dyDescent="0.3">
      <c r="P430" s="13"/>
      <c r="Q430" s="13"/>
      <c r="R430" s="13"/>
      <c r="S430" s="4"/>
    </row>
    <row r="431" spans="16:19" ht="14.25" customHeight="1" x14ac:dyDescent="0.3">
      <c r="P431" s="13"/>
      <c r="Q431" s="13"/>
      <c r="R431" s="13"/>
      <c r="S431" s="4"/>
    </row>
    <row r="432" spans="16:19" ht="14.25" customHeight="1" x14ac:dyDescent="0.3">
      <c r="P432" s="13"/>
      <c r="Q432" s="13"/>
      <c r="R432" s="13"/>
      <c r="S432" s="4"/>
    </row>
    <row r="433" spans="16:19" ht="14.25" customHeight="1" x14ac:dyDescent="0.3">
      <c r="P433" s="13"/>
      <c r="Q433" s="13"/>
      <c r="R433" s="13"/>
      <c r="S433" s="4"/>
    </row>
    <row r="434" spans="16:19" ht="14.25" customHeight="1" x14ac:dyDescent="0.3">
      <c r="P434" s="13"/>
      <c r="Q434" s="13"/>
      <c r="R434" s="13"/>
      <c r="S434" s="4"/>
    </row>
    <row r="435" spans="16:19" ht="14.25" customHeight="1" x14ac:dyDescent="0.3">
      <c r="P435" s="13"/>
      <c r="Q435" s="13"/>
      <c r="R435" s="13"/>
      <c r="S435" s="4"/>
    </row>
    <row r="436" spans="16:19" ht="14.25" customHeight="1" x14ac:dyDescent="0.3">
      <c r="P436" s="13"/>
      <c r="Q436" s="13"/>
      <c r="R436" s="13"/>
      <c r="S436" s="4"/>
    </row>
    <row r="437" spans="16:19" ht="14.25" customHeight="1" x14ac:dyDescent="0.3">
      <c r="P437" s="13"/>
      <c r="Q437" s="13"/>
      <c r="R437" s="13"/>
      <c r="S437" s="4"/>
    </row>
    <row r="438" spans="16:19" ht="14.25" customHeight="1" x14ac:dyDescent="0.3">
      <c r="P438" s="13"/>
      <c r="Q438" s="13"/>
      <c r="R438" s="13"/>
      <c r="S438" s="4"/>
    </row>
    <row r="439" spans="16:19" ht="14.25" customHeight="1" x14ac:dyDescent="0.3">
      <c r="P439" s="13"/>
      <c r="Q439" s="13"/>
      <c r="R439" s="13"/>
      <c r="S439" s="4"/>
    </row>
    <row r="440" spans="16:19" ht="14.25" customHeight="1" x14ac:dyDescent="0.3">
      <c r="P440" s="13"/>
      <c r="Q440" s="13"/>
      <c r="R440" s="13"/>
      <c r="S440" s="4"/>
    </row>
    <row r="441" spans="16:19" ht="14.25" customHeight="1" x14ac:dyDescent="0.3">
      <c r="P441" s="13"/>
      <c r="Q441" s="13"/>
      <c r="R441" s="13"/>
      <c r="S441" s="4"/>
    </row>
    <row r="442" spans="16:19" ht="14.25" customHeight="1" x14ac:dyDescent="0.3">
      <c r="P442" s="13"/>
      <c r="Q442" s="13"/>
      <c r="R442" s="13"/>
      <c r="S442" s="4"/>
    </row>
    <row r="443" spans="16:19" ht="14.25" customHeight="1" x14ac:dyDescent="0.3">
      <c r="P443" s="13"/>
      <c r="Q443" s="13"/>
      <c r="R443" s="13"/>
      <c r="S443" s="4"/>
    </row>
    <row r="444" spans="16:19" ht="14.25" customHeight="1" x14ac:dyDescent="0.3">
      <c r="P444" s="13"/>
      <c r="Q444" s="13"/>
      <c r="R444" s="13"/>
      <c r="S444" s="4"/>
    </row>
    <row r="445" spans="16:19" ht="14.25" customHeight="1" x14ac:dyDescent="0.3">
      <c r="P445" s="13"/>
      <c r="Q445" s="13"/>
      <c r="R445" s="13"/>
      <c r="S445" s="4"/>
    </row>
    <row r="446" spans="16:19" ht="14.25" customHeight="1" x14ac:dyDescent="0.3">
      <c r="P446" s="13"/>
      <c r="Q446" s="13"/>
      <c r="R446" s="13"/>
      <c r="S446" s="4"/>
    </row>
    <row r="447" spans="16:19" ht="14.25" customHeight="1" x14ac:dyDescent="0.3">
      <c r="P447" s="13"/>
      <c r="Q447" s="13"/>
      <c r="R447" s="13"/>
      <c r="S447" s="4"/>
    </row>
    <row r="448" spans="16:19" ht="14.25" customHeight="1" x14ac:dyDescent="0.3">
      <c r="P448" s="13"/>
      <c r="Q448" s="13"/>
      <c r="R448" s="13"/>
      <c r="S448" s="4"/>
    </row>
    <row r="449" spans="16:19" ht="14.25" customHeight="1" x14ac:dyDescent="0.3">
      <c r="P449" s="13"/>
      <c r="Q449" s="13"/>
      <c r="R449" s="13"/>
      <c r="S449" s="4"/>
    </row>
    <row r="450" spans="16:19" ht="14.25" customHeight="1" x14ac:dyDescent="0.3">
      <c r="P450" s="13"/>
      <c r="Q450" s="13"/>
      <c r="R450" s="13"/>
      <c r="S450" s="4"/>
    </row>
    <row r="451" spans="16:19" ht="14.25" customHeight="1" x14ac:dyDescent="0.3">
      <c r="P451" s="13"/>
      <c r="Q451" s="13"/>
      <c r="R451" s="13"/>
      <c r="S451" s="4"/>
    </row>
    <row r="452" spans="16:19" ht="14.25" customHeight="1" x14ac:dyDescent="0.3">
      <c r="P452" s="13"/>
      <c r="Q452" s="13"/>
      <c r="R452" s="13"/>
      <c r="S452" s="4"/>
    </row>
    <row r="453" spans="16:19" ht="14.25" customHeight="1" x14ac:dyDescent="0.3">
      <c r="P453" s="13"/>
      <c r="Q453" s="13"/>
      <c r="R453" s="13"/>
      <c r="S453" s="4"/>
    </row>
    <row r="454" spans="16:19" ht="14.25" customHeight="1" x14ac:dyDescent="0.3">
      <c r="P454" s="13"/>
      <c r="Q454" s="13"/>
      <c r="R454" s="13"/>
      <c r="S454" s="4"/>
    </row>
    <row r="455" spans="16:19" ht="14.25" customHeight="1" x14ac:dyDescent="0.3">
      <c r="P455" s="13"/>
      <c r="Q455" s="13"/>
      <c r="R455" s="13"/>
      <c r="S455" s="4"/>
    </row>
    <row r="456" spans="16:19" ht="14.25" customHeight="1" x14ac:dyDescent="0.3">
      <c r="P456" s="13"/>
      <c r="Q456" s="13"/>
      <c r="R456" s="13"/>
      <c r="S456" s="4"/>
    </row>
    <row r="457" spans="16:19" ht="14.25" customHeight="1" x14ac:dyDescent="0.3">
      <c r="P457" s="13"/>
      <c r="Q457" s="13"/>
      <c r="R457" s="13"/>
      <c r="S457" s="4"/>
    </row>
    <row r="458" spans="16:19" ht="14.25" customHeight="1" x14ac:dyDescent="0.3">
      <c r="P458" s="13"/>
      <c r="Q458" s="13"/>
      <c r="R458" s="13"/>
      <c r="S458" s="4"/>
    </row>
    <row r="459" spans="16:19" ht="14.25" customHeight="1" x14ac:dyDescent="0.3">
      <c r="P459" s="13"/>
      <c r="Q459" s="13"/>
      <c r="R459" s="13"/>
      <c r="S459" s="4"/>
    </row>
    <row r="460" spans="16:19" ht="14.25" customHeight="1" x14ac:dyDescent="0.3">
      <c r="P460" s="13"/>
      <c r="Q460" s="13"/>
      <c r="R460" s="13"/>
      <c r="S460" s="4"/>
    </row>
    <row r="461" spans="16:19" ht="14.25" customHeight="1" x14ac:dyDescent="0.3">
      <c r="P461" s="13"/>
      <c r="Q461" s="13"/>
      <c r="R461" s="13"/>
      <c r="S461" s="4"/>
    </row>
    <row r="462" spans="16:19" ht="14.25" customHeight="1" x14ac:dyDescent="0.3">
      <c r="P462" s="13"/>
      <c r="Q462" s="13"/>
      <c r="R462" s="13"/>
      <c r="S462" s="4"/>
    </row>
    <row r="463" spans="16:19" ht="14.25" customHeight="1" x14ac:dyDescent="0.3">
      <c r="P463" s="13"/>
      <c r="Q463" s="13"/>
      <c r="R463" s="13"/>
      <c r="S463" s="4"/>
    </row>
    <row r="464" spans="16:19" ht="14.25" customHeight="1" x14ac:dyDescent="0.3">
      <c r="P464" s="13"/>
      <c r="Q464" s="13"/>
      <c r="R464" s="13"/>
      <c r="S464" s="4"/>
    </row>
    <row r="465" spans="16:19" ht="14.25" customHeight="1" x14ac:dyDescent="0.3">
      <c r="P465" s="13"/>
      <c r="Q465" s="13"/>
      <c r="R465" s="13"/>
      <c r="S465" s="4"/>
    </row>
    <row r="466" spans="16:19" ht="14.25" customHeight="1" x14ac:dyDescent="0.3">
      <c r="P466" s="13"/>
      <c r="Q466" s="13"/>
      <c r="R466" s="13"/>
      <c r="S466" s="4"/>
    </row>
    <row r="467" spans="16:19" ht="14.25" customHeight="1" x14ac:dyDescent="0.3">
      <c r="P467" s="13"/>
      <c r="Q467" s="13"/>
      <c r="R467" s="13"/>
      <c r="S467" s="4"/>
    </row>
    <row r="468" spans="16:19" ht="14.25" customHeight="1" x14ac:dyDescent="0.3">
      <c r="P468" s="13"/>
      <c r="Q468" s="13"/>
      <c r="R468" s="13"/>
      <c r="S468" s="4"/>
    </row>
    <row r="469" spans="16:19" ht="14.25" customHeight="1" x14ac:dyDescent="0.3">
      <c r="P469" s="13"/>
      <c r="Q469" s="13"/>
      <c r="R469" s="13"/>
      <c r="S469" s="4"/>
    </row>
    <row r="470" spans="16:19" ht="14.25" customHeight="1" x14ac:dyDescent="0.3">
      <c r="P470" s="13"/>
      <c r="Q470" s="13"/>
      <c r="R470" s="13"/>
      <c r="S470" s="4"/>
    </row>
    <row r="471" spans="16:19" ht="14.25" customHeight="1" x14ac:dyDescent="0.3">
      <c r="P471" s="13"/>
      <c r="Q471" s="13"/>
      <c r="R471" s="13"/>
      <c r="S471" s="4"/>
    </row>
    <row r="472" spans="16:19" ht="14.25" customHeight="1" x14ac:dyDescent="0.3">
      <c r="P472" s="13"/>
      <c r="Q472" s="13"/>
      <c r="R472" s="13"/>
      <c r="S472" s="4"/>
    </row>
    <row r="473" spans="16:19" ht="14.25" customHeight="1" x14ac:dyDescent="0.3">
      <c r="P473" s="13"/>
      <c r="Q473" s="13"/>
      <c r="R473" s="13"/>
      <c r="S473" s="4"/>
    </row>
    <row r="474" spans="16:19" ht="14.25" customHeight="1" x14ac:dyDescent="0.3">
      <c r="P474" s="13"/>
      <c r="Q474" s="13"/>
      <c r="R474" s="13"/>
      <c r="S474" s="4"/>
    </row>
    <row r="475" spans="16:19" ht="14.25" customHeight="1" x14ac:dyDescent="0.3">
      <c r="P475" s="13"/>
      <c r="Q475" s="13"/>
      <c r="R475" s="13"/>
      <c r="S475" s="4"/>
    </row>
    <row r="476" spans="16:19" ht="14.25" customHeight="1" x14ac:dyDescent="0.3">
      <c r="P476" s="13"/>
      <c r="Q476" s="13"/>
      <c r="R476" s="13"/>
      <c r="S476" s="4"/>
    </row>
    <row r="477" spans="16:19" ht="14.25" customHeight="1" x14ac:dyDescent="0.3">
      <c r="P477" s="13"/>
      <c r="Q477" s="13"/>
      <c r="R477" s="13"/>
      <c r="S477" s="4"/>
    </row>
    <row r="478" spans="16:19" ht="14.25" customHeight="1" x14ac:dyDescent="0.3">
      <c r="P478" s="13"/>
      <c r="Q478" s="13"/>
      <c r="R478" s="13"/>
      <c r="S478" s="4"/>
    </row>
    <row r="479" spans="16:19" ht="14.25" customHeight="1" x14ac:dyDescent="0.3">
      <c r="P479" s="13"/>
      <c r="Q479" s="13"/>
      <c r="R479" s="13"/>
      <c r="S479" s="4"/>
    </row>
    <row r="480" spans="16:19" ht="14.25" customHeight="1" x14ac:dyDescent="0.3">
      <c r="P480" s="13"/>
      <c r="Q480" s="13"/>
      <c r="R480" s="13"/>
      <c r="S480" s="4"/>
    </row>
    <row r="481" spans="16:19" ht="14.25" customHeight="1" x14ac:dyDescent="0.3">
      <c r="P481" s="13"/>
      <c r="Q481" s="13"/>
      <c r="R481" s="13"/>
      <c r="S481" s="4"/>
    </row>
    <row r="482" spans="16:19" ht="14.25" customHeight="1" x14ac:dyDescent="0.3">
      <c r="P482" s="13"/>
      <c r="Q482" s="13"/>
      <c r="R482" s="13"/>
      <c r="S482" s="4"/>
    </row>
    <row r="483" spans="16:19" ht="14.25" customHeight="1" x14ac:dyDescent="0.3">
      <c r="P483" s="13"/>
      <c r="Q483" s="13"/>
      <c r="R483" s="13"/>
      <c r="S483" s="4"/>
    </row>
    <row r="484" spans="16:19" ht="14.25" customHeight="1" x14ac:dyDescent="0.3">
      <c r="P484" s="13"/>
      <c r="Q484" s="13"/>
      <c r="R484" s="13"/>
      <c r="S484" s="4"/>
    </row>
    <row r="485" spans="16:19" ht="14.25" customHeight="1" x14ac:dyDescent="0.3">
      <c r="P485" s="13"/>
      <c r="Q485" s="13"/>
      <c r="R485" s="13"/>
      <c r="S485" s="4"/>
    </row>
    <row r="486" spans="16:19" ht="14.25" customHeight="1" x14ac:dyDescent="0.3">
      <c r="P486" s="13"/>
      <c r="Q486" s="13"/>
      <c r="R486" s="13"/>
      <c r="S486" s="4"/>
    </row>
    <row r="487" spans="16:19" ht="14.25" customHeight="1" x14ac:dyDescent="0.3">
      <c r="P487" s="13"/>
      <c r="Q487" s="13"/>
      <c r="R487" s="13"/>
      <c r="S487" s="4"/>
    </row>
    <row r="488" spans="16:19" ht="14.25" customHeight="1" x14ac:dyDescent="0.3">
      <c r="P488" s="13"/>
      <c r="Q488" s="13"/>
      <c r="R488" s="13"/>
      <c r="S488" s="4"/>
    </row>
    <row r="489" spans="16:19" ht="14.25" customHeight="1" x14ac:dyDescent="0.3">
      <c r="P489" s="13"/>
      <c r="Q489" s="13"/>
      <c r="R489" s="13"/>
      <c r="S489" s="4"/>
    </row>
    <row r="490" spans="16:19" ht="14.25" customHeight="1" x14ac:dyDescent="0.3">
      <c r="P490" s="13"/>
      <c r="Q490" s="13"/>
      <c r="R490" s="13"/>
      <c r="S490" s="4"/>
    </row>
    <row r="491" spans="16:19" ht="14.25" customHeight="1" x14ac:dyDescent="0.3">
      <c r="P491" s="13"/>
      <c r="Q491" s="13"/>
      <c r="R491" s="13"/>
      <c r="S491" s="4"/>
    </row>
    <row r="492" spans="16:19" ht="14.25" customHeight="1" x14ac:dyDescent="0.3">
      <c r="P492" s="13"/>
      <c r="Q492" s="13"/>
      <c r="R492" s="13"/>
      <c r="S492" s="4"/>
    </row>
    <row r="493" spans="16:19" ht="14.25" customHeight="1" x14ac:dyDescent="0.3">
      <c r="P493" s="13"/>
      <c r="Q493" s="13"/>
      <c r="R493" s="13"/>
      <c r="S493" s="4"/>
    </row>
    <row r="494" spans="16:19" ht="14.25" customHeight="1" x14ac:dyDescent="0.3">
      <c r="P494" s="13"/>
      <c r="Q494" s="13"/>
      <c r="R494" s="13"/>
      <c r="S494" s="4"/>
    </row>
    <row r="495" spans="16:19" ht="14.25" customHeight="1" x14ac:dyDescent="0.3">
      <c r="P495" s="13"/>
      <c r="Q495" s="13"/>
      <c r="R495" s="13"/>
      <c r="S495" s="4"/>
    </row>
    <row r="496" spans="16:19" ht="14.25" customHeight="1" x14ac:dyDescent="0.3">
      <c r="P496" s="13"/>
      <c r="Q496" s="13"/>
      <c r="R496" s="13"/>
      <c r="S496" s="4"/>
    </row>
    <row r="497" spans="16:19" ht="14.25" customHeight="1" x14ac:dyDescent="0.3">
      <c r="P497" s="13"/>
      <c r="Q497" s="13"/>
      <c r="R497" s="13"/>
      <c r="S497" s="4"/>
    </row>
    <row r="498" spans="16:19" ht="14.25" customHeight="1" x14ac:dyDescent="0.3">
      <c r="P498" s="13"/>
      <c r="Q498" s="13"/>
      <c r="R498" s="13"/>
      <c r="S498" s="4"/>
    </row>
    <row r="499" spans="16:19" ht="14.25" customHeight="1" x14ac:dyDescent="0.3">
      <c r="P499" s="13"/>
      <c r="Q499" s="13"/>
      <c r="R499" s="13"/>
      <c r="S499" s="4"/>
    </row>
    <row r="500" spans="16:19" ht="14.25" customHeight="1" x14ac:dyDescent="0.3">
      <c r="P500" s="13"/>
      <c r="Q500" s="13"/>
      <c r="R500" s="13"/>
      <c r="S500" s="4"/>
    </row>
    <row r="501" spans="16:19" ht="14.25" customHeight="1" x14ac:dyDescent="0.3">
      <c r="P501" s="13"/>
      <c r="Q501" s="13"/>
      <c r="R501" s="13"/>
      <c r="S501" s="4"/>
    </row>
    <row r="502" spans="16:19" ht="14.25" customHeight="1" x14ac:dyDescent="0.3">
      <c r="P502" s="13"/>
      <c r="Q502" s="13"/>
      <c r="R502" s="13"/>
      <c r="S502" s="4"/>
    </row>
    <row r="503" spans="16:19" ht="14.25" customHeight="1" x14ac:dyDescent="0.3">
      <c r="P503" s="13"/>
      <c r="Q503" s="13"/>
      <c r="R503" s="13"/>
      <c r="S503" s="4"/>
    </row>
    <row r="504" spans="16:19" ht="14.25" customHeight="1" x14ac:dyDescent="0.3">
      <c r="P504" s="13"/>
      <c r="Q504" s="13"/>
      <c r="R504" s="13"/>
      <c r="S504" s="4"/>
    </row>
    <row r="505" spans="16:19" ht="14.25" customHeight="1" x14ac:dyDescent="0.3">
      <c r="P505" s="13"/>
      <c r="Q505" s="13"/>
      <c r="R505" s="13"/>
      <c r="S505" s="4"/>
    </row>
    <row r="506" spans="16:19" ht="14.25" customHeight="1" x14ac:dyDescent="0.3">
      <c r="P506" s="13"/>
      <c r="Q506" s="13"/>
      <c r="R506" s="13"/>
      <c r="S506" s="4"/>
    </row>
    <row r="507" spans="16:19" ht="14.25" customHeight="1" x14ac:dyDescent="0.3">
      <c r="P507" s="13"/>
      <c r="Q507" s="13"/>
      <c r="R507" s="13"/>
      <c r="S507" s="4"/>
    </row>
    <row r="508" spans="16:19" ht="14.25" customHeight="1" x14ac:dyDescent="0.3">
      <c r="P508" s="13"/>
      <c r="Q508" s="13"/>
      <c r="R508" s="13"/>
      <c r="S508" s="4"/>
    </row>
    <row r="509" spans="16:19" ht="14.25" customHeight="1" x14ac:dyDescent="0.3">
      <c r="P509" s="13"/>
      <c r="Q509" s="13"/>
      <c r="R509" s="13"/>
      <c r="S509" s="4"/>
    </row>
    <row r="510" spans="16:19" ht="14.25" customHeight="1" x14ac:dyDescent="0.3">
      <c r="P510" s="13"/>
      <c r="Q510" s="13"/>
      <c r="R510" s="13"/>
      <c r="S510" s="4"/>
    </row>
    <row r="511" spans="16:19" ht="14.25" customHeight="1" x14ac:dyDescent="0.3">
      <c r="P511" s="13"/>
      <c r="Q511" s="13"/>
      <c r="R511" s="13"/>
      <c r="S511" s="4"/>
    </row>
    <row r="512" spans="16:19" ht="14.25" customHeight="1" x14ac:dyDescent="0.3">
      <c r="P512" s="13"/>
      <c r="Q512" s="13"/>
      <c r="R512" s="13"/>
      <c r="S512" s="4"/>
    </row>
    <row r="513" spans="16:19" ht="14.25" customHeight="1" x14ac:dyDescent="0.3">
      <c r="P513" s="13"/>
      <c r="Q513" s="13"/>
      <c r="R513" s="13"/>
      <c r="S513" s="4"/>
    </row>
    <row r="514" spans="16:19" ht="14.25" customHeight="1" x14ac:dyDescent="0.3">
      <c r="P514" s="13"/>
      <c r="Q514" s="13"/>
      <c r="R514" s="13"/>
      <c r="S514" s="4"/>
    </row>
    <row r="515" spans="16:19" ht="14.25" customHeight="1" x14ac:dyDescent="0.3">
      <c r="P515" s="13"/>
      <c r="Q515" s="13"/>
      <c r="R515" s="13"/>
      <c r="S515" s="4"/>
    </row>
    <row r="516" spans="16:19" ht="14.25" customHeight="1" x14ac:dyDescent="0.3">
      <c r="P516" s="13"/>
      <c r="Q516" s="13"/>
      <c r="R516" s="13"/>
      <c r="S516" s="4"/>
    </row>
    <row r="517" spans="16:19" ht="14.25" customHeight="1" x14ac:dyDescent="0.3">
      <c r="P517" s="13"/>
      <c r="Q517" s="13"/>
      <c r="R517" s="13"/>
      <c r="S517" s="4"/>
    </row>
    <row r="518" spans="16:19" ht="14.25" customHeight="1" x14ac:dyDescent="0.3">
      <c r="P518" s="13"/>
      <c r="Q518" s="13"/>
      <c r="R518" s="13"/>
      <c r="S518" s="4"/>
    </row>
    <row r="519" spans="16:19" ht="14.25" customHeight="1" x14ac:dyDescent="0.3">
      <c r="P519" s="13"/>
      <c r="Q519" s="13"/>
      <c r="R519" s="13"/>
      <c r="S519" s="4"/>
    </row>
    <row r="520" spans="16:19" ht="14.25" customHeight="1" x14ac:dyDescent="0.3">
      <c r="P520" s="13"/>
      <c r="Q520" s="13"/>
      <c r="R520" s="13"/>
      <c r="S520" s="4"/>
    </row>
    <row r="521" spans="16:19" ht="14.25" customHeight="1" x14ac:dyDescent="0.3">
      <c r="P521" s="13"/>
      <c r="Q521" s="13"/>
      <c r="R521" s="13"/>
      <c r="S521" s="4"/>
    </row>
    <row r="522" spans="16:19" ht="14.25" customHeight="1" x14ac:dyDescent="0.3">
      <c r="P522" s="13"/>
      <c r="Q522" s="13"/>
      <c r="R522" s="13"/>
      <c r="S522" s="4"/>
    </row>
    <row r="523" spans="16:19" ht="14.25" customHeight="1" x14ac:dyDescent="0.3">
      <c r="P523" s="13"/>
      <c r="Q523" s="13"/>
      <c r="R523" s="13"/>
      <c r="S523" s="4"/>
    </row>
    <row r="524" spans="16:19" ht="14.25" customHeight="1" x14ac:dyDescent="0.3">
      <c r="P524" s="13"/>
      <c r="Q524" s="13"/>
      <c r="R524" s="13"/>
      <c r="S524" s="4"/>
    </row>
    <row r="525" spans="16:19" ht="14.25" customHeight="1" x14ac:dyDescent="0.3">
      <c r="P525" s="13"/>
      <c r="Q525" s="13"/>
      <c r="R525" s="13"/>
      <c r="S525" s="4"/>
    </row>
    <row r="526" spans="16:19" ht="14.25" customHeight="1" x14ac:dyDescent="0.3">
      <c r="P526" s="13"/>
      <c r="Q526" s="13"/>
      <c r="R526" s="13"/>
      <c r="S526" s="4"/>
    </row>
    <row r="527" spans="16:19" ht="14.25" customHeight="1" x14ac:dyDescent="0.3">
      <c r="P527" s="13"/>
      <c r="Q527" s="13"/>
      <c r="R527" s="13"/>
      <c r="S527" s="4"/>
    </row>
    <row r="528" spans="16:19" ht="14.25" customHeight="1" x14ac:dyDescent="0.3">
      <c r="P528" s="13"/>
      <c r="Q528" s="13"/>
      <c r="R528" s="13"/>
      <c r="S528" s="4"/>
    </row>
    <row r="529" spans="16:19" ht="14.25" customHeight="1" x14ac:dyDescent="0.3">
      <c r="P529" s="13"/>
      <c r="Q529" s="13"/>
      <c r="R529" s="13"/>
      <c r="S529" s="4"/>
    </row>
    <row r="530" spans="16:19" ht="14.25" customHeight="1" x14ac:dyDescent="0.3">
      <c r="P530" s="13"/>
      <c r="Q530" s="13"/>
      <c r="R530" s="13"/>
      <c r="S530" s="4"/>
    </row>
    <row r="531" spans="16:19" ht="14.25" customHeight="1" x14ac:dyDescent="0.3">
      <c r="P531" s="13"/>
      <c r="Q531" s="13"/>
      <c r="R531" s="13"/>
      <c r="S531" s="4"/>
    </row>
    <row r="532" spans="16:19" ht="14.25" customHeight="1" x14ac:dyDescent="0.3">
      <c r="P532" s="13"/>
      <c r="Q532" s="13"/>
      <c r="R532" s="13"/>
      <c r="S532" s="4"/>
    </row>
    <row r="533" spans="16:19" ht="14.25" customHeight="1" x14ac:dyDescent="0.3">
      <c r="P533" s="13"/>
      <c r="Q533" s="13"/>
      <c r="R533" s="13"/>
      <c r="S533" s="4"/>
    </row>
    <row r="534" spans="16:19" ht="14.25" customHeight="1" x14ac:dyDescent="0.3">
      <c r="P534" s="13"/>
      <c r="Q534" s="13"/>
      <c r="R534" s="13"/>
      <c r="S534" s="4"/>
    </row>
    <row r="535" spans="16:19" ht="14.25" customHeight="1" x14ac:dyDescent="0.3">
      <c r="P535" s="13"/>
      <c r="Q535" s="13"/>
      <c r="R535" s="13"/>
      <c r="S535" s="4"/>
    </row>
    <row r="536" spans="16:19" ht="14.25" customHeight="1" x14ac:dyDescent="0.3">
      <c r="P536" s="13"/>
      <c r="Q536" s="13"/>
      <c r="R536" s="13"/>
      <c r="S536" s="4"/>
    </row>
    <row r="537" spans="16:19" ht="14.25" customHeight="1" x14ac:dyDescent="0.3">
      <c r="P537" s="13"/>
      <c r="Q537" s="13"/>
      <c r="R537" s="13"/>
      <c r="S537" s="4"/>
    </row>
    <row r="538" spans="16:19" ht="14.25" customHeight="1" x14ac:dyDescent="0.3">
      <c r="P538" s="13"/>
      <c r="Q538" s="13"/>
      <c r="R538" s="13"/>
      <c r="S538" s="4"/>
    </row>
    <row r="539" spans="16:19" ht="14.25" customHeight="1" x14ac:dyDescent="0.3">
      <c r="P539" s="13"/>
      <c r="Q539" s="13"/>
      <c r="R539" s="13"/>
      <c r="S539" s="4"/>
    </row>
    <row r="540" spans="16:19" ht="14.25" customHeight="1" x14ac:dyDescent="0.3">
      <c r="P540" s="13"/>
      <c r="Q540" s="13"/>
      <c r="R540" s="13"/>
      <c r="S540" s="4"/>
    </row>
    <row r="541" spans="16:19" ht="14.25" customHeight="1" x14ac:dyDescent="0.3">
      <c r="P541" s="13"/>
      <c r="Q541" s="13"/>
      <c r="R541" s="13"/>
      <c r="S541" s="4"/>
    </row>
    <row r="542" spans="16:19" ht="14.25" customHeight="1" x14ac:dyDescent="0.3">
      <c r="P542" s="13"/>
      <c r="Q542" s="13"/>
      <c r="R542" s="13"/>
      <c r="S542" s="4"/>
    </row>
    <row r="543" spans="16:19" ht="14.25" customHeight="1" x14ac:dyDescent="0.3">
      <c r="P543" s="13"/>
      <c r="Q543" s="13"/>
      <c r="R543" s="13"/>
      <c r="S543" s="4"/>
    </row>
    <row r="544" spans="16:19" ht="14.25" customHeight="1" x14ac:dyDescent="0.3">
      <c r="P544" s="13"/>
      <c r="Q544" s="13"/>
      <c r="R544" s="13"/>
      <c r="S544" s="4"/>
    </row>
    <row r="545" spans="16:19" ht="14.25" customHeight="1" x14ac:dyDescent="0.3">
      <c r="P545" s="13"/>
      <c r="Q545" s="13"/>
      <c r="R545" s="13"/>
      <c r="S545" s="4"/>
    </row>
    <row r="546" spans="16:19" ht="14.25" customHeight="1" x14ac:dyDescent="0.3">
      <c r="P546" s="13"/>
      <c r="Q546" s="13"/>
      <c r="R546" s="13"/>
      <c r="S546" s="4"/>
    </row>
    <row r="547" spans="16:19" ht="14.25" customHeight="1" x14ac:dyDescent="0.3">
      <c r="P547" s="13"/>
      <c r="Q547" s="13"/>
      <c r="R547" s="13"/>
      <c r="S547" s="4"/>
    </row>
    <row r="548" spans="16:19" ht="14.25" customHeight="1" x14ac:dyDescent="0.3">
      <c r="P548" s="13"/>
      <c r="Q548" s="13"/>
      <c r="R548" s="13"/>
      <c r="S548" s="4"/>
    </row>
    <row r="549" spans="16:19" ht="14.25" customHeight="1" x14ac:dyDescent="0.3">
      <c r="P549" s="13"/>
      <c r="Q549" s="13"/>
      <c r="R549" s="13"/>
      <c r="S549" s="4"/>
    </row>
    <row r="550" spans="16:19" ht="14.25" customHeight="1" x14ac:dyDescent="0.3">
      <c r="P550" s="13"/>
      <c r="Q550" s="13"/>
      <c r="R550" s="13"/>
      <c r="S550" s="4"/>
    </row>
    <row r="551" spans="16:19" ht="14.25" customHeight="1" x14ac:dyDescent="0.3">
      <c r="P551" s="13"/>
      <c r="Q551" s="13"/>
      <c r="R551" s="13"/>
      <c r="S551" s="4"/>
    </row>
    <row r="552" spans="16:19" ht="14.25" customHeight="1" x14ac:dyDescent="0.3">
      <c r="P552" s="13"/>
      <c r="Q552" s="13"/>
      <c r="R552" s="13"/>
      <c r="S552" s="4"/>
    </row>
    <row r="553" spans="16:19" ht="14.25" customHeight="1" x14ac:dyDescent="0.3">
      <c r="P553" s="13"/>
      <c r="Q553" s="13"/>
      <c r="R553" s="13"/>
      <c r="S553" s="4"/>
    </row>
    <row r="554" spans="16:19" ht="14.25" customHeight="1" x14ac:dyDescent="0.3">
      <c r="P554" s="13"/>
      <c r="Q554" s="13"/>
      <c r="R554" s="13"/>
      <c r="S554" s="4"/>
    </row>
    <row r="555" spans="16:19" ht="14.25" customHeight="1" x14ac:dyDescent="0.3">
      <c r="P555" s="13"/>
      <c r="Q555" s="13"/>
      <c r="R555" s="13"/>
      <c r="S555" s="4"/>
    </row>
    <row r="556" spans="16:19" ht="14.25" customHeight="1" x14ac:dyDescent="0.3">
      <c r="P556" s="13"/>
      <c r="Q556" s="13"/>
      <c r="R556" s="13"/>
      <c r="S556" s="4"/>
    </row>
    <row r="557" spans="16:19" ht="14.25" customHeight="1" x14ac:dyDescent="0.3">
      <c r="P557" s="13"/>
      <c r="Q557" s="13"/>
      <c r="R557" s="13"/>
      <c r="S557" s="4"/>
    </row>
    <row r="558" spans="16:19" ht="14.25" customHeight="1" x14ac:dyDescent="0.3">
      <c r="P558" s="13"/>
      <c r="Q558" s="13"/>
      <c r="R558" s="13"/>
      <c r="S558" s="4"/>
    </row>
    <row r="559" spans="16:19" ht="14.25" customHeight="1" x14ac:dyDescent="0.3">
      <c r="P559" s="13"/>
      <c r="Q559" s="13"/>
      <c r="R559" s="13"/>
      <c r="S559" s="4"/>
    </row>
    <row r="560" spans="16:19" ht="14.25" customHeight="1" x14ac:dyDescent="0.3">
      <c r="P560" s="13"/>
      <c r="Q560" s="13"/>
      <c r="R560" s="13"/>
      <c r="S560" s="4"/>
    </row>
    <row r="561" spans="16:19" ht="14.25" customHeight="1" x14ac:dyDescent="0.3">
      <c r="P561" s="13"/>
      <c r="Q561" s="13"/>
      <c r="R561" s="13"/>
      <c r="S561" s="4"/>
    </row>
    <row r="562" spans="16:19" ht="14.25" customHeight="1" x14ac:dyDescent="0.3">
      <c r="P562" s="13"/>
      <c r="Q562" s="13"/>
      <c r="R562" s="13"/>
      <c r="S562" s="4"/>
    </row>
    <row r="563" spans="16:19" ht="14.25" customHeight="1" x14ac:dyDescent="0.3">
      <c r="P563" s="13"/>
      <c r="Q563" s="13"/>
      <c r="R563" s="13"/>
      <c r="S563" s="4"/>
    </row>
    <row r="564" spans="16:19" ht="14.25" customHeight="1" x14ac:dyDescent="0.3">
      <c r="P564" s="13"/>
      <c r="Q564" s="13"/>
      <c r="R564" s="13"/>
      <c r="S564" s="4"/>
    </row>
    <row r="565" spans="16:19" ht="14.25" customHeight="1" x14ac:dyDescent="0.3">
      <c r="P565" s="13"/>
      <c r="Q565" s="13"/>
      <c r="R565" s="13"/>
      <c r="S565" s="4"/>
    </row>
    <row r="566" spans="16:19" ht="14.25" customHeight="1" x14ac:dyDescent="0.3">
      <c r="P566" s="13"/>
      <c r="Q566" s="13"/>
      <c r="R566" s="13"/>
      <c r="S566" s="4"/>
    </row>
    <row r="567" spans="16:19" ht="14.25" customHeight="1" x14ac:dyDescent="0.3">
      <c r="P567" s="13"/>
      <c r="Q567" s="13"/>
      <c r="R567" s="13"/>
      <c r="S567" s="4"/>
    </row>
    <row r="568" spans="16:19" ht="14.25" customHeight="1" x14ac:dyDescent="0.3">
      <c r="P568" s="13"/>
      <c r="Q568" s="13"/>
      <c r="R568" s="13"/>
      <c r="S568" s="4"/>
    </row>
    <row r="569" spans="16:19" ht="14.25" customHeight="1" x14ac:dyDescent="0.3">
      <c r="P569" s="13"/>
      <c r="Q569" s="13"/>
      <c r="R569" s="13"/>
      <c r="S569" s="4"/>
    </row>
    <row r="570" spans="16:19" ht="14.25" customHeight="1" x14ac:dyDescent="0.3">
      <c r="P570" s="13"/>
      <c r="Q570" s="13"/>
      <c r="R570" s="13"/>
      <c r="S570" s="4"/>
    </row>
    <row r="571" spans="16:19" ht="14.25" customHeight="1" x14ac:dyDescent="0.3">
      <c r="P571" s="13"/>
      <c r="Q571" s="13"/>
      <c r="R571" s="13"/>
      <c r="S571" s="4"/>
    </row>
    <row r="572" spans="16:19" ht="14.25" customHeight="1" x14ac:dyDescent="0.3">
      <c r="P572" s="13"/>
      <c r="Q572" s="13"/>
      <c r="R572" s="13"/>
      <c r="S572" s="4"/>
    </row>
    <row r="573" spans="16:19" ht="14.25" customHeight="1" x14ac:dyDescent="0.3">
      <c r="P573" s="13"/>
      <c r="Q573" s="13"/>
      <c r="R573" s="13"/>
      <c r="S573" s="4"/>
    </row>
    <row r="574" spans="16:19" ht="14.25" customHeight="1" x14ac:dyDescent="0.3">
      <c r="P574" s="13"/>
      <c r="Q574" s="13"/>
      <c r="R574" s="13"/>
      <c r="S574" s="4"/>
    </row>
    <row r="575" spans="16:19" ht="14.25" customHeight="1" x14ac:dyDescent="0.3">
      <c r="P575" s="13"/>
      <c r="Q575" s="13"/>
      <c r="R575" s="13"/>
      <c r="S575" s="4"/>
    </row>
    <row r="576" spans="16:19" ht="14.25" customHeight="1" x14ac:dyDescent="0.3">
      <c r="P576" s="13"/>
      <c r="Q576" s="13"/>
      <c r="R576" s="13"/>
      <c r="S576" s="4"/>
    </row>
    <row r="577" spans="16:19" ht="14.25" customHeight="1" x14ac:dyDescent="0.3">
      <c r="P577" s="13"/>
      <c r="Q577" s="13"/>
      <c r="R577" s="13"/>
      <c r="S577" s="4"/>
    </row>
    <row r="578" spans="16:19" ht="14.25" customHeight="1" x14ac:dyDescent="0.3">
      <c r="P578" s="13"/>
      <c r="Q578" s="13"/>
      <c r="R578" s="13"/>
      <c r="S578" s="4"/>
    </row>
    <row r="579" spans="16:19" ht="14.25" customHeight="1" x14ac:dyDescent="0.3">
      <c r="P579" s="13"/>
      <c r="Q579" s="13"/>
      <c r="R579" s="13"/>
      <c r="S579" s="4"/>
    </row>
    <row r="580" spans="16:19" ht="14.25" customHeight="1" x14ac:dyDescent="0.3">
      <c r="P580" s="13"/>
      <c r="Q580" s="13"/>
      <c r="R580" s="13"/>
      <c r="S580" s="4"/>
    </row>
    <row r="581" spans="16:19" ht="14.25" customHeight="1" x14ac:dyDescent="0.3">
      <c r="P581" s="13"/>
      <c r="Q581" s="13"/>
      <c r="R581" s="13"/>
      <c r="S581" s="4"/>
    </row>
    <row r="582" spans="16:19" ht="14.25" customHeight="1" x14ac:dyDescent="0.3">
      <c r="P582" s="13"/>
      <c r="Q582" s="13"/>
      <c r="R582" s="13"/>
      <c r="S582" s="4"/>
    </row>
    <row r="583" spans="16:19" ht="14.25" customHeight="1" x14ac:dyDescent="0.3">
      <c r="P583" s="13"/>
      <c r="Q583" s="13"/>
      <c r="R583" s="13"/>
      <c r="S583" s="4"/>
    </row>
    <row r="584" spans="16:19" ht="14.25" customHeight="1" x14ac:dyDescent="0.3">
      <c r="P584" s="13"/>
      <c r="Q584" s="13"/>
      <c r="R584" s="13"/>
      <c r="S584" s="4"/>
    </row>
    <row r="585" spans="16:19" ht="14.25" customHeight="1" x14ac:dyDescent="0.3">
      <c r="P585" s="13"/>
      <c r="Q585" s="13"/>
      <c r="R585" s="13"/>
      <c r="S585" s="4"/>
    </row>
    <row r="586" spans="16:19" ht="14.25" customHeight="1" x14ac:dyDescent="0.3">
      <c r="P586" s="13"/>
      <c r="Q586" s="13"/>
      <c r="R586" s="13"/>
      <c r="S586" s="4"/>
    </row>
    <row r="587" spans="16:19" ht="14.25" customHeight="1" x14ac:dyDescent="0.3">
      <c r="P587" s="13"/>
      <c r="Q587" s="13"/>
      <c r="R587" s="13"/>
      <c r="S587" s="4"/>
    </row>
    <row r="588" spans="16:19" ht="14.25" customHeight="1" x14ac:dyDescent="0.3">
      <c r="P588" s="13"/>
      <c r="Q588" s="13"/>
      <c r="R588" s="13"/>
      <c r="S588" s="4"/>
    </row>
    <row r="589" spans="16:19" ht="14.25" customHeight="1" x14ac:dyDescent="0.3">
      <c r="P589" s="13"/>
      <c r="Q589" s="13"/>
      <c r="R589" s="13"/>
      <c r="S589" s="4"/>
    </row>
    <row r="590" spans="16:19" ht="14.25" customHeight="1" x14ac:dyDescent="0.3">
      <c r="P590" s="13"/>
      <c r="Q590" s="13"/>
      <c r="R590" s="13"/>
      <c r="S590" s="4"/>
    </row>
    <row r="591" spans="16:19" ht="14.25" customHeight="1" x14ac:dyDescent="0.3">
      <c r="P591" s="13"/>
      <c r="Q591" s="13"/>
      <c r="R591" s="13"/>
      <c r="S591" s="4"/>
    </row>
    <row r="592" spans="16:19" ht="14.25" customHeight="1" x14ac:dyDescent="0.3">
      <c r="P592" s="13"/>
      <c r="Q592" s="13"/>
      <c r="R592" s="13"/>
      <c r="S592" s="4"/>
    </row>
    <row r="593" spans="16:19" ht="14.25" customHeight="1" x14ac:dyDescent="0.3">
      <c r="P593" s="13"/>
      <c r="Q593" s="13"/>
      <c r="R593" s="13"/>
      <c r="S593" s="4"/>
    </row>
    <row r="594" spans="16:19" ht="14.25" customHeight="1" x14ac:dyDescent="0.3">
      <c r="P594" s="13"/>
      <c r="Q594" s="13"/>
      <c r="R594" s="13"/>
      <c r="S594" s="4"/>
    </row>
    <row r="595" spans="16:19" ht="14.25" customHeight="1" x14ac:dyDescent="0.3">
      <c r="P595" s="13"/>
      <c r="Q595" s="13"/>
      <c r="R595" s="13"/>
      <c r="S595" s="4"/>
    </row>
    <row r="596" spans="16:19" ht="14.25" customHeight="1" x14ac:dyDescent="0.3">
      <c r="P596" s="13"/>
      <c r="Q596" s="13"/>
      <c r="R596" s="13"/>
      <c r="S596" s="4"/>
    </row>
    <row r="597" spans="16:19" ht="14.25" customHeight="1" x14ac:dyDescent="0.3">
      <c r="P597" s="13"/>
      <c r="Q597" s="13"/>
      <c r="R597" s="13"/>
      <c r="S597" s="4"/>
    </row>
    <row r="598" spans="16:19" ht="14.25" customHeight="1" x14ac:dyDescent="0.3">
      <c r="P598" s="13"/>
      <c r="Q598" s="13"/>
      <c r="R598" s="13"/>
      <c r="S598" s="4"/>
    </row>
    <row r="599" spans="16:19" ht="14.25" customHeight="1" x14ac:dyDescent="0.3">
      <c r="P599" s="13"/>
      <c r="Q599" s="13"/>
      <c r="R599" s="13"/>
      <c r="S599" s="4"/>
    </row>
    <row r="600" spans="16:19" ht="14.25" customHeight="1" x14ac:dyDescent="0.3">
      <c r="P600" s="13"/>
      <c r="Q600" s="13"/>
      <c r="R600" s="13"/>
      <c r="S600" s="4"/>
    </row>
    <row r="601" spans="16:19" ht="14.25" customHeight="1" x14ac:dyDescent="0.3">
      <c r="P601" s="13"/>
      <c r="Q601" s="13"/>
      <c r="R601" s="13"/>
      <c r="S601" s="4"/>
    </row>
    <row r="602" spans="16:19" ht="14.25" customHeight="1" x14ac:dyDescent="0.3">
      <c r="P602" s="13"/>
      <c r="Q602" s="13"/>
      <c r="R602" s="13"/>
      <c r="S602" s="4"/>
    </row>
    <row r="603" spans="16:19" ht="14.25" customHeight="1" x14ac:dyDescent="0.3">
      <c r="P603" s="13"/>
      <c r="Q603" s="13"/>
      <c r="R603" s="13"/>
      <c r="S603" s="4"/>
    </row>
    <row r="604" spans="16:19" ht="14.25" customHeight="1" x14ac:dyDescent="0.3">
      <c r="P604" s="13"/>
      <c r="Q604" s="13"/>
      <c r="R604" s="13"/>
      <c r="S604" s="4"/>
    </row>
    <row r="605" spans="16:19" ht="14.25" customHeight="1" x14ac:dyDescent="0.3">
      <c r="P605" s="13"/>
      <c r="Q605" s="13"/>
      <c r="R605" s="13"/>
      <c r="S605" s="4"/>
    </row>
    <row r="606" spans="16:19" ht="14.25" customHeight="1" x14ac:dyDescent="0.3">
      <c r="P606" s="13"/>
      <c r="Q606" s="13"/>
      <c r="R606" s="13"/>
      <c r="S606" s="4"/>
    </row>
    <row r="607" spans="16:19" ht="14.25" customHeight="1" x14ac:dyDescent="0.3">
      <c r="P607" s="13"/>
      <c r="Q607" s="13"/>
      <c r="R607" s="13"/>
      <c r="S607" s="4"/>
    </row>
    <row r="608" spans="16:19" ht="14.25" customHeight="1" x14ac:dyDescent="0.3">
      <c r="P608" s="13"/>
      <c r="Q608" s="13"/>
      <c r="R608" s="13"/>
      <c r="S608" s="4"/>
    </row>
    <row r="609" spans="16:19" ht="14.25" customHeight="1" x14ac:dyDescent="0.3">
      <c r="P609" s="13"/>
      <c r="Q609" s="13"/>
      <c r="R609" s="13"/>
      <c r="S609" s="4"/>
    </row>
    <row r="610" spans="16:19" ht="14.25" customHeight="1" x14ac:dyDescent="0.3">
      <c r="P610" s="13"/>
      <c r="Q610" s="13"/>
      <c r="R610" s="13"/>
      <c r="S610" s="4"/>
    </row>
    <row r="611" spans="16:19" ht="14.25" customHeight="1" x14ac:dyDescent="0.3">
      <c r="P611" s="13"/>
      <c r="Q611" s="13"/>
      <c r="R611" s="13"/>
      <c r="S611" s="4"/>
    </row>
    <row r="612" spans="16:19" ht="14.25" customHeight="1" x14ac:dyDescent="0.3">
      <c r="P612" s="13"/>
      <c r="Q612" s="13"/>
      <c r="R612" s="13"/>
      <c r="S612" s="4"/>
    </row>
    <row r="613" spans="16:19" ht="14.25" customHeight="1" x14ac:dyDescent="0.3">
      <c r="P613" s="13"/>
      <c r="Q613" s="13"/>
      <c r="R613" s="13"/>
      <c r="S613" s="4"/>
    </row>
    <row r="614" spans="16:19" ht="14.25" customHeight="1" x14ac:dyDescent="0.3">
      <c r="P614" s="13"/>
      <c r="Q614" s="13"/>
      <c r="R614" s="13"/>
      <c r="S614" s="4"/>
    </row>
    <row r="615" spans="16:19" ht="14.25" customHeight="1" x14ac:dyDescent="0.3">
      <c r="P615" s="13"/>
      <c r="Q615" s="13"/>
      <c r="R615" s="13"/>
      <c r="S615" s="4"/>
    </row>
    <row r="616" spans="16:19" ht="14.25" customHeight="1" x14ac:dyDescent="0.3">
      <c r="P616" s="13"/>
      <c r="Q616" s="13"/>
      <c r="R616" s="13"/>
      <c r="S616" s="4"/>
    </row>
    <row r="617" spans="16:19" ht="14.25" customHeight="1" x14ac:dyDescent="0.3">
      <c r="P617" s="13"/>
      <c r="Q617" s="13"/>
      <c r="R617" s="13"/>
      <c r="S617" s="4"/>
    </row>
    <row r="618" spans="16:19" ht="14.25" customHeight="1" x14ac:dyDescent="0.3">
      <c r="P618" s="13"/>
      <c r="Q618" s="13"/>
      <c r="R618" s="13"/>
      <c r="S618" s="4"/>
    </row>
    <row r="619" spans="16:19" ht="14.25" customHeight="1" x14ac:dyDescent="0.3">
      <c r="P619" s="13"/>
      <c r="Q619" s="13"/>
      <c r="R619" s="13"/>
      <c r="S619" s="4"/>
    </row>
    <row r="620" spans="16:19" ht="14.25" customHeight="1" x14ac:dyDescent="0.3">
      <c r="P620" s="13"/>
      <c r="Q620" s="13"/>
      <c r="R620" s="13"/>
      <c r="S620" s="4"/>
    </row>
    <row r="621" spans="16:19" ht="14.25" customHeight="1" x14ac:dyDescent="0.3">
      <c r="P621" s="13"/>
      <c r="Q621" s="13"/>
      <c r="R621" s="13"/>
      <c r="S621" s="4"/>
    </row>
    <row r="622" spans="16:19" ht="14.25" customHeight="1" x14ac:dyDescent="0.3">
      <c r="P622" s="13"/>
      <c r="Q622" s="13"/>
      <c r="R622" s="13"/>
      <c r="S622" s="4"/>
    </row>
    <row r="623" spans="16:19" ht="14.25" customHeight="1" x14ac:dyDescent="0.3">
      <c r="P623" s="13"/>
      <c r="Q623" s="13"/>
      <c r="R623" s="13"/>
      <c r="S623" s="4"/>
    </row>
    <row r="624" spans="16:19" ht="14.25" customHeight="1" x14ac:dyDescent="0.3">
      <c r="P624" s="13"/>
      <c r="Q624" s="13"/>
      <c r="R624" s="13"/>
      <c r="S624" s="4"/>
    </row>
    <row r="625" spans="16:19" ht="14.25" customHeight="1" x14ac:dyDescent="0.3">
      <c r="P625" s="13"/>
      <c r="Q625" s="13"/>
      <c r="R625" s="13"/>
      <c r="S625" s="4"/>
    </row>
    <row r="626" spans="16:19" ht="14.25" customHeight="1" x14ac:dyDescent="0.3">
      <c r="P626" s="13"/>
      <c r="Q626" s="13"/>
      <c r="R626" s="13"/>
      <c r="S626" s="4"/>
    </row>
    <row r="627" spans="16:19" ht="14.25" customHeight="1" x14ac:dyDescent="0.3">
      <c r="P627" s="13"/>
      <c r="Q627" s="13"/>
      <c r="R627" s="13"/>
      <c r="S627" s="4"/>
    </row>
    <row r="628" spans="16:19" ht="14.25" customHeight="1" x14ac:dyDescent="0.3">
      <c r="P628" s="13"/>
      <c r="Q628" s="13"/>
      <c r="R628" s="13"/>
      <c r="S628" s="4"/>
    </row>
    <row r="629" spans="16:19" ht="14.25" customHeight="1" x14ac:dyDescent="0.3">
      <c r="P629" s="13"/>
      <c r="Q629" s="13"/>
      <c r="R629" s="13"/>
      <c r="S629" s="4"/>
    </row>
    <row r="630" spans="16:19" ht="14.25" customHeight="1" x14ac:dyDescent="0.3">
      <c r="P630" s="13"/>
      <c r="Q630" s="13"/>
      <c r="R630" s="13"/>
      <c r="S630" s="4"/>
    </row>
    <row r="631" spans="16:19" ht="14.25" customHeight="1" x14ac:dyDescent="0.3">
      <c r="P631" s="13"/>
      <c r="Q631" s="13"/>
      <c r="R631" s="13"/>
      <c r="S631" s="4"/>
    </row>
    <row r="632" spans="16:19" ht="14.25" customHeight="1" x14ac:dyDescent="0.3">
      <c r="P632" s="13"/>
      <c r="Q632" s="13"/>
      <c r="R632" s="13"/>
      <c r="S632" s="4"/>
    </row>
    <row r="633" spans="16:19" ht="14.25" customHeight="1" x14ac:dyDescent="0.3">
      <c r="P633" s="13"/>
      <c r="Q633" s="13"/>
      <c r="R633" s="13"/>
      <c r="S633" s="4"/>
    </row>
    <row r="634" spans="16:19" ht="14.25" customHeight="1" x14ac:dyDescent="0.3">
      <c r="P634" s="13"/>
      <c r="Q634" s="13"/>
      <c r="R634" s="13"/>
      <c r="S634" s="4"/>
    </row>
    <row r="635" spans="16:19" ht="14.25" customHeight="1" x14ac:dyDescent="0.3">
      <c r="P635" s="13"/>
      <c r="Q635" s="13"/>
      <c r="R635" s="13"/>
      <c r="S635" s="4"/>
    </row>
    <row r="636" spans="16:19" ht="14.25" customHeight="1" x14ac:dyDescent="0.3">
      <c r="P636" s="13"/>
      <c r="Q636" s="13"/>
      <c r="R636" s="13"/>
      <c r="S636" s="4"/>
    </row>
    <row r="637" spans="16:19" ht="14.25" customHeight="1" x14ac:dyDescent="0.3">
      <c r="P637" s="13"/>
      <c r="Q637" s="13"/>
      <c r="R637" s="13"/>
      <c r="S637" s="4"/>
    </row>
    <row r="638" spans="16:19" ht="14.25" customHeight="1" x14ac:dyDescent="0.3">
      <c r="P638" s="13"/>
      <c r="Q638" s="13"/>
      <c r="R638" s="13"/>
      <c r="S638" s="4"/>
    </row>
    <row r="639" spans="16:19" ht="14.25" customHeight="1" x14ac:dyDescent="0.3">
      <c r="P639" s="13"/>
      <c r="Q639" s="13"/>
      <c r="R639" s="13"/>
      <c r="S639" s="4"/>
    </row>
    <row r="640" spans="16:19" ht="14.25" customHeight="1" x14ac:dyDescent="0.3">
      <c r="P640" s="13"/>
      <c r="Q640" s="13"/>
      <c r="R640" s="13"/>
      <c r="S640" s="4"/>
    </row>
    <row r="641" spans="16:19" ht="14.25" customHeight="1" x14ac:dyDescent="0.3">
      <c r="P641" s="13"/>
      <c r="Q641" s="13"/>
      <c r="R641" s="13"/>
      <c r="S641" s="4"/>
    </row>
    <row r="642" spans="16:19" ht="14.25" customHeight="1" x14ac:dyDescent="0.3">
      <c r="P642" s="13"/>
      <c r="Q642" s="13"/>
      <c r="R642" s="13"/>
      <c r="S642" s="4"/>
    </row>
    <row r="643" spans="16:19" ht="14.25" customHeight="1" x14ac:dyDescent="0.3">
      <c r="P643" s="13"/>
      <c r="Q643" s="13"/>
      <c r="R643" s="13"/>
      <c r="S643" s="4"/>
    </row>
    <row r="644" spans="16:19" ht="14.25" customHeight="1" x14ac:dyDescent="0.3">
      <c r="P644" s="13"/>
      <c r="Q644" s="13"/>
      <c r="R644" s="13"/>
      <c r="S644" s="4"/>
    </row>
    <row r="645" spans="16:19" ht="14.25" customHeight="1" x14ac:dyDescent="0.3">
      <c r="P645" s="13"/>
      <c r="Q645" s="13"/>
      <c r="R645" s="13"/>
      <c r="S645" s="4"/>
    </row>
    <row r="646" spans="16:19" ht="14.25" customHeight="1" x14ac:dyDescent="0.3">
      <c r="P646" s="13"/>
      <c r="Q646" s="13"/>
      <c r="R646" s="13"/>
      <c r="S646" s="4"/>
    </row>
    <row r="647" spans="16:19" ht="14.25" customHeight="1" x14ac:dyDescent="0.3">
      <c r="P647" s="13"/>
      <c r="Q647" s="13"/>
      <c r="R647" s="13"/>
      <c r="S647" s="4"/>
    </row>
    <row r="648" spans="16:19" ht="14.25" customHeight="1" x14ac:dyDescent="0.3">
      <c r="P648" s="13"/>
      <c r="Q648" s="13"/>
      <c r="R648" s="13"/>
      <c r="S648" s="4"/>
    </row>
    <row r="649" spans="16:19" ht="14.25" customHeight="1" x14ac:dyDescent="0.3">
      <c r="P649" s="13"/>
      <c r="Q649" s="13"/>
      <c r="R649" s="13"/>
      <c r="S649" s="4"/>
    </row>
    <row r="650" spans="16:19" ht="14.25" customHeight="1" x14ac:dyDescent="0.3">
      <c r="P650" s="13"/>
      <c r="Q650" s="13"/>
      <c r="R650" s="13"/>
      <c r="S650" s="4"/>
    </row>
    <row r="651" spans="16:19" ht="14.25" customHeight="1" x14ac:dyDescent="0.3">
      <c r="P651" s="13"/>
      <c r="Q651" s="13"/>
      <c r="R651" s="13"/>
      <c r="S651" s="4"/>
    </row>
    <row r="652" spans="16:19" ht="14.25" customHeight="1" x14ac:dyDescent="0.3">
      <c r="P652" s="13"/>
      <c r="Q652" s="13"/>
      <c r="R652" s="13"/>
      <c r="S652" s="4"/>
    </row>
    <row r="653" spans="16:19" ht="14.25" customHeight="1" x14ac:dyDescent="0.3">
      <c r="P653" s="13"/>
      <c r="Q653" s="13"/>
      <c r="R653" s="13"/>
      <c r="S653" s="4"/>
    </row>
    <row r="654" spans="16:19" ht="14.25" customHeight="1" x14ac:dyDescent="0.3">
      <c r="P654" s="13"/>
      <c r="Q654" s="13"/>
      <c r="R654" s="13"/>
      <c r="S654" s="4"/>
    </row>
    <row r="655" spans="16:19" ht="14.25" customHeight="1" x14ac:dyDescent="0.3">
      <c r="P655" s="13"/>
      <c r="Q655" s="13"/>
      <c r="R655" s="13"/>
      <c r="S655" s="4"/>
    </row>
    <row r="656" spans="16:19" ht="14.25" customHeight="1" x14ac:dyDescent="0.3">
      <c r="P656" s="13"/>
      <c r="Q656" s="13"/>
      <c r="R656" s="13"/>
      <c r="S656" s="4"/>
    </row>
    <row r="657" spans="16:19" ht="14.25" customHeight="1" x14ac:dyDescent="0.3">
      <c r="P657" s="13"/>
      <c r="Q657" s="13"/>
      <c r="R657" s="13"/>
      <c r="S657" s="4"/>
    </row>
    <row r="658" spans="16:19" ht="14.25" customHeight="1" x14ac:dyDescent="0.3">
      <c r="P658" s="13"/>
      <c r="Q658" s="13"/>
      <c r="R658" s="13"/>
      <c r="S658" s="4"/>
    </row>
    <row r="659" spans="16:19" ht="14.25" customHeight="1" x14ac:dyDescent="0.3">
      <c r="P659" s="13"/>
      <c r="Q659" s="13"/>
      <c r="R659" s="13"/>
      <c r="S659" s="4"/>
    </row>
    <row r="660" spans="16:19" ht="14.25" customHeight="1" x14ac:dyDescent="0.3">
      <c r="P660" s="13"/>
      <c r="Q660" s="13"/>
      <c r="R660" s="13"/>
      <c r="S660" s="4"/>
    </row>
    <row r="661" spans="16:19" ht="14.25" customHeight="1" x14ac:dyDescent="0.3">
      <c r="P661" s="13"/>
      <c r="Q661" s="13"/>
      <c r="R661" s="13"/>
      <c r="S661" s="4"/>
    </row>
    <row r="662" spans="16:19" ht="14.25" customHeight="1" x14ac:dyDescent="0.3">
      <c r="P662" s="13"/>
      <c r="Q662" s="13"/>
      <c r="R662" s="13"/>
      <c r="S662" s="4"/>
    </row>
    <row r="663" spans="16:19" ht="14.25" customHeight="1" x14ac:dyDescent="0.3">
      <c r="P663" s="13"/>
      <c r="Q663" s="13"/>
      <c r="R663" s="13"/>
      <c r="S663" s="4"/>
    </row>
    <row r="664" spans="16:19" ht="14.25" customHeight="1" x14ac:dyDescent="0.3">
      <c r="P664" s="13"/>
      <c r="Q664" s="13"/>
      <c r="R664" s="13"/>
      <c r="S664" s="4"/>
    </row>
    <row r="665" spans="16:19" ht="14.25" customHeight="1" x14ac:dyDescent="0.3">
      <c r="P665" s="13"/>
      <c r="Q665" s="13"/>
      <c r="R665" s="13"/>
      <c r="S665" s="4"/>
    </row>
    <row r="666" spans="16:19" ht="14.25" customHeight="1" x14ac:dyDescent="0.3">
      <c r="P666" s="13"/>
      <c r="Q666" s="13"/>
      <c r="R666" s="13"/>
      <c r="S666" s="4"/>
    </row>
    <row r="667" spans="16:19" ht="14.25" customHeight="1" x14ac:dyDescent="0.3">
      <c r="P667" s="13"/>
      <c r="Q667" s="13"/>
      <c r="R667" s="13"/>
      <c r="S667" s="4"/>
    </row>
    <row r="668" spans="16:19" ht="14.25" customHeight="1" x14ac:dyDescent="0.3">
      <c r="P668" s="13"/>
      <c r="Q668" s="13"/>
      <c r="R668" s="13"/>
      <c r="S668" s="4"/>
    </row>
    <row r="669" spans="16:19" ht="14.25" customHeight="1" x14ac:dyDescent="0.3">
      <c r="P669" s="13"/>
      <c r="Q669" s="13"/>
      <c r="R669" s="13"/>
      <c r="S669" s="4"/>
    </row>
    <row r="670" spans="16:19" ht="14.25" customHeight="1" x14ac:dyDescent="0.3">
      <c r="P670" s="13"/>
      <c r="Q670" s="13"/>
      <c r="R670" s="13"/>
      <c r="S670" s="4"/>
    </row>
    <row r="671" spans="16:19" ht="14.25" customHeight="1" x14ac:dyDescent="0.3">
      <c r="P671" s="13"/>
      <c r="Q671" s="13"/>
      <c r="R671" s="13"/>
      <c r="S671" s="4"/>
    </row>
    <row r="672" spans="16:19" ht="14.25" customHeight="1" x14ac:dyDescent="0.3">
      <c r="P672" s="13"/>
      <c r="Q672" s="13"/>
      <c r="R672" s="13"/>
      <c r="S672" s="4"/>
    </row>
    <row r="673" spans="16:19" ht="14.25" customHeight="1" x14ac:dyDescent="0.3">
      <c r="P673" s="13"/>
      <c r="Q673" s="13"/>
      <c r="R673" s="13"/>
      <c r="S673" s="4"/>
    </row>
    <row r="674" spans="16:19" ht="14.25" customHeight="1" x14ac:dyDescent="0.3">
      <c r="P674" s="13"/>
      <c r="Q674" s="13"/>
      <c r="R674" s="13"/>
      <c r="S674" s="4"/>
    </row>
    <row r="675" spans="16:19" ht="14.25" customHeight="1" x14ac:dyDescent="0.3">
      <c r="P675" s="13"/>
      <c r="Q675" s="13"/>
      <c r="R675" s="13"/>
      <c r="S675" s="4"/>
    </row>
    <row r="676" spans="16:19" ht="14.25" customHeight="1" x14ac:dyDescent="0.3">
      <c r="P676" s="13"/>
      <c r="Q676" s="13"/>
      <c r="R676" s="13"/>
      <c r="S676" s="4"/>
    </row>
    <row r="677" spans="16:19" ht="14.25" customHeight="1" x14ac:dyDescent="0.3">
      <c r="P677" s="13"/>
      <c r="Q677" s="13"/>
      <c r="R677" s="13"/>
      <c r="S677" s="4"/>
    </row>
    <row r="678" spans="16:19" ht="14.25" customHeight="1" x14ac:dyDescent="0.3">
      <c r="P678" s="13"/>
      <c r="Q678" s="13"/>
      <c r="R678" s="13"/>
      <c r="S678" s="4"/>
    </row>
    <row r="679" spans="16:19" ht="14.25" customHeight="1" x14ac:dyDescent="0.3">
      <c r="P679" s="13"/>
      <c r="Q679" s="13"/>
      <c r="R679" s="13"/>
      <c r="S679" s="4"/>
    </row>
    <row r="680" spans="16:19" ht="14.25" customHeight="1" x14ac:dyDescent="0.3">
      <c r="P680" s="13"/>
      <c r="Q680" s="13"/>
      <c r="R680" s="13"/>
      <c r="S680" s="4"/>
    </row>
    <row r="681" spans="16:19" ht="14.25" customHeight="1" x14ac:dyDescent="0.3">
      <c r="P681" s="13"/>
      <c r="Q681" s="13"/>
      <c r="R681" s="13"/>
      <c r="S681" s="4"/>
    </row>
    <row r="682" spans="16:19" ht="14.25" customHeight="1" x14ac:dyDescent="0.3">
      <c r="P682" s="13"/>
      <c r="Q682" s="13"/>
      <c r="R682" s="13"/>
      <c r="S682" s="4"/>
    </row>
    <row r="683" spans="16:19" ht="14.25" customHeight="1" x14ac:dyDescent="0.3">
      <c r="P683" s="13"/>
      <c r="Q683" s="13"/>
      <c r="R683" s="13"/>
      <c r="S683" s="4"/>
    </row>
    <row r="684" spans="16:19" ht="14.25" customHeight="1" x14ac:dyDescent="0.3">
      <c r="P684" s="13"/>
      <c r="Q684" s="13"/>
      <c r="R684" s="13"/>
      <c r="S684" s="4"/>
    </row>
    <row r="685" spans="16:19" ht="14.25" customHeight="1" x14ac:dyDescent="0.3">
      <c r="P685" s="13"/>
      <c r="Q685" s="13"/>
      <c r="R685" s="13"/>
      <c r="S685" s="4"/>
    </row>
    <row r="686" spans="16:19" ht="14.25" customHeight="1" x14ac:dyDescent="0.3">
      <c r="P686" s="13"/>
      <c r="Q686" s="13"/>
      <c r="R686" s="13"/>
      <c r="S686" s="4"/>
    </row>
    <row r="687" spans="16:19" ht="14.25" customHeight="1" x14ac:dyDescent="0.3">
      <c r="P687" s="13"/>
      <c r="Q687" s="13"/>
      <c r="R687" s="13"/>
      <c r="S687" s="4"/>
    </row>
    <row r="688" spans="16:19" ht="14.25" customHeight="1" x14ac:dyDescent="0.3">
      <c r="P688" s="13"/>
      <c r="Q688" s="13"/>
      <c r="R688" s="13"/>
      <c r="S688" s="4"/>
    </row>
    <row r="689" spans="16:19" ht="14.25" customHeight="1" x14ac:dyDescent="0.3">
      <c r="P689" s="13"/>
      <c r="Q689" s="13"/>
      <c r="R689" s="13"/>
      <c r="S689" s="4"/>
    </row>
    <row r="690" spans="16:19" ht="14.25" customHeight="1" x14ac:dyDescent="0.3">
      <c r="P690" s="13"/>
      <c r="Q690" s="13"/>
      <c r="R690" s="13"/>
      <c r="S690" s="4"/>
    </row>
    <row r="691" spans="16:19" ht="14.25" customHeight="1" x14ac:dyDescent="0.3">
      <c r="P691" s="13"/>
      <c r="Q691" s="13"/>
      <c r="R691" s="13"/>
      <c r="S691" s="4"/>
    </row>
    <row r="692" spans="16:19" ht="14.25" customHeight="1" x14ac:dyDescent="0.3">
      <c r="P692" s="13"/>
      <c r="Q692" s="13"/>
      <c r="R692" s="13"/>
      <c r="S692" s="4"/>
    </row>
    <row r="693" spans="16:19" ht="14.25" customHeight="1" x14ac:dyDescent="0.3">
      <c r="P693" s="13"/>
      <c r="Q693" s="13"/>
      <c r="R693" s="13"/>
      <c r="S693" s="4"/>
    </row>
    <row r="694" spans="16:19" ht="14.25" customHeight="1" x14ac:dyDescent="0.3">
      <c r="P694" s="13"/>
      <c r="Q694" s="13"/>
      <c r="R694" s="13"/>
      <c r="S694" s="4"/>
    </row>
    <row r="695" spans="16:19" ht="14.25" customHeight="1" x14ac:dyDescent="0.3">
      <c r="P695" s="13"/>
      <c r="Q695" s="13"/>
      <c r="R695" s="13"/>
      <c r="S695" s="4"/>
    </row>
    <row r="696" spans="16:19" ht="14.25" customHeight="1" x14ac:dyDescent="0.3">
      <c r="P696" s="13"/>
      <c r="Q696" s="13"/>
      <c r="R696" s="13"/>
      <c r="S696" s="4"/>
    </row>
    <row r="697" spans="16:19" ht="14.25" customHeight="1" x14ac:dyDescent="0.3">
      <c r="P697" s="13"/>
      <c r="Q697" s="13"/>
      <c r="R697" s="13"/>
      <c r="S697" s="4"/>
    </row>
    <row r="698" spans="16:19" ht="14.25" customHeight="1" x14ac:dyDescent="0.3">
      <c r="P698" s="13"/>
      <c r="Q698" s="13"/>
      <c r="R698" s="13"/>
      <c r="S698" s="4"/>
    </row>
    <row r="699" spans="16:19" ht="14.25" customHeight="1" x14ac:dyDescent="0.3">
      <c r="P699" s="13"/>
      <c r="Q699" s="13"/>
      <c r="R699" s="13"/>
      <c r="S699" s="4"/>
    </row>
    <row r="700" spans="16:19" ht="14.25" customHeight="1" x14ac:dyDescent="0.3">
      <c r="P700" s="13"/>
      <c r="Q700" s="13"/>
      <c r="R700" s="13"/>
      <c r="S700" s="4"/>
    </row>
    <row r="701" spans="16:19" ht="14.25" customHeight="1" x14ac:dyDescent="0.3">
      <c r="P701" s="13"/>
      <c r="Q701" s="13"/>
      <c r="R701" s="13"/>
      <c r="S701" s="4"/>
    </row>
    <row r="702" spans="16:19" ht="14.25" customHeight="1" x14ac:dyDescent="0.3">
      <c r="P702" s="13"/>
      <c r="Q702" s="13"/>
      <c r="R702" s="13"/>
      <c r="S702" s="4"/>
    </row>
    <row r="703" spans="16:19" ht="14.25" customHeight="1" x14ac:dyDescent="0.3">
      <c r="P703" s="13"/>
      <c r="Q703" s="13"/>
      <c r="R703" s="13"/>
      <c r="S703" s="4"/>
    </row>
    <row r="704" spans="16:19" ht="14.25" customHeight="1" x14ac:dyDescent="0.3">
      <c r="P704" s="13"/>
      <c r="Q704" s="13"/>
      <c r="R704" s="13"/>
      <c r="S704" s="4"/>
    </row>
    <row r="705" spans="16:19" ht="14.25" customHeight="1" x14ac:dyDescent="0.3">
      <c r="P705" s="13"/>
      <c r="Q705" s="13"/>
      <c r="R705" s="13"/>
      <c r="S705" s="4"/>
    </row>
    <row r="706" spans="16:19" ht="14.25" customHeight="1" x14ac:dyDescent="0.3">
      <c r="P706" s="13"/>
      <c r="Q706" s="13"/>
      <c r="R706" s="13"/>
      <c r="S706" s="4"/>
    </row>
    <row r="707" spans="16:19" ht="14.25" customHeight="1" x14ac:dyDescent="0.3">
      <c r="P707" s="13"/>
      <c r="Q707" s="13"/>
      <c r="R707" s="13"/>
      <c r="S707" s="4"/>
    </row>
    <row r="708" spans="16:19" ht="14.25" customHeight="1" x14ac:dyDescent="0.3">
      <c r="P708" s="13"/>
      <c r="Q708" s="13"/>
      <c r="R708" s="13"/>
      <c r="S708" s="4"/>
    </row>
    <row r="709" spans="16:19" ht="14.25" customHeight="1" x14ac:dyDescent="0.3">
      <c r="P709" s="13"/>
      <c r="Q709" s="13"/>
      <c r="R709" s="13"/>
      <c r="S709" s="4"/>
    </row>
    <row r="710" spans="16:19" ht="14.25" customHeight="1" x14ac:dyDescent="0.3">
      <c r="P710" s="13"/>
      <c r="Q710" s="13"/>
      <c r="R710" s="13"/>
      <c r="S710" s="4"/>
    </row>
    <row r="711" spans="16:19" ht="14.25" customHeight="1" x14ac:dyDescent="0.3">
      <c r="P711" s="13"/>
      <c r="Q711" s="13"/>
      <c r="R711" s="13"/>
      <c r="S711" s="4"/>
    </row>
    <row r="712" spans="16:19" ht="14.25" customHeight="1" x14ac:dyDescent="0.3">
      <c r="P712" s="13"/>
      <c r="Q712" s="13"/>
      <c r="R712" s="13"/>
      <c r="S712" s="4"/>
    </row>
    <row r="713" spans="16:19" ht="14.25" customHeight="1" x14ac:dyDescent="0.3">
      <c r="P713" s="13"/>
      <c r="Q713" s="13"/>
      <c r="R713" s="13"/>
      <c r="S713" s="4"/>
    </row>
    <row r="714" spans="16:19" ht="14.25" customHeight="1" x14ac:dyDescent="0.3">
      <c r="P714" s="13"/>
      <c r="Q714" s="13"/>
      <c r="R714" s="13"/>
      <c r="S714" s="4"/>
    </row>
    <row r="715" spans="16:19" ht="14.25" customHeight="1" x14ac:dyDescent="0.3">
      <c r="P715" s="13"/>
      <c r="Q715" s="13"/>
      <c r="R715" s="13"/>
      <c r="S715" s="4"/>
    </row>
    <row r="716" spans="16:19" ht="14.25" customHeight="1" x14ac:dyDescent="0.3">
      <c r="P716" s="13"/>
      <c r="Q716" s="13"/>
      <c r="R716" s="13"/>
      <c r="S716" s="4"/>
    </row>
    <row r="717" spans="16:19" ht="14.25" customHeight="1" x14ac:dyDescent="0.3">
      <c r="P717" s="13"/>
      <c r="Q717" s="13"/>
      <c r="R717" s="13"/>
      <c r="S717" s="4"/>
    </row>
    <row r="718" spans="16:19" ht="14.25" customHeight="1" x14ac:dyDescent="0.3">
      <c r="P718" s="13"/>
      <c r="Q718" s="13"/>
      <c r="R718" s="13"/>
      <c r="S718" s="4"/>
    </row>
    <row r="719" spans="16:19" ht="14.25" customHeight="1" x14ac:dyDescent="0.3">
      <c r="P719" s="13"/>
      <c r="Q719" s="13"/>
      <c r="R719" s="13"/>
      <c r="S719" s="4"/>
    </row>
    <row r="720" spans="16:19" ht="14.25" customHeight="1" x14ac:dyDescent="0.3">
      <c r="P720" s="13"/>
      <c r="Q720" s="13"/>
      <c r="R720" s="13"/>
      <c r="S720" s="4"/>
    </row>
    <row r="721" spans="16:19" ht="14.25" customHeight="1" x14ac:dyDescent="0.3">
      <c r="P721" s="13"/>
      <c r="Q721" s="13"/>
      <c r="R721" s="13"/>
      <c r="S721" s="4"/>
    </row>
    <row r="722" spans="16:19" ht="14.25" customHeight="1" x14ac:dyDescent="0.3">
      <c r="P722" s="13"/>
      <c r="Q722" s="13"/>
      <c r="R722" s="13"/>
      <c r="S722" s="4"/>
    </row>
    <row r="723" spans="16:19" ht="14.25" customHeight="1" x14ac:dyDescent="0.3">
      <c r="P723" s="13"/>
      <c r="Q723" s="13"/>
      <c r="R723" s="13"/>
      <c r="S723" s="4"/>
    </row>
    <row r="724" spans="16:19" ht="14.25" customHeight="1" x14ac:dyDescent="0.3">
      <c r="P724" s="13"/>
      <c r="Q724" s="13"/>
      <c r="R724" s="13"/>
      <c r="S724" s="4"/>
    </row>
    <row r="725" spans="16:19" ht="14.25" customHeight="1" x14ac:dyDescent="0.3">
      <c r="P725" s="13"/>
      <c r="Q725" s="13"/>
      <c r="R725" s="13"/>
      <c r="S725" s="4"/>
    </row>
    <row r="726" spans="16:19" ht="14.25" customHeight="1" x14ac:dyDescent="0.3">
      <c r="P726" s="13"/>
      <c r="Q726" s="13"/>
      <c r="R726" s="13"/>
      <c r="S726" s="4"/>
    </row>
    <row r="727" spans="16:19" ht="14.25" customHeight="1" x14ac:dyDescent="0.3">
      <c r="P727" s="13"/>
      <c r="Q727" s="13"/>
      <c r="R727" s="13"/>
      <c r="S727" s="4"/>
    </row>
    <row r="728" spans="16:19" ht="14.25" customHeight="1" x14ac:dyDescent="0.3">
      <c r="P728" s="13"/>
      <c r="Q728" s="13"/>
      <c r="R728" s="13"/>
      <c r="S728" s="4"/>
    </row>
    <row r="729" spans="16:19" ht="14.25" customHeight="1" x14ac:dyDescent="0.3">
      <c r="P729" s="13"/>
      <c r="Q729" s="13"/>
      <c r="R729" s="13"/>
      <c r="S729" s="4"/>
    </row>
    <row r="730" spans="16:19" ht="14.25" customHeight="1" x14ac:dyDescent="0.3">
      <c r="P730" s="13"/>
      <c r="Q730" s="13"/>
      <c r="R730" s="13"/>
      <c r="S730" s="4"/>
    </row>
    <row r="731" spans="16:19" ht="14.25" customHeight="1" x14ac:dyDescent="0.3">
      <c r="P731" s="13"/>
      <c r="Q731" s="13"/>
      <c r="R731" s="13"/>
      <c r="S731" s="4"/>
    </row>
    <row r="732" spans="16:19" ht="14.25" customHeight="1" x14ac:dyDescent="0.3">
      <c r="P732" s="13"/>
      <c r="Q732" s="13"/>
      <c r="R732" s="13"/>
      <c r="S732" s="4"/>
    </row>
    <row r="733" spans="16:19" ht="14.25" customHeight="1" x14ac:dyDescent="0.3">
      <c r="P733" s="13"/>
      <c r="Q733" s="13"/>
      <c r="R733" s="13"/>
      <c r="S733" s="4"/>
    </row>
    <row r="734" spans="16:19" ht="14.25" customHeight="1" x14ac:dyDescent="0.3">
      <c r="P734" s="13"/>
      <c r="Q734" s="13"/>
      <c r="R734" s="13"/>
      <c r="S734" s="4"/>
    </row>
    <row r="735" spans="16:19" ht="14.25" customHeight="1" x14ac:dyDescent="0.3">
      <c r="P735" s="13"/>
      <c r="Q735" s="13"/>
      <c r="R735" s="13"/>
      <c r="S735" s="4"/>
    </row>
    <row r="736" spans="16:19" ht="14.25" customHeight="1" x14ac:dyDescent="0.3">
      <c r="P736" s="13"/>
      <c r="Q736" s="13"/>
      <c r="R736" s="13"/>
      <c r="S736" s="4"/>
    </row>
    <row r="737" spans="16:19" ht="14.25" customHeight="1" x14ac:dyDescent="0.3">
      <c r="P737" s="13"/>
      <c r="Q737" s="13"/>
      <c r="R737" s="13"/>
      <c r="S737" s="4"/>
    </row>
    <row r="738" spans="16:19" ht="14.25" customHeight="1" x14ac:dyDescent="0.3">
      <c r="P738" s="13"/>
      <c r="Q738" s="13"/>
      <c r="R738" s="13"/>
      <c r="S738" s="4"/>
    </row>
    <row r="739" spans="16:19" ht="14.25" customHeight="1" x14ac:dyDescent="0.3">
      <c r="P739" s="13"/>
      <c r="Q739" s="13"/>
      <c r="R739" s="13"/>
      <c r="S739" s="4"/>
    </row>
    <row r="740" spans="16:19" ht="14.25" customHeight="1" x14ac:dyDescent="0.3">
      <c r="P740" s="13"/>
      <c r="Q740" s="13"/>
      <c r="R740" s="13"/>
      <c r="S740" s="4"/>
    </row>
    <row r="741" spans="16:19" ht="14.25" customHeight="1" x14ac:dyDescent="0.3">
      <c r="P741" s="13"/>
      <c r="Q741" s="13"/>
      <c r="R741" s="13"/>
      <c r="S741" s="4"/>
    </row>
    <row r="742" spans="16:19" ht="14.25" customHeight="1" x14ac:dyDescent="0.3">
      <c r="P742" s="13"/>
      <c r="Q742" s="13"/>
      <c r="R742" s="13"/>
      <c r="S742" s="4"/>
    </row>
    <row r="743" spans="16:19" ht="14.25" customHeight="1" x14ac:dyDescent="0.3">
      <c r="P743" s="13"/>
      <c r="Q743" s="13"/>
      <c r="R743" s="13"/>
      <c r="S743" s="4"/>
    </row>
    <row r="744" spans="16:19" ht="14.25" customHeight="1" x14ac:dyDescent="0.3">
      <c r="P744" s="13"/>
      <c r="Q744" s="13"/>
      <c r="R744" s="13"/>
      <c r="S744" s="4"/>
    </row>
    <row r="745" spans="16:19" ht="14.25" customHeight="1" x14ac:dyDescent="0.3">
      <c r="P745" s="13"/>
      <c r="Q745" s="13"/>
      <c r="R745" s="13"/>
      <c r="S745" s="4"/>
    </row>
    <row r="746" spans="16:19" ht="14.25" customHeight="1" x14ac:dyDescent="0.3">
      <c r="P746" s="13"/>
      <c r="Q746" s="13"/>
      <c r="R746" s="13"/>
      <c r="S746" s="4"/>
    </row>
    <row r="747" spans="16:19" ht="14.25" customHeight="1" x14ac:dyDescent="0.3">
      <c r="P747" s="13"/>
      <c r="Q747" s="13"/>
      <c r="R747" s="13"/>
      <c r="S747" s="4"/>
    </row>
    <row r="748" spans="16:19" ht="14.25" customHeight="1" x14ac:dyDescent="0.3">
      <c r="P748" s="13"/>
      <c r="Q748" s="13"/>
      <c r="R748" s="13"/>
      <c r="S748" s="4"/>
    </row>
    <row r="749" spans="16:19" ht="14.25" customHeight="1" x14ac:dyDescent="0.3">
      <c r="P749" s="13"/>
      <c r="Q749" s="13"/>
      <c r="R749" s="13"/>
      <c r="S749" s="4"/>
    </row>
    <row r="750" spans="16:19" ht="14.25" customHeight="1" x14ac:dyDescent="0.3">
      <c r="P750" s="13"/>
      <c r="Q750" s="13"/>
      <c r="R750" s="13"/>
      <c r="S750" s="4"/>
    </row>
    <row r="751" spans="16:19" ht="14.25" customHeight="1" x14ac:dyDescent="0.3">
      <c r="P751" s="13"/>
      <c r="Q751" s="13"/>
      <c r="R751" s="13"/>
      <c r="S751" s="4"/>
    </row>
    <row r="752" spans="16:19" ht="14.25" customHeight="1" x14ac:dyDescent="0.3">
      <c r="P752" s="13"/>
      <c r="Q752" s="13"/>
      <c r="R752" s="13"/>
      <c r="S752" s="4"/>
    </row>
    <row r="753" spans="16:19" ht="14.25" customHeight="1" x14ac:dyDescent="0.3">
      <c r="P753" s="13"/>
      <c r="Q753" s="13"/>
      <c r="R753" s="13"/>
      <c r="S753" s="4"/>
    </row>
    <row r="754" spans="16:19" ht="14.25" customHeight="1" x14ac:dyDescent="0.3">
      <c r="P754" s="13"/>
      <c r="Q754" s="13"/>
      <c r="R754" s="13"/>
      <c r="S754" s="4"/>
    </row>
    <row r="755" spans="16:19" ht="14.25" customHeight="1" x14ac:dyDescent="0.3">
      <c r="P755" s="13"/>
      <c r="Q755" s="13"/>
      <c r="R755" s="13"/>
      <c r="S755" s="4"/>
    </row>
    <row r="756" spans="16:19" ht="14.25" customHeight="1" x14ac:dyDescent="0.3">
      <c r="P756" s="13"/>
      <c r="Q756" s="13"/>
      <c r="R756" s="13"/>
      <c r="S756" s="4"/>
    </row>
    <row r="757" spans="16:19" ht="14.25" customHeight="1" x14ac:dyDescent="0.3">
      <c r="P757" s="13"/>
      <c r="Q757" s="13"/>
      <c r="R757" s="13"/>
      <c r="S757" s="4"/>
    </row>
    <row r="758" spans="16:19" ht="14.25" customHeight="1" x14ac:dyDescent="0.3">
      <c r="P758" s="13"/>
      <c r="Q758" s="13"/>
      <c r="R758" s="13"/>
      <c r="S758" s="4"/>
    </row>
    <row r="759" spans="16:19" ht="14.25" customHeight="1" x14ac:dyDescent="0.3">
      <c r="P759" s="13"/>
      <c r="Q759" s="13"/>
      <c r="R759" s="13"/>
      <c r="S759" s="4"/>
    </row>
    <row r="760" spans="16:19" ht="14.25" customHeight="1" x14ac:dyDescent="0.3">
      <c r="P760" s="13"/>
      <c r="Q760" s="13"/>
      <c r="R760" s="13"/>
      <c r="S760" s="4"/>
    </row>
    <row r="761" spans="16:19" ht="14.25" customHeight="1" x14ac:dyDescent="0.3">
      <c r="P761" s="13"/>
      <c r="Q761" s="13"/>
      <c r="R761" s="13"/>
      <c r="S761" s="4"/>
    </row>
    <row r="762" spans="16:19" ht="14.25" customHeight="1" x14ac:dyDescent="0.3">
      <c r="P762" s="13"/>
      <c r="Q762" s="13"/>
      <c r="R762" s="13"/>
      <c r="S762" s="4"/>
    </row>
    <row r="763" spans="16:19" ht="14.25" customHeight="1" x14ac:dyDescent="0.3">
      <c r="P763" s="13"/>
      <c r="Q763" s="13"/>
      <c r="R763" s="13"/>
      <c r="S763" s="4"/>
    </row>
    <row r="764" spans="16:19" ht="14.25" customHeight="1" x14ac:dyDescent="0.3">
      <c r="P764" s="13"/>
      <c r="Q764" s="13"/>
      <c r="R764" s="13"/>
      <c r="S764" s="4"/>
    </row>
    <row r="765" spans="16:19" ht="14.25" customHeight="1" x14ac:dyDescent="0.3">
      <c r="P765" s="13"/>
      <c r="Q765" s="13"/>
      <c r="R765" s="13"/>
      <c r="S765" s="4"/>
    </row>
    <row r="766" spans="16:19" ht="14.25" customHeight="1" x14ac:dyDescent="0.3">
      <c r="P766" s="13"/>
      <c r="Q766" s="13"/>
      <c r="R766" s="13"/>
      <c r="S766" s="4"/>
    </row>
    <row r="767" spans="16:19" ht="14.25" customHeight="1" x14ac:dyDescent="0.3">
      <c r="P767" s="13"/>
      <c r="Q767" s="13"/>
      <c r="R767" s="13"/>
      <c r="S767" s="4"/>
    </row>
    <row r="768" spans="16:19" ht="14.25" customHeight="1" x14ac:dyDescent="0.3">
      <c r="P768" s="13"/>
      <c r="Q768" s="13"/>
      <c r="R768" s="13"/>
      <c r="S768" s="4"/>
    </row>
    <row r="769" spans="16:19" ht="14.25" customHeight="1" x14ac:dyDescent="0.3">
      <c r="P769" s="13"/>
      <c r="Q769" s="13"/>
      <c r="R769" s="13"/>
      <c r="S769" s="4"/>
    </row>
    <row r="770" spans="16:19" ht="14.25" customHeight="1" x14ac:dyDescent="0.3">
      <c r="P770" s="13"/>
      <c r="Q770" s="13"/>
      <c r="R770" s="13"/>
      <c r="S770" s="4"/>
    </row>
    <row r="771" spans="16:19" ht="14.25" customHeight="1" x14ac:dyDescent="0.3">
      <c r="P771" s="13"/>
      <c r="Q771" s="13"/>
      <c r="R771" s="13"/>
      <c r="S771" s="4"/>
    </row>
    <row r="772" spans="16:19" ht="14.25" customHeight="1" x14ac:dyDescent="0.3">
      <c r="P772" s="13"/>
      <c r="Q772" s="13"/>
      <c r="R772" s="13"/>
      <c r="S772" s="4"/>
    </row>
    <row r="773" spans="16:19" ht="14.25" customHeight="1" x14ac:dyDescent="0.3">
      <c r="P773" s="13"/>
      <c r="Q773" s="13"/>
      <c r="R773" s="13"/>
      <c r="S773" s="4"/>
    </row>
    <row r="774" spans="16:19" ht="14.25" customHeight="1" x14ac:dyDescent="0.3">
      <c r="P774" s="13"/>
      <c r="Q774" s="13"/>
      <c r="R774" s="13"/>
      <c r="S774" s="4"/>
    </row>
    <row r="775" spans="16:19" ht="14.25" customHeight="1" x14ac:dyDescent="0.3">
      <c r="P775" s="13"/>
      <c r="Q775" s="13"/>
      <c r="R775" s="13"/>
      <c r="S775" s="4"/>
    </row>
    <row r="776" spans="16:19" ht="14.25" customHeight="1" x14ac:dyDescent="0.3">
      <c r="P776" s="13"/>
      <c r="Q776" s="13"/>
      <c r="R776" s="13"/>
      <c r="S776" s="4"/>
    </row>
    <row r="777" spans="16:19" ht="14.25" customHeight="1" x14ac:dyDescent="0.3">
      <c r="P777" s="13"/>
      <c r="Q777" s="13"/>
      <c r="R777" s="13"/>
      <c r="S777" s="4"/>
    </row>
    <row r="778" spans="16:19" ht="14.25" customHeight="1" x14ac:dyDescent="0.3">
      <c r="P778" s="13"/>
      <c r="Q778" s="13"/>
      <c r="R778" s="13"/>
      <c r="S778" s="4"/>
    </row>
    <row r="779" spans="16:19" ht="14.25" customHeight="1" x14ac:dyDescent="0.3">
      <c r="P779" s="13"/>
      <c r="Q779" s="13"/>
      <c r="R779" s="13"/>
      <c r="S779" s="4"/>
    </row>
    <row r="780" spans="16:19" ht="14.25" customHeight="1" x14ac:dyDescent="0.3">
      <c r="P780" s="13"/>
      <c r="Q780" s="13"/>
      <c r="R780" s="13"/>
      <c r="S780" s="4"/>
    </row>
    <row r="781" spans="16:19" ht="14.25" customHeight="1" x14ac:dyDescent="0.3">
      <c r="P781" s="13"/>
      <c r="Q781" s="13"/>
      <c r="R781" s="13"/>
      <c r="S781" s="4"/>
    </row>
    <row r="782" spans="16:19" ht="14.25" customHeight="1" x14ac:dyDescent="0.3">
      <c r="P782" s="13"/>
      <c r="Q782" s="13"/>
      <c r="R782" s="13"/>
      <c r="S782" s="4"/>
    </row>
    <row r="783" spans="16:19" ht="14.25" customHeight="1" x14ac:dyDescent="0.3">
      <c r="P783" s="13"/>
      <c r="Q783" s="13"/>
      <c r="R783" s="13"/>
      <c r="S783" s="4"/>
    </row>
    <row r="784" spans="16:19" ht="14.25" customHeight="1" x14ac:dyDescent="0.3">
      <c r="P784" s="13"/>
      <c r="Q784" s="13"/>
      <c r="R784" s="13"/>
      <c r="S784" s="4"/>
    </row>
    <row r="785" spans="16:19" ht="14.25" customHeight="1" x14ac:dyDescent="0.3">
      <c r="P785" s="13"/>
      <c r="Q785" s="13"/>
      <c r="R785" s="13"/>
      <c r="S785" s="4"/>
    </row>
    <row r="786" spans="16:19" ht="14.25" customHeight="1" x14ac:dyDescent="0.3">
      <c r="P786" s="13"/>
      <c r="Q786" s="13"/>
      <c r="R786" s="13"/>
      <c r="S786" s="4"/>
    </row>
    <row r="787" spans="16:19" ht="14.25" customHeight="1" x14ac:dyDescent="0.3">
      <c r="P787" s="13"/>
      <c r="Q787" s="13"/>
      <c r="R787" s="13"/>
      <c r="S787" s="4"/>
    </row>
    <row r="788" spans="16:19" ht="14.25" customHeight="1" x14ac:dyDescent="0.3">
      <c r="P788" s="13"/>
      <c r="Q788" s="13"/>
      <c r="R788" s="13"/>
      <c r="S788" s="4"/>
    </row>
    <row r="789" spans="16:19" ht="14.25" customHeight="1" x14ac:dyDescent="0.3">
      <c r="P789" s="13"/>
      <c r="Q789" s="13"/>
      <c r="R789" s="13"/>
      <c r="S789" s="4"/>
    </row>
    <row r="790" spans="16:19" ht="14.25" customHeight="1" x14ac:dyDescent="0.3">
      <c r="P790" s="13"/>
      <c r="Q790" s="13"/>
      <c r="R790" s="13"/>
      <c r="S790" s="4"/>
    </row>
    <row r="791" spans="16:19" ht="14.25" customHeight="1" x14ac:dyDescent="0.3">
      <c r="P791" s="13"/>
      <c r="Q791" s="13"/>
      <c r="R791" s="13"/>
      <c r="S791" s="4"/>
    </row>
    <row r="792" spans="16:19" ht="14.25" customHeight="1" x14ac:dyDescent="0.3">
      <c r="P792" s="13"/>
      <c r="Q792" s="13"/>
      <c r="R792" s="13"/>
      <c r="S792" s="4"/>
    </row>
    <row r="793" spans="16:19" ht="14.25" customHeight="1" x14ac:dyDescent="0.3">
      <c r="P793" s="13"/>
      <c r="Q793" s="13"/>
      <c r="R793" s="13"/>
      <c r="S793" s="4"/>
    </row>
    <row r="794" spans="16:19" ht="14.25" customHeight="1" x14ac:dyDescent="0.3">
      <c r="P794" s="13"/>
      <c r="Q794" s="13"/>
      <c r="R794" s="13"/>
      <c r="S794" s="4"/>
    </row>
    <row r="795" spans="16:19" ht="14.25" customHeight="1" x14ac:dyDescent="0.3">
      <c r="P795" s="13"/>
      <c r="Q795" s="13"/>
      <c r="R795" s="13"/>
      <c r="S795" s="4"/>
    </row>
    <row r="796" spans="16:19" ht="14.25" customHeight="1" x14ac:dyDescent="0.3">
      <c r="P796" s="13"/>
      <c r="Q796" s="13"/>
      <c r="R796" s="13"/>
      <c r="S796" s="4"/>
    </row>
    <row r="797" spans="16:19" ht="14.25" customHeight="1" x14ac:dyDescent="0.3">
      <c r="P797" s="13"/>
      <c r="Q797" s="13"/>
      <c r="R797" s="13"/>
      <c r="S797" s="4"/>
    </row>
    <row r="798" spans="16:19" ht="14.25" customHeight="1" x14ac:dyDescent="0.3">
      <c r="P798" s="13"/>
      <c r="Q798" s="13"/>
      <c r="R798" s="13"/>
      <c r="S798" s="4"/>
    </row>
    <row r="799" spans="16:19" ht="14.25" customHeight="1" x14ac:dyDescent="0.3">
      <c r="P799" s="13"/>
      <c r="Q799" s="13"/>
      <c r="R799" s="13"/>
      <c r="S799" s="4"/>
    </row>
    <row r="800" spans="16:19" ht="14.25" customHeight="1" x14ac:dyDescent="0.3">
      <c r="P800" s="13"/>
      <c r="Q800" s="13"/>
      <c r="R800" s="13"/>
      <c r="S800" s="4"/>
    </row>
    <row r="801" spans="16:19" ht="14.25" customHeight="1" x14ac:dyDescent="0.3">
      <c r="P801" s="13"/>
      <c r="Q801" s="13"/>
      <c r="R801" s="13"/>
      <c r="S801" s="4"/>
    </row>
    <row r="802" spans="16:19" ht="14.25" customHeight="1" x14ac:dyDescent="0.3">
      <c r="P802" s="13"/>
      <c r="Q802" s="13"/>
      <c r="R802" s="13"/>
      <c r="S802" s="4"/>
    </row>
    <row r="803" spans="16:19" ht="14.25" customHeight="1" x14ac:dyDescent="0.3">
      <c r="P803" s="13"/>
      <c r="Q803" s="13"/>
      <c r="R803" s="13"/>
      <c r="S803" s="4"/>
    </row>
    <row r="804" spans="16:19" ht="14.25" customHeight="1" x14ac:dyDescent="0.3">
      <c r="P804" s="13"/>
      <c r="Q804" s="13"/>
      <c r="R804" s="13"/>
      <c r="S804" s="4"/>
    </row>
    <row r="805" spans="16:19" ht="14.25" customHeight="1" x14ac:dyDescent="0.3">
      <c r="P805" s="13"/>
      <c r="Q805" s="13"/>
      <c r="R805" s="13"/>
      <c r="S805" s="4"/>
    </row>
    <row r="806" spans="16:19" ht="14.25" customHeight="1" x14ac:dyDescent="0.3">
      <c r="P806" s="13"/>
      <c r="Q806" s="13"/>
      <c r="R806" s="13"/>
      <c r="S806" s="4"/>
    </row>
    <row r="807" spans="16:19" ht="14.25" customHeight="1" x14ac:dyDescent="0.3">
      <c r="P807" s="13"/>
      <c r="Q807" s="13"/>
      <c r="R807" s="13"/>
      <c r="S807" s="4"/>
    </row>
    <row r="808" spans="16:19" ht="14.25" customHeight="1" x14ac:dyDescent="0.3">
      <c r="P808" s="13"/>
      <c r="Q808" s="13"/>
      <c r="R808" s="13"/>
      <c r="S808" s="4"/>
    </row>
    <row r="809" spans="16:19" ht="14.25" customHeight="1" x14ac:dyDescent="0.3">
      <c r="P809" s="13"/>
      <c r="Q809" s="13"/>
      <c r="R809" s="13"/>
      <c r="S809" s="4"/>
    </row>
    <row r="810" spans="16:19" ht="14.25" customHeight="1" x14ac:dyDescent="0.3">
      <c r="P810" s="13"/>
      <c r="Q810" s="13"/>
      <c r="R810" s="13"/>
      <c r="S810" s="4"/>
    </row>
    <row r="811" spans="16:19" ht="14.25" customHeight="1" x14ac:dyDescent="0.3">
      <c r="P811" s="13"/>
      <c r="Q811" s="13"/>
      <c r="R811" s="13"/>
      <c r="S811" s="4"/>
    </row>
    <row r="812" spans="16:19" ht="14.25" customHeight="1" x14ac:dyDescent="0.3">
      <c r="P812" s="13"/>
      <c r="Q812" s="13"/>
      <c r="R812" s="13"/>
      <c r="S812" s="4"/>
    </row>
    <row r="813" spans="16:19" ht="14.25" customHeight="1" x14ac:dyDescent="0.3">
      <c r="P813" s="13"/>
      <c r="Q813" s="13"/>
      <c r="R813" s="13"/>
      <c r="S813" s="4"/>
    </row>
    <row r="814" spans="16:19" ht="14.25" customHeight="1" x14ac:dyDescent="0.3">
      <c r="P814" s="13"/>
      <c r="Q814" s="13"/>
      <c r="R814" s="13"/>
      <c r="S814" s="4"/>
    </row>
    <row r="815" spans="16:19" ht="14.25" customHeight="1" x14ac:dyDescent="0.3">
      <c r="P815" s="13"/>
      <c r="Q815" s="13"/>
      <c r="R815" s="13"/>
      <c r="S815" s="4"/>
    </row>
    <row r="816" spans="16:19" ht="14.25" customHeight="1" x14ac:dyDescent="0.3">
      <c r="P816" s="13"/>
      <c r="Q816" s="13"/>
      <c r="R816" s="13"/>
      <c r="S816" s="4"/>
    </row>
    <row r="817" spans="16:19" ht="14.25" customHeight="1" x14ac:dyDescent="0.3">
      <c r="P817" s="13"/>
      <c r="Q817" s="13"/>
      <c r="R817" s="13"/>
      <c r="S817" s="4"/>
    </row>
    <row r="818" spans="16:19" ht="14.25" customHeight="1" x14ac:dyDescent="0.3">
      <c r="P818" s="13"/>
      <c r="Q818" s="13"/>
      <c r="R818" s="13"/>
      <c r="S818" s="4"/>
    </row>
    <row r="819" spans="16:19" ht="14.25" customHeight="1" x14ac:dyDescent="0.3">
      <c r="P819" s="13"/>
      <c r="Q819" s="13"/>
      <c r="R819" s="13"/>
      <c r="S819" s="4"/>
    </row>
    <row r="820" spans="16:19" ht="14.25" customHeight="1" x14ac:dyDescent="0.3">
      <c r="P820" s="13"/>
      <c r="Q820" s="13"/>
      <c r="R820" s="13"/>
      <c r="S820" s="4"/>
    </row>
    <row r="821" spans="16:19" ht="14.25" customHeight="1" x14ac:dyDescent="0.3">
      <c r="P821" s="13"/>
      <c r="Q821" s="13"/>
      <c r="R821" s="13"/>
      <c r="S821" s="4"/>
    </row>
    <row r="822" spans="16:19" ht="14.25" customHeight="1" x14ac:dyDescent="0.3">
      <c r="P822" s="13"/>
      <c r="Q822" s="13"/>
      <c r="R822" s="13"/>
      <c r="S822" s="4"/>
    </row>
    <row r="823" spans="16:19" ht="14.25" customHeight="1" x14ac:dyDescent="0.3">
      <c r="P823" s="13"/>
      <c r="Q823" s="13"/>
      <c r="R823" s="13"/>
      <c r="S823" s="4"/>
    </row>
    <row r="824" spans="16:19" ht="14.25" customHeight="1" x14ac:dyDescent="0.3">
      <c r="P824" s="13"/>
      <c r="Q824" s="13"/>
      <c r="R824" s="13"/>
      <c r="S824" s="4"/>
    </row>
    <row r="825" spans="16:19" ht="14.25" customHeight="1" x14ac:dyDescent="0.3">
      <c r="P825" s="13"/>
      <c r="Q825" s="13"/>
      <c r="R825" s="13"/>
      <c r="S825" s="4"/>
    </row>
    <row r="826" spans="16:19" ht="14.25" customHeight="1" x14ac:dyDescent="0.3">
      <c r="P826" s="13"/>
      <c r="Q826" s="13"/>
      <c r="R826" s="13"/>
      <c r="S826" s="4"/>
    </row>
    <row r="827" spans="16:19" ht="14.25" customHeight="1" x14ac:dyDescent="0.3">
      <c r="P827" s="13"/>
      <c r="Q827" s="13"/>
      <c r="R827" s="13"/>
      <c r="S827" s="4"/>
    </row>
    <row r="828" spans="16:19" ht="14.25" customHeight="1" x14ac:dyDescent="0.3">
      <c r="P828" s="13"/>
      <c r="Q828" s="13"/>
      <c r="R828" s="13"/>
      <c r="S828" s="4"/>
    </row>
    <row r="829" spans="16:19" ht="14.25" customHeight="1" x14ac:dyDescent="0.3">
      <c r="P829" s="13"/>
      <c r="Q829" s="13"/>
      <c r="R829" s="13"/>
      <c r="S829" s="4"/>
    </row>
    <row r="830" spans="16:19" ht="14.25" customHeight="1" x14ac:dyDescent="0.3">
      <c r="P830" s="13"/>
      <c r="Q830" s="13"/>
      <c r="R830" s="13"/>
      <c r="S830" s="4"/>
    </row>
    <row r="831" spans="16:19" ht="14.25" customHeight="1" x14ac:dyDescent="0.3">
      <c r="P831" s="13"/>
      <c r="Q831" s="13"/>
      <c r="R831" s="13"/>
      <c r="S831" s="4"/>
    </row>
    <row r="832" spans="16:19" ht="14.25" customHeight="1" x14ac:dyDescent="0.3">
      <c r="P832" s="13"/>
      <c r="Q832" s="13"/>
      <c r="R832" s="13"/>
      <c r="S832" s="4"/>
    </row>
    <row r="833" spans="16:19" ht="14.25" customHeight="1" x14ac:dyDescent="0.3">
      <c r="P833" s="13"/>
      <c r="Q833" s="13"/>
      <c r="R833" s="13"/>
      <c r="S833" s="4"/>
    </row>
    <row r="834" spans="16:19" ht="14.25" customHeight="1" x14ac:dyDescent="0.3">
      <c r="P834" s="13"/>
      <c r="Q834" s="13"/>
      <c r="R834" s="13"/>
      <c r="S834" s="4"/>
    </row>
    <row r="835" spans="16:19" ht="14.25" customHeight="1" x14ac:dyDescent="0.3">
      <c r="P835" s="13"/>
      <c r="Q835" s="13"/>
      <c r="R835" s="13"/>
      <c r="S835" s="4"/>
    </row>
    <row r="836" spans="16:19" ht="14.25" customHeight="1" x14ac:dyDescent="0.3">
      <c r="P836" s="13"/>
      <c r="Q836" s="13"/>
      <c r="R836" s="13"/>
      <c r="S836" s="4"/>
    </row>
    <row r="837" spans="16:19" ht="14.25" customHeight="1" x14ac:dyDescent="0.3">
      <c r="P837" s="13"/>
      <c r="Q837" s="13"/>
      <c r="R837" s="13"/>
      <c r="S837" s="4"/>
    </row>
    <row r="838" spans="16:19" ht="14.25" customHeight="1" x14ac:dyDescent="0.3">
      <c r="P838" s="13"/>
      <c r="Q838" s="13"/>
      <c r="R838" s="13"/>
      <c r="S838" s="4"/>
    </row>
    <row r="839" spans="16:19" ht="14.25" customHeight="1" x14ac:dyDescent="0.3">
      <c r="P839" s="13"/>
      <c r="Q839" s="13"/>
      <c r="R839" s="13"/>
      <c r="S839" s="4"/>
    </row>
    <row r="840" spans="16:19" ht="14.25" customHeight="1" x14ac:dyDescent="0.3">
      <c r="P840" s="13"/>
      <c r="Q840" s="13"/>
      <c r="R840" s="13"/>
      <c r="S840" s="4"/>
    </row>
    <row r="841" spans="16:19" ht="14.25" customHeight="1" x14ac:dyDescent="0.3">
      <c r="P841" s="13"/>
      <c r="Q841" s="13"/>
      <c r="R841" s="13"/>
      <c r="S841" s="4"/>
    </row>
    <row r="842" spans="16:19" ht="14.25" customHeight="1" x14ac:dyDescent="0.3">
      <c r="P842" s="13"/>
      <c r="Q842" s="13"/>
      <c r="R842" s="13"/>
      <c r="S842" s="4"/>
    </row>
    <row r="843" spans="16:19" ht="14.25" customHeight="1" x14ac:dyDescent="0.3">
      <c r="P843" s="13"/>
      <c r="Q843" s="13"/>
      <c r="R843" s="13"/>
      <c r="S843" s="4"/>
    </row>
    <row r="844" spans="16:19" ht="14.25" customHeight="1" x14ac:dyDescent="0.3">
      <c r="P844" s="13"/>
      <c r="Q844" s="13"/>
      <c r="R844" s="13"/>
      <c r="S844" s="4"/>
    </row>
    <row r="845" spans="16:19" ht="14.25" customHeight="1" x14ac:dyDescent="0.3">
      <c r="P845" s="13"/>
      <c r="Q845" s="13"/>
      <c r="R845" s="13"/>
      <c r="S845" s="4"/>
    </row>
    <row r="846" spans="16:19" ht="14.25" customHeight="1" x14ac:dyDescent="0.3">
      <c r="P846" s="13"/>
      <c r="Q846" s="13"/>
      <c r="R846" s="13"/>
      <c r="S846" s="4"/>
    </row>
    <row r="847" spans="16:19" ht="14.25" customHeight="1" x14ac:dyDescent="0.3">
      <c r="P847" s="13"/>
      <c r="Q847" s="13"/>
      <c r="R847" s="13"/>
      <c r="S847" s="4"/>
    </row>
    <row r="848" spans="16:19" ht="14.25" customHeight="1" x14ac:dyDescent="0.3">
      <c r="P848" s="13"/>
      <c r="Q848" s="13"/>
      <c r="R848" s="13"/>
      <c r="S848" s="4"/>
    </row>
    <row r="849" spans="16:19" ht="14.25" customHeight="1" x14ac:dyDescent="0.3">
      <c r="P849" s="13"/>
      <c r="Q849" s="13"/>
      <c r="R849" s="13"/>
      <c r="S849" s="4"/>
    </row>
    <row r="850" spans="16:19" ht="14.25" customHeight="1" x14ac:dyDescent="0.3">
      <c r="P850" s="13"/>
      <c r="Q850" s="13"/>
      <c r="R850" s="13"/>
      <c r="S850" s="4"/>
    </row>
    <row r="851" spans="16:19" ht="14.25" customHeight="1" x14ac:dyDescent="0.3">
      <c r="P851" s="13"/>
      <c r="Q851" s="13"/>
      <c r="R851" s="13"/>
      <c r="S851" s="4"/>
    </row>
    <row r="852" spans="16:19" ht="14.25" customHeight="1" x14ac:dyDescent="0.3">
      <c r="P852" s="13"/>
      <c r="Q852" s="13"/>
      <c r="R852" s="13"/>
      <c r="S852" s="4"/>
    </row>
    <row r="853" spans="16:19" ht="14.25" customHeight="1" x14ac:dyDescent="0.3">
      <c r="P853" s="13"/>
      <c r="Q853" s="13"/>
      <c r="R853" s="13"/>
      <c r="S853" s="4"/>
    </row>
    <row r="854" spans="16:19" ht="14.25" customHeight="1" x14ac:dyDescent="0.3">
      <c r="P854" s="13"/>
      <c r="Q854" s="13"/>
      <c r="R854" s="13"/>
      <c r="S854" s="4"/>
    </row>
    <row r="855" spans="16:19" ht="14.25" customHeight="1" x14ac:dyDescent="0.3">
      <c r="P855" s="13"/>
      <c r="Q855" s="13"/>
      <c r="R855" s="13"/>
      <c r="S855" s="4"/>
    </row>
    <row r="856" spans="16:19" ht="14.25" customHeight="1" x14ac:dyDescent="0.3">
      <c r="P856" s="13"/>
      <c r="Q856" s="13"/>
      <c r="R856" s="13"/>
      <c r="S856" s="4"/>
    </row>
    <row r="857" spans="16:19" ht="14.25" customHeight="1" x14ac:dyDescent="0.3">
      <c r="P857" s="13"/>
      <c r="Q857" s="13"/>
      <c r="R857" s="13"/>
      <c r="S857" s="4"/>
    </row>
    <row r="858" spans="16:19" ht="14.25" customHeight="1" x14ac:dyDescent="0.3">
      <c r="P858" s="13"/>
      <c r="Q858" s="13"/>
      <c r="R858" s="13"/>
      <c r="S858" s="4"/>
    </row>
    <row r="859" spans="16:19" ht="14.25" customHeight="1" x14ac:dyDescent="0.3">
      <c r="P859" s="13"/>
      <c r="Q859" s="13"/>
      <c r="R859" s="13"/>
      <c r="S859" s="4"/>
    </row>
    <row r="860" spans="16:19" ht="14.25" customHeight="1" x14ac:dyDescent="0.3">
      <c r="P860" s="13"/>
      <c r="Q860" s="13"/>
      <c r="R860" s="13"/>
      <c r="S860" s="4"/>
    </row>
    <row r="861" spans="16:19" ht="14.25" customHeight="1" x14ac:dyDescent="0.3">
      <c r="P861" s="13"/>
      <c r="Q861" s="13"/>
      <c r="R861" s="13"/>
      <c r="S861" s="4"/>
    </row>
    <row r="862" spans="16:19" ht="14.25" customHeight="1" x14ac:dyDescent="0.3">
      <c r="P862" s="13"/>
      <c r="Q862" s="13"/>
      <c r="R862" s="13"/>
      <c r="S862" s="4"/>
    </row>
    <row r="863" spans="16:19" ht="14.25" customHeight="1" x14ac:dyDescent="0.3">
      <c r="P863" s="13"/>
      <c r="Q863" s="13"/>
      <c r="R863" s="13"/>
      <c r="S863" s="4"/>
    </row>
    <row r="864" spans="16:19" ht="14.25" customHeight="1" x14ac:dyDescent="0.3">
      <c r="P864" s="13"/>
      <c r="Q864" s="13"/>
      <c r="R864" s="13"/>
      <c r="S864" s="4"/>
    </row>
    <row r="865" spans="16:19" ht="14.25" customHeight="1" x14ac:dyDescent="0.3">
      <c r="P865" s="13"/>
      <c r="Q865" s="13"/>
      <c r="R865" s="13"/>
      <c r="S865" s="4"/>
    </row>
    <row r="866" spans="16:19" ht="14.25" customHeight="1" x14ac:dyDescent="0.3">
      <c r="P866" s="13"/>
      <c r="Q866" s="13"/>
      <c r="R866" s="13"/>
      <c r="S866" s="4"/>
    </row>
    <row r="867" spans="16:19" ht="14.25" customHeight="1" x14ac:dyDescent="0.3">
      <c r="P867" s="13"/>
      <c r="Q867" s="13"/>
      <c r="R867" s="13"/>
      <c r="S867" s="4"/>
    </row>
    <row r="868" spans="16:19" ht="14.25" customHeight="1" x14ac:dyDescent="0.3">
      <c r="P868" s="13"/>
      <c r="Q868" s="13"/>
      <c r="R868" s="13"/>
      <c r="S868" s="4"/>
    </row>
    <row r="869" spans="16:19" ht="14.25" customHeight="1" x14ac:dyDescent="0.3">
      <c r="P869" s="13"/>
      <c r="Q869" s="13"/>
      <c r="R869" s="13"/>
      <c r="S869" s="4"/>
    </row>
    <row r="870" spans="16:19" ht="14.25" customHeight="1" x14ac:dyDescent="0.3">
      <c r="P870" s="13"/>
      <c r="Q870" s="13"/>
      <c r="R870" s="13"/>
      <c r="S870" s="4"/>
    </row>
    <row r="871" spans="16:19" ht="14.25" customHeight="1" x14ac:dyDescent="0.3">
      <c r="P871" s="13"/>
      <c r="Q871" s="13"/>
      <c r="R871" s="13"/>
      <c r="S871" s="4"/>
    </row>
    <row r="872" spans="16:19" ht="14.25" customHeight="1" x14ac:dyDescent="0.3">
      <c r="P872" s="13"/>
      <c r="Q872" s="13"/>
      <c r="R872" s="13"/>
      <c r="S872" s="4"/>
    </row>
    <row r="873" spans="16:19" ht="14.25" customHeight="1" x14ac:dyDescent="0.3">
      <c r="P873" s="13"/>
      <c r="Q873" s="13"/>
      <c r="R873" s="13"/>
      <c r="S873" s="4"/>
    </row>
    <row r="874" spans="16:19" ht="14.25" customHeight="1" x14ac:dyDescent="0.3">
      <c r="P874" s="13"/>
      <c r="Q874" s="13"/>
      <c r="R874" s="13"/>
      <c r="S874" s="4"/>
    </row>
    <row r="875" spans="16:19" ht="14.25" customHeight="1" x14ac:dyDescent="0.3">
      <c r="P875" s="13"/>
      <c r="Q875" s="13"/>
      <c r="R875" s="13"/>
      <c r="S875" s="4"/>
    </row>
    <row r="876" spans="16:19" ht="14.25" customHeight="1" x14ac:dyDescent="0.3">
      <c r="P876" s="13"/>
      <c r="Q876" s="13"/>
      <c r="R876" s="13"/>
      <c r="S876" s="4"/>
    </row>
    <row r="877" spans="16:19" ht="14.25" customHeight="1" x14ac:dyDescent="0.3">
      <c r="P877" s="13"/>
      <c r="Q877" s="13"/>
      <c r="R877" s="13"/>
      <c r="S877" s="4"/>
    </row>
    <row r="878" spans="16:19" ht="14.25" customHeight="1" x14ac:dyDescent="0.3">
      <c r="P878" s="13"/>
      <c r="Q878" s="13"/>
      <c r="R878" s="13"/>
      <c r="S878" s="4"/>
    </row>
    <row r="879" spans="16:19" ht="14.25" customHeight="1" x14ac:dyDescent="0.3">
      <c r="P879" s="13"/>
      <c r="Q879" s="13"/>
      <c r="R879" s="13"/>
      <c r="S879" s="4"/>
    </row>
    <row r="880" spans="16:19" ht="14.25" customHeight="1" x14ac:dyDescent="0.3">
      <c r="P880" s="13"/>
      <c r="Q880" s="13"/>
      <c r="R880" s="13"/>
      <c r="S880" s="4"/>
    </row>
    <row r="881" spans="16:19" ht="14.25" customHeight="1" x14ac:dyDescent="0.3">
      <c r="P881" s="13"/>
      <c r="Q881" s="13"/>
      <c r="R881" s="13"/>
      <c r="S881" s="4"/>
    </row>
    <row r="882" spans="16:19" ht="14.25" customHeight="1" x14ac:dyDescent="0.3">
      <c r="P882" s="13"/>
      <c r="Q882" s="13"/>
      <c r="R882" s="13"/>
      <c r="S882" s="4"/>
    </row>
    <row r="883" spans="16:19" ht="14.25" customHeight="1" x14ac:dyDescent="0.3">
      <c r="P883" s="13"/>
      <c r="Q883" s="13"/>
      <c r="R883" s="13"/>
      <c r="S883" s="4"/>
    </row>
    <row r="884" spans="16:19" ht="14.25" customHeight="1" x14ac:dyDescent="0.3">
      <c r="P884" s="13"/>
      <c r="Q884" s="13"/>
      <c r="R884" s="13"/>
      <c r="S884" s="4"/>
    </row>
    <row r="885" spans="16:19" ht="14.25" customHeight="1" x14ac:dyDescent="0.3">
      <c r="P885" s="13"/>
      <c r="Q885" s="13"/>
      <c r="R885" s="13"/>
      <c r="S885" s="4"/>
    </row>
    <row r="886" spans="16:19" ht="14.25" customHeight="1" x14ac:dyDescent="0.3">
      <c r="P886" s="13"/>
      <c r="Q886" s="13"/>
      <c r="R886" s="13"/>
      <c r="S886" s="4"/>
    </row>
    <row r="887" spans="16:19" ht="14.25" customHeight="1" x14ac:dyDescent="0.3">
      <c r="P887" s="13"/>
      <c r="Q887" s="13"/>
      <c r="R887" s="13"/>
      <c r="S887" s="4"/>
    </row>
    <row r="888" spans="16:19" ht="14.25" customHeight="1" x14ac:dyDescent="0.3">
      <c r="P888" s="13"/>
      <c r="Q888" s="13"/>
      <c r="R888" s="13"/>
      <c r="S888" s="4"/>
    </row>
    <row r="889" spans="16:19" ht="14.25" customHeight="1" x14ac:dyDescent="0.3">
      <c r="P889" s="13"/>
      <c r="Q889" s="13"/>
      <c r="R889" s="13"/>
      <c r="S889" s="4"/>
    </row>
    <row r="890" spans="16:19" ht="14.25" customHeight="1" x14ac:dyDescent="0.3">
      <c r="P890" s="13"/>
      <c r="Q890" s="13"/>
      <c r="R890" s="13"/>
      <c r="S890" s="4"/>
    </row>
    <row r="891" spans="16:19" ht="14.25" customHeight="1" x14ac:dyDescent="0.3">
      <c r="P891" s="13"/>
      <c r="Q891" s="13"/>
      <c r="R891" s="13"/>
      <c r="S891" s="4"/>
    </row>
    <row r="892" spans="16:19" ht="14.25" customHeight="1" x14ac:dyDescent="0.3">
      <c r="P892" s="13"/>
      <c r="Q892" s="13"/>
      <c r="R892" s="13"/>
      <c r="S892" s="4"/>
    </row>
    <row r="893" spans="16:19" ht="14.25" customHeight="1" x14ac:dyDescent="0.3">
      <c r="P893" s="13"/>
      <c r="Q893" s="13"/>
      <c r="R893" s="13"/>
      <c r="S893" s="4"/>
    </row>
    <row r="894" spans="16:19" ht="14.25" customHeight="1" x14ac:dyDescent="0.3">
      <c r="P894" s="13"/>
      <c r="Q894" s="13"/>
      <c r="R894" s="13"/>
      <c r="S894" s="4"/>
    </row>
    <row r="895" spans="16:19" ht="14.25" customHeight="1" x14ac:dyDescent="0.3">
      <c r="P895" s="13"/>
      <c r="Q895" s="13"/>
      <c r="R895" s="13"/>
      <c r="S895" s="4"/>
    </row>
    <row r="896" spans="16:19" ht="14.25" customHeight="1" x14ac:dyDescent="0.3">
      <c r="P896" s="13"/>
      <c r="Q896" s="13"/>
      <c r="R896" s="13"/>
      <c r="S896" s="4"/>
    </row>
    <row r="897" spans="16:19" ht="14.25" customHeight="1" x14ac:dyDescent="0.3">
      <c r="P897" s="13"/>
      <c r="Q897" s="13"/>
      <c r="R897" s="13"/>
      <c r="S897" s="4"/>
    </row>
    <row r="898" spans="16:19" ht="14.25" customHeight="1" x14ac:dyDescent="0.3">
      <c r="P898" s="13"/>
      <c r="Q898" s="13"/>
      <c r="R898" s="13"/>
      <c r="S898" s="4"/>
    </row>
    <row r="899" spans="16:19" ht="14.25" customHeight="1" x14ac:dyDescent="0.3">
      <c r="P899" s="13"/>
      <c r="Q899" s="13"/>
      <c r="R899" s="13"/>
      <c r="S899" s="4"/>
    </row>
    <row r="900" spans="16:19" ht="14.25" customHeight="1" x14ac:dyDescent="0.3">
      <c r="P900" s="13"/>
      <c r="Q900" s="13"/>
      <c r="R900" s="13"/>
      <c r="S900" s="4"/>
    </row>
    <row r="901" spans="16:19" ht="14.25" customHeight="1" x14ac:dyDescent="0.3">
      <c r="P901" s="13"/>
      <c r="Q901" s="13"/>
      <c r="R901" s="13"/>
      <c r="S901" s="4"/>
    </row>
    <row r="902" spans="16:19" ht="14.25" customHeight="1" x14ac:dyDescent="0.3">
      <c r="P902" s="13"/>
      <c r="Q902" s="13"/>
      <c r="R902" s="13"/>
      <c r="S902" s="4"/>
    </row>
    <row r="903" spans="16:19" ht="14.25" customHeight="1" x14ac:dyDescent="0.3">
      <c r="P903" s="13"/>
      <c r="Q903" s="13"/>
      <c r="R903" s="13"/>
      <c r="S903" s="4"/>
    </row>
    <row r="904" spans="16:19" ht="14.25" customHeight="1" x14ac:dyDescent="0.3">
      <c r="P904" s="13"/>
      <c r="Q904" s="13"/>
      <c r="R904" s="13"/>
      <c r="S904" s="4"/>
    </row>
    <row r="905" spans="16:19" ht="14.25" customHeight="1" x14ac:dyDescent="0.3">
      <c r="P905" s="13"/>
      <c r="Q905" s="13"/>
      <c r="R905" s="13"/>
      <c r="S905" s="4"/>
    </row>
    <row r="906" spans="16:19" ht="14.25" customHeight="1" x14ac:dyDescent="0.3">
      <c r="P906" s="13"/>
      <c r="Q906" s="13"/>
      <c r="R906" s="13"/>
      <c r="S906" s="4"/>
    </row>
    <row r="907" spans="16:19" ht="14.25" customHeight="1" x14ac:dyDescent="0.3">
      <c r="P907" s="13"/>
      <c r="Q907" s="13"/>
      <c r="R907" s="13"/>
      <c r="S907" s="4"/>
    </row>
    <row r="908" spans="16:19" ht="14.25" customHeight="1" x14ac:dyDescent="0.3">
      <c r="P908" s="13"/>
      <c r="Q908" s="13"/>
      <c r="R908" s="13"/>
      <c r="S908" s="4"/>
    </row>
    <row r="909" spans="16:19" ht="14.25" customHeight="1" x14ac:dyDescent="0.3">
      <c r="P909" s="13"/>
      <c r="Q909" s="13"/>
      <c r="R909" s="13"/>
      <c r="S909" s="4"/>
    </row>
    <row r="910" spans="16:19" ht="14.25" customHeight="1" x14ac:dyDescent="0.3">
      <c r="P910" s="13"/>
      <c r="Q910" s="13"/>
      <c r="R910" s="13"/>
      <c r="S910" s="4"/>
    </row>
    <row r="911" spans="16:19" ht="14.25" customHeight="1" x14ac:dyDescent="0.3">
      <c r="P911" s="13"/>
      <c r="Q911" s="13"/>
      <c r="R911" s="13"/>
      <c r="S911" s="4"/>
    </row>
    <row r="912" spans="16:19" ht="14.25" customHeight="1" x14ac:dyDescent="0.3">
      <c r="P912" s="13"/>
      <c r="Q912" s="13"/>
      <c r="R912" s="13"/>
      <c r="S912" s="4"/>
    </row>
    <row r="913" spans="16:19" ht="14.25" customHeight="1" x14ac:dyDescent="0.3">
      <c r="P913" s="13"/>
      <c r="Q913" s="13"/>
      <c r="R913" s="13"/>
      <c r="S913" s="4"/>
    </row>
    <row r="914" spans="16:19" ht="14.25" customHeight="1" x14ac:dyDescent="0.3">
      <c r="P914" s="13"/>
      <c r="Q914" s="13"/>
      <c r="R914" s="13"/>
      <c r="S914" s="4"/>
    </row>
    <row r="915" spans="16:19" ht="14.25" customHeight="1" x14ac:dyDescent="0.3">
      <c r="P915" s="13"/>
      <c r="Q915" s="13"/>
      <c r="R915" s="13"/>
      <c r="S915" s="4"/>
    </row>
    <row r="916" spans="16:19" ht="14.25" customHeight="1" x14ac:dyDescent="0.3">
      <c r="P916" s="13"/>
      <c r="Q916" s="13"/>
      <c r="R916" s="13"/>
      <c r="S916" s="4"/>
    </row>
    <row r="917" spans="16:19" ht="14.25" customHeight="1" x14ac:dyDescent="0.3">
      <c r="P917" s="13"/>
      <c r="Q917" s="13"/>
      <c r="R917" s="13"/>
      <c r="S917" s="4"/>
    </row>
    <row r="918" spans="16:19" ht="14.25" customHeight="1" x14ac:dyDescent="0.3">
      <c r="P918" s="13"/>
      <c r="Q918" s="13"/>
      <c r="R918" s="13"/>
      <c r="S918" s="4"/>
    </row>
    <row r="919" spans="16:19" ht="14.25" customHeight="1" x14ac:dyDescent="0.3">
      <c r="P919" s="13"/>
      <c r="Q919" s="13"/>
      <c r="R919" s="13"/>
      <c r="S919" s="4"/>
    </row>
    <row r="920" spans="16:19" ht="14.25" customHeight="1" x14ac:dyDescent="0.3">
      <c r="P920" s="13"/>
      <c r="Q920" s="13"/>
      <c r="R920" s="13"/>
      <c r="S920" s="4"/>
    </row>
    <row r="921" spans="16:19" ht="14.25" customHeight="1" x14ac:dyDescent="0.3">
      <c r="P921" s="13"/>
      <c r="Q921" s="13"/>
      <c r="R921" s="13"/>
      <c r="S921" s="4"/>
    </row>
    <row r="922" spans="16:19" ht="14.25" customHeight="1" x14ac:dyDescent="0.3">
      <c r="P922" s="13"/>
      <c r="Q922" s="13"/>
      <c r="R922" s="13"/>
      <c r="S922" s="4"/>
    </row>
    <row r="923" spans="16:19" ht="14.25" customHeight="1" x14ac:dyDescent="0.3">
      <c r="P923" s="13"/>
      <c r="Q923" s="13"/>
      <c r="R923" s="13"/>
      <c r="S923" s="4"/>
    </row>
    <row r="924" spans="16:19" ht="14.25" customHeight="1" x14ac:dyDescent="0.3">
      <c r="P924" s="13"/>
      <c r="Q924" s="13"/>
      <c r="R924" s="13"/>
      <c r="S924" s="4"/>
    </row>
    <row r="925" spans="16:19" ht="14.25" customHeight="1" x14ac:dyDescent="0.3">
      <c r="P925" s="13"/>
      <c r="Q925" s="13"/>
      <c r="R925" s="13"/>
      <c r="S925" s="4"/>
    </row>
    <row r="926" spans="16:19" ht="14.25" customHeight="1" x14ac:dyDescent="0.3">
      <c r="P926" s="13"/>
      <c r="Q926" s="13"/>
      <c r="R926" s="13"/>
      <c r="S926" s="4"/>
    </row>
    <row r="927" spans="16:19" ht="14.25" customHeight="1" x14ac:dyDescent="0.3">
      <c r="P927" s="13"/>
      <c r="Q927" s="13"/>
      <c r="R927" s="13"/>
      <c r="S927" s="4"/>
    </row>
    <row r="928" spans="16:19" ht="14.25" customHeight="1" x14ac:dyDescent="0.3">
      <c r="P928" s="13"/>
      <c r="Q928" s="13"/>
      <c r="R928" s="13"/>
      <c r="S928" s="4"/>
    </row>
    <row r="929" spans="16:19" ht="14.25" customHeight="1" x14ac:dyDescent="0.3">
      <c r="P929" s="13"/>
      <c r="Q929" s="13"/>
      <c r="R929" s="13"/>
      <c r="S929" s="4"/>
    </row>
    <row r="930" spans="16:19" ht="14.25" customHeight="1" x14ac:dyDescent="0.3">
      <c r="P930" s="13"/>
      <c r="Q930" s="13"/>
      <c r="R930" s="13"/>
      <c r="S930" s="4"/>
    </row>
    <row r="931" spans="16:19" ht="14.25" customHeight="1" x14ac:dyDescent="0.3">
      <c r="P931" s="13"/>
      <c r="Q931" s="13"/>
      <c r="R931" s="13"/>
      <c r="S931" s="4"/>
    </row>
    <row r="932" spans="16:19" ht="14.25" customHeight="1" x14ac:dyDescent="0.3">
      <c r="P932" s="13"/>
      <c r="Q932" s="13"/>
      <c r="R932" s="13"/>
      <c r="S932" s="4"/>
    </row>
    <row r="933" spans="16:19" ht="14.25" customHeight="1" x14ac:dyDescent="0.3">
      <c r="P933" s="13"/>
      <c r="Q933" s="13"/>
      <c r="R933" s="13"/>
      <c r="S933" s="4"/>
    </row>
    <row r="934" spans="16:19" ht="14.25" customHeight="1" x14ac:dyDescent="0.3">
      <c r="P934" s="13"/>
      <c r="Q934" s="13"/>
      <c r="R934" s="13"/>
      <c r="S934" s="4"/>
    </row>
    <row r="935" spans="16:19" ht="14.25" customHeight="1" x14ac:dyDescent="0.3">
      <c r="P935" s="13"/>
      <c r="Q935" s="13"/>
      <c r="R935" s="13"/>
      <c r="S935" s="4"/>
    </row>
    <row r="936" spans="16:19" ht="14.25" customHeight="1" x14ac:dyDescent="0.3">
      <c r="P936" s="13"/>
      <c r="Q936" s="13"/>
      <c r="R936" s="13"/>
      <c r="S936" s="4"/>
    </row>
    <row r="937" spans="16:19" ht="14.25" customHeight="1" x14ac:dyDescent="0.3">
      <c r="P937" s="13"/>
      <c r="Q937" s="13"/>
      <c r="R937" s="13"/>
      <c r="S937" s="4"/>
    </row>
    <row r="938" spans="16:19" ht="14.25" customHeight="1" x14ac:dyDescent="0.3">
      <c r="P938" s="13"/>
      <c r="Q938" s="13"/>
      <c r="R938" s="13"/>
      <c r="S938" s="4"/>
    </row>
    <row r="939" spans="16:19" ht="14.25" customHeight="1" x14ac:dyDescent="0.3">
      <c r="P939" s="13"/>
      <c r="Q939" s="13"/>
      <c r="R939" s="13"/>
      <c r="S939" s="4"/>
    </row>
    <row r="940" spans="16:19" ht="14.25" customHeight="1" x14ac:dyDescent="0.3">
      <c r="P940" s="13"/>
      <c r="Q940" s="13"/>
      <c r="R940" s="13"/>
      <c r="S940" s="4"/>
    </row>
    <row r="941" spans="16:19" ht="14.25" customHeight="1" x14ac:dyDescent="0.3">
      <c r="P941" s="13"/>
      <c r="Q941" s="13"/>
      <c r="R941" s="13"/>
      <c r="S941" s="4"/>
    </row>
    <row r="942" spans="16:19" ht="14.25" customHeight="1" x14ac:dyDescent="0.3">
      <c r="P942" s="13"/>
      <c r="Q942" s="13"/>
      <c r="R942" s="13"/>
      <c r="S942" s="4"/>
    </row>
    <row r="943" spans="16:19" ht="14.25" customHeight="1" x14ac:dyDescent="0.3">
      <c r="P943" s="13"/>
      <c r="Q943" s="13"/>
      <c r="R943" s="13"/>
      <c r="S943" s="4"/>
    </row>
    <row r="944" spans="16:19" ht="14.25" customHeight="1" x14ac:dyDescent="0.3">
      <c r="P944" s="13"/>
      <c r="Q944" s="13"/>
      <c r="R944" s="13"/>
      <c r="S944" s="4"/>
    </row>
    <row r="945" spans="16:19" ht="14.25" customHeight="1" x14ac:dyDescent="0.3">
      <c r="P945" s="13"/>
      <c r="Q945" s="13"/>
      <c r="R945" s="13"/>
      <c r="S945" s="4"/>
    </row>
    <row r="946" spans="16:19" ht="14.25" customHeight="1" x14ac:dyDescent="0.3">
      <c r="P946" s="13"/>
      <c r="Q946" s="13"/>
      <c r="R946" s="13"/>
      <c r="S946" s="4"/>
    </row>
    <row r="947" spans="16:19" ht="14.25" customHeight="1" x14ac:dyDescent="0.3">
      <c r="P947" s="13"/>
      <c r="Q947" s="13"/>
      <c r="R947" s="13"/>
      <c r="S947" s="4"/>
    </row>
    <row r="948" spans="16:19" ht="14.25" customHeight="1" x14ac:dyDescent="0.3">
      <c r="P948" s="13"/>
      <c r="Q948" s="13"/>
      <c r="R948" s="13"/>
      <c r="S948" s="4"/>
    </row>
    <row r="949" spans="16:19" ht="14.25" customHeight="1" x14ac:dyDescent="0.3">
      <c r="P949" s="13"/>
      <c r="Q949" s="13"/>
      <c r="R949" s="13"/>
      <c r="S949" s="4"/>
    </row>
    <row r="950" spans="16:19" ht="14.25" customHeight="1" x14ac:dyDescent="0.3">
      <c r="P950" s="13"/>
      <c r="Q950" s="13"/>
      <c r="R950" s="13"/>
      <c r="S950" s="4"/>
    </row>
    <row r="951" spans="16:19" ht="14.25" customHeight="1" x14ac:dyDescent="0.3">
      <c r="P951" s="13"/>
      <c r="Q951" s="13"/>
      <c r="R951" s="13"/>
      <c r="S951" s="4"/>
    </row>
    <row r="952" spans="16:19" ht="14.25" customHeight="1" x14ac:dyDescent="0.3">
      <c r="P952" s="13"/>
      <c r="Q952" s="13"/>
      <c r="R952" s="13"/>
      <c r="S952" s="4"/>
    </row>
    <row r="953" spans="16:19" ht="14.25" customHeight="1" x14ac:dyDescent="0.3">
      <c r="P953" s="13"/>
      <c r="Q953" s="13"/>
      <c r="R953" s="13"/>
      <c r="S953" s="4"/>
    </row>
    <row r="954" spans="16:19" ht="14.25" customHeight="1" x14ac:dyDescent="0.3">
      <c r="P954" s="13"/>
      <c r="Q954" s="13"/>
      <c r="R954" s="13"/>
      <c r="S954" s="4"/>
    </row>
    <row r="955" spans="16:19" ht="14.25" customHeight="1" x14ac:dyDescent="0.3">
      <c r="P955" s="13"/>
      <c r="Q955" s="13"/>
      <c r="R955" s="13"/>
      <c r="S955" s="4"/>
    </row>
    <row r="956" spans="16:19" ht="14.25" customHeight="1" x14ac:dyDescent="0.3">
      <c r="P956" s="13"/>
      <c r="Q956" s="13"/>
      <c r="R956" s="13"/>
      <c r="S956" s="4"/>
    </row>
    <row r="957" spans="16:19" ht="14.25" customHeight="1" x14ac:dyDescent="0.3">
      <c r="P957" s="13"/>
      <c r="Q957" s="13"/>
      <c r="R957" s="13"/>
      <c r="S957" s="4"/>
    </row>
    <row r="958" spans="16:19" ht="14.25" customHeight="1" x14ac:dyDescent="0.3">
      <c r="P958" s="13"/>
      <c r="Q958" s="13"/>
      <c r="R958" s="13"/>
      <c r="S958" s="4"/>
    </row>
    <row r="959" spans="16:19" ht="14.25" customHeight="1" x14ac:dyDescent="0.3">
      <c r="P959" s="13"/>
      <c r="Q959" s="13"/>
      <c r="R959" s="13"/>
      <c r="S959" s="4"/>
    </row>
    <row r="960" spans="16:19" ht="14.25" customHeight="1" x14ac:dyDescent="0.3">
      <c r="P960" s="13"/>
      <c r="Q960" s="13"/>
      <c r="R960" s="13"/>
      <c r="S960" s="4"/>
    </row>
    <row r="961" spans="16:19" ht="14.25" customHeight="1" x14ac:dyDescent="0.3">
      <c r="P961" s="13"/>
      <c r="Q961" s="13"/>
      <c r="R961" s="13"/>
      <c r="S961" s="4"/>
    </row>
    <row r="962" spans="16:19" ht="14.25" customHeight="1" x14ac:dyDescent="0.3">
      <c r="P962" s="13"/>
      <c r="Q962" s="13"/>
      <c r="R962" s="13"/>
      <c r="S962" s="4"/>
    </row>
    <row r="963" spans="16:19" ht="14.25" customHeight="1" x14ac:dyDescent="0.3">
      <c r="P963" s="13"/>
      <c r="Q963" s="13"/>
      <c r="R963" s="13"/>
      <c r="S963" s="4"/>
    </row>
    <row r="964" spans="16:19" ht="14.25" customHeight="1" x14ac:dyDescent="0.3">
      <c r="P964" s="13"/>
      <c r="Q964" s="13"/>
      <c r="R964" s="13"/>
      <c r="S964" s="4"/>
    </row>
    <row r="965" spans="16:19" ht="14.25" customHeight="1" x14ac:dyDescent="0.3">
      <c r="P965" s="13"/>
      <c r="Q965" s="13"/>
      <c r="R965" s="13"/>
      <c r="S965" s="4"/>
    </row>
    <row r="966" spans="16:19" ht="14.25" customHeight="1" x14ac:dyDescent="0.3">
      <c r="P966" s="13"/>
      <c r="Q966" s="13"/>
      <c r="R966" s="13"/>
      <c r="S966" s="4"/>
    </row>
    <row r="967" spans="16:19" ht="14.25" customHeight="1" x14ac:dyDescent="0.3">
      <c r="P967" s="13"/>
      <c r="Q967" s="13"/>
      <c r="R967" s="13"/>
      <c r="S967" s="4"/>
    </row>
    <row r="968" spans="16:19" ht="14.25" customHeight="1" x14ac:dyDescent="0.3">
      <c r="P968" s="13"/>
      <c r="Q968" s="13"/>
      <c r="R968" s="13"/>
      <c r="S968" s="4"/>
    </row>
    <row r="969" spans="16:19" ht="14.25" customHeight="1" x14ac:dyDescent="0.3">
      <c r="P969" s="13"/>
      <c r="Q969" s="13"/>
      <c r="R969" s="13"/>
      <c r="S969" s="4"/>
    </row>
    <row r="970" spans="16:19" ht="14.25" customHeight="1" x14ac:dyDescent="0.3">
      <c r="P970" s="13"/>
      <c r="Q970" s="13"/>
      <c r="R970" s="13"/>
      <c r="S970" s="4"/>
    </row>
    <row r="971" spans="16:19" ht="14.25" customHeight="1" x14ac:dyDescent="0.3">
      <c r="P971" s="13"/>
      <c r="Q971" s="13"/>
      <c r="R971" s="13"/>
      <c r="S971" s="4"/>
    </row>
    <row r="972" spans="16:19" ht="14.25" customHeight="1" x14ac:dyDescent="0.3">
      <c r="P972" s="13"/>
      <c r="Q972" s="13"/>
      <c r="R972" s="13"/>
      <c r="S972" s="4"/>
    </row>
    <row r="973" spans="16:19" ht="14.25" customHeight="1" x14ac:dyDescent="0.3">
      <c r="P973" s="13"/>
      <c r="Q973" s="13"/>
      <c r="R973" s="13"/>
      <c r="S973" s="4"/>
    </row>
    <row r="974" spans="16:19" ht="14.25" customHeight="1" x14ac:dyDescent="0.3">
      <c r="P974" s="13"/>
      <c r="Q974" s="13"/>
      <c r="R974" s="13"/>
      <c r="S974" s="4"/>
    </row>
    <row r="975" spans="16:19" ht="14.25" customHeight="1" x14ac:dyDescent="0.3">
      <c r="P975" s="13"/>
      <c r="Q975" s="13"/>
      <c r="R975" s="13"/>
      <c r="S975" s="4"/>
    </row>
    <row r="976" spans="16:19" ht="14.25" customHeight="1" x14ac:dyDescent="0.3">
      <c r="P976" s="13"/>
      <c r="Q976" s="13"/>
      <c r="R976" s="13"/>
      <c r="S976" s="4"/>
    </row>
    <row r="977" spans="16:19" ht="14.25" customHeight="1" x14ac:dyDescent="0.3">
      <c r="P977" s="13"/>
      <c r="Q977" s="13"/>
      <c r="R977" s="13"/>
      <c r="S977" s="4"/>
    </row>
    <row r="978" spans="16:19" ht="14.25" customHeight="1" x14ac:dyDescent="0.3">
      <c r="P978" s="13"/>
      <c r="Q978" s="13"/>
      <c r="R978" s="13"/>
      <c r="S978" s="4"/>
    </row>
    <row r="979" spans="16:19" ht="14.25" customHeight="1" x14ac:dyDescent="0.3">
      <c r="P979" s="13"/>
      <c r="Q979" s="13"/>
      <c r="R979" s="13"/>
      <c r="S979" s="4"/>
    </row>
    <row r="980" spans="16:19" ht="14.25" customHeight="1" x14ac:dyDescent="0.3">
      <c r="P980" s="13"/>
      <c r="Q980" s="13"/>
      <c r="R980" s="13"/>
      <c r="S980" s="4"/>
    </row>
    <row r="981" spans="16:19" ht="14.25" customHeight="1" x14ac:dyDescent="0.3">
      <c r="P981" s="13"/>
      <c r="Q981" s="13"/>
      <c r="R981" s="13"/>
      <c r="S981" s="4"/>
    </row>
    <row r="982" spans="16:19" ht="14.25" customHeight="1" x14ac:dyDescent="0.3">
      <c r="P982" s="13"/>
      <c r="Q982" s="13"/>
      <c r="R982" s="13"/>
      <c r="S982" s="4"/>
    </row>
    <row r="983" spans="16:19" ht="14.25" customHeight="1" x14ac:dyDescent="0.3">
      <c r="P983" s="13"/>
      <c r="Q983" s="13"/>
      <c r="R983" s="13"/>
      <c r="S983" s="4"/>
    </row>
    <row r="984" spans="16:19" ht="14.25" customHeight="1" x14ac:dyDescent="0.3">
      <c r="P984" s="13"/>
      <c r="Q984" s="13"/>
      <c r="R984" s="13"/>
      <c r="S984" s="4"/>
    </row>
    <row r="985" spans="16:19" ht="14.25" customHeight="1" x14ac:dyDescent="0.3">
      <c r="P985" s="13"/>
      <c r="Q985" s="13"/>
      <c r="R985" s="13"/>
      <c r="S985" s="4"/>
    </row>
    <row r="986" spans="16:19" ht="14.25" customHeight="1" x14ac:dyDescent="0.3">
      <c r="P986" s="13"/>
      <c r="Q986" s="13"/>
      <c r="R986" s="13"/>
      <c r="S986" s="4"/>
    </row>
    <row r="987" spans="16:19" ht="14.25" customHeight="1" x14ac:dyDescent="0.3">
      <c r="P987" s="13"/>
      <c r="Q987" s="13"/>
      <c r="R987" s="13"/>
      <c r="S987" s="4"/>
    </row>
    <row r="988" spans="16:19" ht="14.25" customHeight="1" x14ac:dyDescent="0.3">
      <c r="P988" s="13"/>
      <c r="Q988" s="13"/>
      <c r="R988" s="13"/>
      <c r="S988" s="4"/>
    </row>
    <row r="989" spans="16:19" ht="14.25" customHeight="1" x14ac:dyDescent="0.3">
      <c r="P989" s="13"/>
      <c r="Q989" s="13"/>
      <c r="R989" s="13"/>
      <c r="S989" s="4"/>
    </row>
    <row r="990" spans="16:19" ht="14.25" customHeight="1" x14ac:dyDescent="0.3">
      <c r="P990" s="13"/>
      <c r="Q990" s="13"/>
      <c r="R990" s="13"/>
      <c r="S990" s="4"/>
    </row>
    <row r="991" spans="16:19" ht="14.25" customHeight="1" x14ac:dyDescent="0.3">
      <c r="P991" s="13"/>
      <c r="Q991" s="13"/>
      <c r="R991" s="13"/>
      <c r="S991" s="4"/>
    </row>
    <row r="992" spans="16:19" ht="14.25" customHeight="1" x14ac:dyDescent="0.3">
      <c r="P992" s="13"/>
      <c r="Q992" s="13"/>
      <c r="R992" s="13"/>
      <c r="S992" s="4"/>
    </row>
    <row r="993" spans="16:19" ht="14.25" customHeight="1" x14ac:dyDescent="0.3">
      <c r="P993" s="13"/>
      <c r="Q993" s="13"/>
      <c r="R993" s="13"/>
      <c r="S993" s="4"/>
    </row>
    <row r="994" spans="16:19" ht="14.25" customHeight="1" x14ac:dyDescent="0.3">
      <c r="P994" s="13"/>
      <c r="Q994" s="13"/>
      <c r="R994" s="13"/>
      <c r="S994" s="4"/>
    </row>
    <row r="995" spans="16:19" ht="14.25" customHeight="1" x14ac:dyDescent="0.3">
      <c r="P995" s="13"/>
      <c r="Q995" s="13"/>
      <c r="R995" s="13"/>
      <c r="S995" s="4"/>
    </row>
    <row r="996" spans="16:19" ht="14.25" customHeight="1" x14ac:dyDescent="0.3">
      <c r="P996" s="13"/>
      <c r="Q996" s="13"/>
      <c r="R996" s="13"/>
      <c r="S996" s="4"/>
    </row>
    <row r="997" spans="16:19" ht="14.25" customHeight="1" x14ac:dyDescent="0.3">
      <c r="P997" s="13"/>
      <c r="Q997" s="13"/>
      <c r="R997" s="13"/>
      <c r="S997" s="4"/>
    </row>
    <row r="998" spans="16:19" ht="14.25" customHeight="1" x14ac:dyDescent="0.3">
      <c r="P998" s="13"/>
      <c r="Q998" s="13"/>
      <c r="R998" s="13"/>
      <c r="S998" s="4"/>
    </row>
    <row r="999" spans="16:19" ht="14.25" customHeight="1" x14ac:dyDescent="0.3">
      <c r="P999" s="13"/>
      <c r="Q999" s="13"/>
      <c r="R999" s="13"/>
      <c r="S999" s="4"/>
    </row>
    <row r="1000" spans="16:19" ht="14.25" customHeight="1" x14ac:dyDescent="0.3">
      <c r="P1000" s="13"/>
      <c r="Q1000" s="13"/>
      <c r="R1000" s="13"/>
      <c r="S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Bohol</vt:lpstr>
      <vt:lpstr>Hilongos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 VISERDAC</dc:creator>
  <cp:lastModifiedBy>Christopher Llones</cp:lastModifiedBy>
  <dcterms:created xsi:type="dcterms:W3CDTF">2026-05-08T02:12:27Z</dcterms:created>
  <dcterms:modified xsi:type="dcterms:W3CDTF">2026-09-29T14:48:54Z</dcterms:modified>
</cp:coreProperties>
</file>