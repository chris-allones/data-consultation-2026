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ocuments\Github-repository\data-consultation-2025\gender-ktp\data\"/>
    </mc:Choice>
  </mc:AlternateContent>
  <xr:revisionPtr revIDLastSave="0" documentId="13_ncr:1_{599627B7-E3C2-40A4-8BE2-A3CD8DE3E197}" xr6:coauthVersionLast="47" xr6:coauthVersionMax="47" xr10:uidLastSave="{00000000-0000-0000-0000-000000000000}"/>
  <bookViews>
    <workbookView xWindow="-108" yWindow="-108" windowWidth="23256" windowHeight="13176" activeTab="5" xr2:uid="{5EEBABAB-E456-4B01-B6A9-DF9C74D36A66}"/>
  </bookViews>
  <sheets>
    <sheet name="household-decision" sheetId="2" r:id="rId1"/>
    <sheet name="fam-child-care" sheetId="3" r:id="rId2"/>
    <sheet name="personal-family-needs" sheetId="4" r:id="rId3"/>
    <sheet name="farming-tasks" sheetId="5" r:id="rId4"/>
    <sheet name="Sheet1" sheetId="1" r:id="rId5"/>
    <sheet name="Sheet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5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6" i="1"/>
  <c r="J7" i="1"/>
  <c r="J8" i="1"/>
  <c r="J9" i="1"/>
  <c r="J5" i="1"/>
</calcChain>
</file>

<file path=xl/sharedStrings.xml><?xml version="1.0" encoding="utf-8"?>
<sst xmlns="http://schemas.openxmlformats.org/spreadsheetml/2006/main" count="755" uniqueCount="94">
  <si>
    <t>Activities</t>
  </si>
  <si>
    <t>Who Decides?</t>
  </si>
  <si>
    <t>Who Performs?</t>
  </si>
  <si>
    <t>Female</t>
  </si>
  <si>
    <t>Male</t>
  </si>
  <si>
    <t>Count</t>
  </si>
  <si>
    <t>%</t>
  </si>
  <si>
    <t>Allocating Income</t>
  </si>
  <si>
    <t>Both equally</t>
  </si>
  <si>
    <t>Men mostly</t>
  </si>
  <si>
    <t>Men only</t>
  </si>
  <si>
    <t>Women mostly</t>
  </si>
  <si>
    <t>Women only</t>
  </si>
  <si>
    <t>Overseeing household finances</t>
  </si>
  <si>
    <t>-</t>
  </si>
  <si>
    <t>Securing loans/credit</t>
  </si>
  <si>
    <t>Shopping for food</t>
  </si>
  <si>
    <t>Choosing the kind of food to eat</t>
  </si>
  <si>
    <t>Preparing meals</t>
  </si>
  <si>
    <t>Cleaning dishes</t>
  </si>
  <si>
    <t>Laundering clothes</t>
  </si>
  <si>
    <t>Tidying the house</t>
  </si>
  <si>
    <t>activities</t>
  </si>
  <si>
    <t>decision</t>
  </si>
  <si>
    <t>count</t>
  </si>
  <si>
    <t>Fetching water for domestic use</t>
  </si>
  <si>
    <t>Collecting fire woods</t>
  </si>
  <si>
    <t>Nurturing the children</t>
  </si>
  <si>
    <t>Educating children</t>
  </si>
  <si>
    <t>Participating in school meetings</t>
  </si>
  <si>
    <t>Family leisure activities</t>
  </si>
  <si>
    <t>Obtaining medical care</t>
  </si>
  <si>
    <t>Purchasing clothes</t>
  </si>
  <si>
    <t>Acquiring appliances</t>
  </si>
  <si>
    <t>Purchasing furniture/ accessories</t>
  </si>
  <si>
    <t>Types of crop top plant</t>
  </si>
  <si>
    <t>Purchasing farm supplies</t>
  </si>
  <si>
    <t>Assigning seedling production</t>
  </si>
  <si>
    <t>Plowing the land</t>
  </si>
  <si>
    <t>Planting/ Transplanting</t>
  </si>
  <si>
    <t>Constructing trellises</t>
  </si>
  <si>
    <t>Applying mulch</t>
  </si>
  <si>
    <t>Watering the crops</t>
  </si>
  <si>
    <t>Weeding</t>
  </si>
  <si>
    <t>Applying fertilizer</t>
  </si>
  <si>
    <t>Pruning</t>
  </si>
  <si>
    <t>--</t>
  </si>
  <si>
    <t>Pest Management</t>
  </si>
  <si>
    <t>Disease Management</t>
  </si>
  <si>
    <t>Harvesting</t>
  </si>
  <si>
    <t>Conducting post- harvest activities (sorting, grading, washing, packing)</t>
  </si>
  <si>
    <t>Teaching children how to farm</t>
  </si>
  <si>
    <t>Keeping farm records</t>
  </si>
  <si>
    <t>Managing farm finances</t>
  </si>
  <si>
    <t>Feeding animals</t>
  </si>
  <si>
    <t>Caring for animals</t>
  </si>
  <si>
    <t>decision_maker</t>
  </si>
  <si>
    <t>who_decide</t>
  </si>
  <si>
    <t>who_perform</t>
  </si>
  <si>
    <t>Types of crop to plant</t>
  </si>
  <si>
    <t>Post-harvest</t>
  </si>
  <si>
    <t>SUPPORT NETWORK</t>
  </si>
  <si>
    <t>SOURCES OF INFORMATION</t>
  </si>
  <si>
    <t xml:space="preserve">INFORMATION ACQUIRED </t>
  </si>
  <si>
    <t>Male Vegetable Farmers</t>
  </si>
  <si>
    <t>Female Vegetable Farmers</t>
  </si>
  <si>
    <t>Vermicast composting</t>
  </si>
  <si>
    <t>ACIAR (Project Staff)</t>
  </si>
  <si>
    <t>Use of protective structures (low tunnels)</t>
  </si>
  <si>
    <t>International Labor Organization</t>
  </si>
  <si>
    <t>Private Companies</t>
  </si>
  <si>
    <t>Farmers Association</t>
  </si>
  <si>
    <t>Soil and land management</t>
  </si>
  <si>
    <t>Cultivation techniques</t>
  </si>
  <si>
    <t>Peers &amp; Kinship</t>
  </si>
  <si>
    <t>Co-Farmers (within the households or neighbors)</t>
  </si>
  <si>
    <t>Cultivation techniques, soil conditioner Plotting</t>
  </si>
  <si>
    <t>Visayas State University (Researchers/ Technician)</t>
  </si>
  <si>
    <t>Organic farming (fermented controls, use of low tunnels); fallowing</t>
  </si>
  <si>
    <t>Contour farming; Production under protective structures; Organic farming; Soil conditioning (e.g., use of power cultivator, lime application, chiken manure)</t>
  </si>
  <si>
    <t>Contour farming; Accurate dosage of chemical applications Organic farming (concoctions, mulching) Biological control of pest and diseases</t>
  </si>
  <si>
    <t>Department of Agriculture (Technician); City Agriculture Department (technician)</t>
  </si>
  <si>
    <t>Government agencies</t>
  </si>
  <si>
    <t>Non-Government Agencies (NGA)</t>
  </si>
  <si>
    <t>SALT technology, sustainable farming; Greenhouse/ low tunnel technology</t>
  </si>
  <si>
    <t>SALT technology; sustainable farming</t>
  </si>
  <si>
    <t>Chemical Companies: Leads Agri, Syngenta, and Agway Chemical Corp. (technicians); Agricultural stores (e.g., St. Jude Agricultural Supplies)</t>
  </si>
  <si>
    <t>Soil conditioner; Synthetic fertilizer and pesticide application (type of fertilizer, amount to be used, manner of application); Herbicide application</t>
  </si>
  <si>
    <t>oil conditioning and root enhancing Synthetic fertilizer and pesticide application</t>
  </si>
  <si>
    <t>People organization</t>
  </si>
  <si>
    <t>All information that the cad shared concerning soil and land management was coursed through the association.</t>
  </si>
  <si>
    <t>Elderlies (Older generation of framers or members in their farming community);</t>
  </si>
  <si>
    <t>Soil conditioner, plotting technique Vegetable production technique; (The cultivation techniques, from seedling preparation to harvesting, have been predominantly passed down through generations)</t>
  </si>
  <si>
    <t>Natural fertilizer (e.g. Decomposed weeds) Soil and land management (e.g. Use of chicken manure) Vegetable production technique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</si>
</sst>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left" vertical="center" wrapText="1" indent="11"/>
    </xf>
    <xf numFmtId="0" fontId="1" fillId="0" borderId="1" xfId="0" applyFont="1" applyBorder="1" applyAlignment="1">
      <alignment horizontal="left" vertical="center" wrapText="1" indent="6"/>
    </xf>
    <xf numFmtId="0" fontId="1" fillId="0" borderId="3" xfId="0" applyFont="1" applyBorder="1" applyAlignment="1">
      <alignment horizontal="left" vertical="center" wrapText="1" indent="3"/>
    </xf>
    <xf numFmtId="0" fontId="1" fillId="0" borderId="3" xfId="0" applyFont="1" applyBorder="1" applyAlignment="1">
      <alignment horizontal="left" vertical="center" wrapText="1" indent="2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DFE00-5A26-4ECE-9FBA-27A3989F808E}">
  <dimension ref="A1:C56"/>
  <sheetViews>
    <sheetView workbookViewId="0">
      <selection sqref="A1:C1"/>
    </sheetView>
  </sheetViews>
  <sheetFormatPr defaultRowHeight="14.4" x14ac:dyDescent="0.3"/>
  <cols>
    <col min="1" max="1" width="33.6640625" customWidth="1"/>
    <col min="2" max="2" width="23.109375" customWidth="1"/>
  </cols>
  <sheetData>
    <row r="1" spans="1:3" x14ac:dyDescent="0.3">
      <c r="A1" t="s">
        <v>22</v>
      </c>
      <c r="B1" t="s">
        <v>23</v>
      </c>
      <c r="C1" t="s">
        <v>24</v>
      </c>
    </row>
    <row r="2" spans="1:3" x14ac:dyDescent="0.3">
      <c r="A2" t="s">
        <v>7</v>
      </c>
      <c r="B2" t="s">
        <v>8</v>
      </c>
      <c r="C2">
        <v>62</v>
      </c>
    </row>
    <row r="3" spans="1:3" x14ac:dyDescent="0.3">
      <c r="A3" t="s">
        <v>7</v>
      </c>
      <c r="B3" t="s">
        <v>9</v>
      </c>
      <c r="C3">
        <v>1</v>
      </c>
    </row>
    <row r="4" spans="1:3" x14ac:dyDescent="0.3">
      <c r="A4" t="s">
        <v>7</v>
      </c>
      <c r="B4" t="s">
        <v>10</v>
      </c>
      <c r="C4">
        <v>7</v>
      </c>
    </row>
    <row r="5" spans="1:3" x14ac:dyDescent="0.3">
      <c r="A5" t="s">
        <v>7</v>
      </c>
      <c r="B5" t="s">
        <v>11</v>
      </c>
      <c r="C5">
        <v>2</v>
      </c>
    </row>
    <row r="6" spans="1:3" x14ac:dyDescent="0.3">
      <c r="A6" t="s">
        <v>7</v>
      </c>
      <c r="B6" t="s">
        <v>12</v>
      </c>
      <c r="C6">
        <v>28</v>
      </c>
    </row>
    <row r="7" spans="1:3" x14ac:dyDescent="0.3">
      <c r="A7" t="s">
        <v>13</v>
      </c>
      <c r="B7" t="s">
        <v>8</v>
      </c>
      <c r="C7">
        <v>43</v>
      </c>
    </row>
    <row r="8" spans="1:3" x14ac:dyDescent="0.3">
      <c r="A8" t="s">
        <v>13</v>
      </c>
      <c r="B8" t="s">
        <v>10</v>
      </c>
      <c r="C8">
        <v>0</v>
      </c>
    </row>
    <row r="9" spans="1:3" x14ac:dyDescent="0.3">
      <c r="A9" t="s">
        <v>13</v>
      </c>
      <c r="B9" t="s">
        <v>9</v>
      </c>
      <c r="C9">
        <v>13</v>
      </c>
    </row>
    <row r="10" spans="1:3" x14ac:dyDescent="0.3">
      <c r="A10" t="s">
        <v>13</v>
      </c>
      <c r="B10" t="s">
        <v>11</v>
      </c>
      <c r="C10">
        <v>1</v>
      </c>
    </row>
    <row r="11" spans="1:3" x14ac:dyDescent="0.3">
      <c r="A11" t="s">
        <v>13</v>
      </c>
      <c r="B11" t="s">
        <v>12</v>
      </c>
      <c r="C11">
        <v>43</v>
      </c>
    </row>
    <row r="12" spans="1:3" x14ac:dyDescent="0.3">
      <c r="A12" t="s">
        <v>15</v>
      </c>
      <c r="B12" t="s">
        <v>8</v>
      </c>
      <c r="C12">
        <v>67</v>
      </c>
    </row>
    <row r="13" spans="1:3" x14ac:dyDescent="0.3">
      <c r="A13" t="s">
        <v>15</v>
      </c>
      <c r="B13" t="s">
        <v>9</v>
      </c>
      <c r="C13">
        <v>3</v>
      </c>
    </row>
    <row r="14" spans="1:3" x14ac:dyDescent="0.3">
      <c r="A14" t="s">
        <v>15</v>
      </c>
      <c r="B14" t="s">
        <v>10</v>
      </c>
      <c r="C14">
        <v>9</v>
      </c>
    </row>
    <row r="15" spans="1:3" x14ac:dyDescent="0.3">
      <c r="A15" t="s">
        <v>15</v>
      </c>
      <c r="B15" t="s">
        <v>11</v>
      </c>
      <c r="C15">
        <v>1</v>
      </c>
    </row>
    <row r="16" spans="1:3" x14ac:dyDescent="0.3">
      <c r="A16" t="s">
        <v>15</v>
      </c>
      <c r="B16" t="s">
        <v>12</v>
      </c>
      <c r="C16">
        <v>19</v>
      </c>
    </row>
    <row r="17" spans="1:3" x14ac:dyDescent="0.3">
      <c r="A17" t="s">
        <v>16</v>
      </c>
      <c r="B17" t="s">
        <v>8</v>
      </c>
      <c r="C17">
        <v>37</v>
      </c>
    </row>
    <row r="18" spans="1:3" x14ac:dyDescent="0.3">
      <c r="A18" t="s">
        <v>16</v>
      </c>
      <c r="B18" t="s">
        <v>9</v>
      </c>
      <c r="C18">
        <v>2</v>
      </c>
    </row>
    <row r="19" spans="1:3" x14ac:dyDescent="0.3">
      <c r="A19" t="s">
        <v>16</v>
      </c>
      <c r="B19" t="s">
        <v>10</v>
      </c>
      <c r="C19">
        <v>8</v>
      </c>
    </row>
    <row r="20" spans="1:3" x14ac:dyDescent="0.3">
      <c r="A20" t="s">
        <v>16</v>
      </c>
      <c r="B20" t="s">
        <v>11</v>
      </c>
      <c r="C20">
        <v>5</v>
      </c>
    </row>
    <row r="21" spans="1:3" x14ac:dyDescent="0.3">
      <c r="A21" t="s">
        <v>16</v>
      </c>
      <c r="B21" t="s">
        <v>12</v>
      </c>
      <c r="C21">
        <v>47</v>
      </c>
    </row>
    <row r="22" spans="1:3" x14ac:dyDescent="0.3">
      <c r="A22" t="s">
        <v>17</v>
      </c>
      <c r="B22" t="s">
        <v>8</v>
      </c>
      <c r="C22">
        <v>49</v>
      </c>
    </row>
    <row r="23" spans="1:3" x14ac:dyDescent="0.3">
      <c r="A23" t="s">
        <v>17</v>
      </c>
      <c r="B23" t="s">
        <v>9</v>
      </c>
      <c r="C23">
        <v>2</v>
      </c>
    </row>
    <row r="24" spans="1:3" x14ac:dyDescent="0.3">
      <c r="A24" t="s">
        <v>17</v>
      </c>
      <c r="B24" t="s">
        <v>10</v>
      </c>
      <c r="C24">
        <v>7</v>
      </c>
    </row>
    <row r="25" spans="1:3" x14ac:dyDescent="0.3">
      <c r="A25" t="s">
        <v>17</v>
      </c>
      <c r="B25" t="s">
        <v>11</v>
      </c>
      <c r="C25">
        <v>3</v>
      </c>
    </row>
    <row r="26" spans="1:3" x14ac:dyDescent="0.3">
      <c r="A26" t="s">
        <v>17</v>
      </c>
      <c r="B26" t="s">
        <v>12</v>
      </c>
      <c r="C26">
        <v>39</v>
      </c>
    </row>
    <row r="27" spans="1:3" x14ac:dyDescent="0.3">
      <c r="A27" t="s">
        <v>18</v>
      </c>
      <c r="B27" t="s">
        <v>8</v>
      </c>
      <c r="C27">
        <v>28</v>
      </c>
    </row>
    <row r="28" spans="1:3" x14ac:dyDescent="0.3">
      <c r="A28" t="s">
        <v>18</v>
      </c>
      <c r="B28" t="s">
        <v>9</v>
      </c>
      <c r="C28">
        <v>1</v>
      </c>
    </row>
    <row r="29" spans="1:3" x14ac:dyDescent="0.3">
      <c r="A29" t="s">
        <v>18</v>
      </c>
      <c r="B29" t="s">
        <v>10</v>
      </c>
      <c r="C29">
        <v>5</v>
      </c>
    </row>
    <row r="30" spans="1:3" x14ac:dyDescent="0.3">
      <c r="A30" t="s">
        <v>18</v>
      </c>
      <c r="B30" t="s">
        <v>11</v>
      </c>
      <c r="C30">
        <v>6</v>
      </c>
    </row>
    <row r="31" spans="1:3" x14ac:dyDescent="0.3">
      <c r="A31" t="s">
        <v>18</v>
      </c>
      <c r="B31" t="s">
        <v>12</v>
      </c>
      <c r="C31">
        <v>60</v>
      </c>
    </row>
    <row r="32" spans="1:3" x14ac:dyDescent="0.3">
      <c r="A32" t="s">
        <v>19</v>
      </c>
      <c r="B32" t="s">
        <v>8</v>
      </c>
      <c r="C32">
        <v>27</v>
      </c>
    </row>
    <row r="33" spans="1:3" x14ac:dyDescent="0.3">
      <c r="A33" t="s">
        <v>19</v>
      </c>
      <c r="B33" t="s">
        <v>10</v>
      </c>
      <c r="C33">
        <v>0</v>
      </c>
    </row>
    <row r="34" spans="1:3" x14ac:dyDescent="0.3">
      <c r="A34" t="s">
        <v>19</v>
      </c>
      <c r="B34" t="s">
        <v>9</v>
      </c>
      <c r="C34">
        <v>5</v>
      </c>
    </row>
    <row r="35" spans="1:3" x14ac:dyDescent="0.3">
      <c r="A35" t="s">
        <v>19</v>
      </c>
      <c r="B35" t="s">
        <v>11</v>
      </c>
      <c r="C35">
        <v>7</v>
      </c>
    </row>
    <row r="36" spans="1:3" x14ac:dyDescent="0.3">
      <c r="A36" t="s">
        <v>19</v>
      </c>
      <c r="B36" t="s">
        <v>12</v>
      </c>
      <c r="C36">
        <v>61</v>
      </c>
    </row>
    <row r="37" spans="1:3" x14ac:dyDescent="0.3">
      <c r="A37" t="s">
        <v>20</v>
      </c>
      <c r="B37" t="s">
        <v>8</v>
      </c>
      <c r="C37">
        <v>23</v>
      </c>
    </row>
    <row r="38" spans="1:3" x14ac:dyDescent="0.3">
      <c r="A38" t="s">
        <v>20</v>
      </c>
      <c r="B38" t="s">
        <v>9</v>
      </c>
      <c r="C38">
        <v>0</v>
      </c>
    </row>
    <row r="39" spans="1:3" x14ac:dyDescent="0.3">
      <c r="A39" t="s">
        <v>20</v>
      </c>
      <c r="B39" t="s">
        <v>10</v>
      </c>
      <c r="C39">
        <v>3</v>
      </c>
    </row>
    <row r="40" spans="1:3" x14ac:dyDescent="0.3">
      <c r="A40" t="s">
        <v>20</v>
      </c>
      <c r="B40" t="s">
        <v>11</v>
      </c>
      <c r="C40">
        <v>8</v>
      </c>
    </row>
    <row r="41" spans="1:3" x14ac:dyDescent="0.3">
      <c r="A41" t="s">
        <v>20</v>
      </c>
      <c r="B41" t="s">
        <v>12</v>
      </c>
      <c r="C41">
        <v>66</v>
      </c>
    </row>
    <row r="42" spans="1:3" x14ac:dyDescent="0.3">
      <c r="A42" t="s">
        <v>21</v>
      </c>
      <c r="B42" t="s">
        <v>8</v>
      </c>
      <c r="C42">
        <v>21</v>
      </c>
    </row>
    <row r="43" spans="1:3" x14ac:dyDescent="0.3">
      <c r="A43" t="s">
        <v>21</v>
      </c>
      <c r="B43" t="s">
        <v>9</v>
      </c>
      <c r="C43">
        <v>0</v>
      </c>
    </row>
    <row r="44" spans="1:3" x14ac:dyDescent="0.3">
      <c r="A44" t="s">
        <v>21</v>
      </c>
      <c r="B44" t="s">
        <v>10</v>
      </c>
      <c r="C44">
        <v>3</v>
      </c>
    </row>
    <row r="45" spans="1:3" x14ac:dyDescent="0.3">
      <c r="A45" t="s">
        <v>21</v>
      </c>
      <c r="B45" t="s">
        <v>11</v>
      </c>
      <c r="C45">
        <v>6</v>
      </c>
    </row>
    <row r="46" spans="1:3" x14ac:dyDescent="0.3">
      <c r="A46" t="s">
        <v>21</v>
      </c>
      <c r="B46" t="s">
        <v>12</v>
      </c>
      <c r="C46">
        <v>70</v>
      </c>
    </row>
    <row r="47" spans="1:3" x14ac:dyDescent="0.3">
      <c r="A47" t="s">
        <v>25</v>
      </c>
      <c r="B47" t="s">
        <v>8</v>
      </c>
      <c r="C47">
        <v>17</v>
      </c>
    </row>
    <row r="48" spans="1:3" x14ac:dyDescent="0.3">
      <c r="A48" t="s">
        <v>25</v>
      </c>
      <c r="B48" t="s">
        <v>9</v>
      </c>
      <c r="C48">
        <v>31</v>
      </c>
    </row>
    <row r="49" spans="1:3" x14ac:dyDescent="0.3">
      <c r="A49" t="s">
        <v>25</v>
      </c>
      <c r="B49" t="s">
        <v>10</v>
      </c>
      <c r="C49">
        <v>28</v>
      </c>
    </row>
    <row r="50" spans="1:3" x14ac:dyDescent="0.3">
      <c r="A50" t="s">
        <v>25</v>
      </c>
      <c r="B50" t="s">
        <v>11</v>
      </c>
      <c r="C50">
        <v>1</v>
      </c>
    </row>
    <row r="51" spans="1:3" x14ac:dyDescent="0.3">
      <c r="A51" t="s">
        <v>25</v>
      </c>
      <c r="B51" t="s">
        <v>12</v>
      </c>
      <c r="C51">
        <v>19</v>
      </c>
    </row>
    <row r="52" spans="1:3" x14ac:dyDescent="0.3">
      <c r="A52" t="s">
        <v>26</v>
      </c>
      <c r="B52" t="s">
        <v>8</v>
      </c>
      <c r="C52">
        <v>11</v>
      </c>
    </row>
    <row r="53" spans="1:3" x14ac:dyDescent="0.3">
      <c r="A53" t="s">
        <v>26</v>
      </c>
      <c r="B53" t="s">
        <v>9</v>
      </c>
      <c r="C53">
        <v>22</v>
      </c>
    </row>
    <row r="54" spans="1:3" x14ac:dyDescent="0.3">
      <c r="A54" t="s">
        <v>26</v>
      </c>
      <c r="B54" t="s">
        <v>10</v>
      </c>
      <c r="C54">
        <v>51</v>
      </c>
    </row>
    <row r="55" spans="1:3" x14ac:dyDescent="0.3">
      <c r="A55" t="s">
        <v>26</v>
      </c>
      <c r="B55" t="s">
        <v>11</v>
      </c>
      <c r="C55">
        <v>2</v>
      </c>
    </row>
    <row r="56" spans="1:3" x14ac:dyDescent="0.3">
      <c r="A56" t="s">
        <v>26</v>
      </c>
      <c r="B56" t="s">
        <v>12</v>
      </c>
      <c r="C5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4F69-CF21-4270-8002-ADB9A293C8BB}">
  <dimension ref="A1:C21"/>
  <sheetViews>
    <sheetView workbookViewId="0">
      <selection sqref="A1:C1"/>
    </sheetView>
  </sheetViews>
  <sheetFormatPr defaultRowHeight="14.4" x14ac:dyDescent="0.3"/>
  <cols>
    <col min="1" max="1" width="31.44140625" customWidth="1"/>
    <col min="2" max="2" width="17.33203125" customWidth="1"/>
  </cols>
  <sheetData>
    <row r="1" spans="1:3" x14ac:dyDescent="0.3">
      <c r="A1" t="s">
        <v>22</v>
      </c>
      <c r="B1" t="s">
        <v>23</v>
      </c>
      <c r="C1" t="s">
        <v>24</v>
      </c>
    </row>
    <row r="2" spans="1:3" x14ac:dyDescent="0.3">
      <c r="A2" t="s">
        <v>27</v>
      </c>
      <c r="B2" t="s">
        <v>8</v>
      </c>
      <c r="C2">
        <v>34</v>
      </c>
    </row>
    <row r="3" spans="1:3" x14ac:dyDescent="0.3">
      <c r="A3" t="s">
        <v>27</v>
      </c>
      <c r="B3" t="s">
        <v>9</v>
      </c>
      <c r="C3">
        <v>5</v>
      </c>
    </row>
    <row r="4" spans="1:3" x14ac:dyDescent="0.3">
      <c r="A4" t="s">
        <v>27</v>
      </c>
      <c r="B4" t="s">
        <v>10</v>
      </c>
      <c r="C4">
        <v>3</v>
      </c>
    </row>
    <row r="5" spans="1:3" x14ac:dyDescent="0.3">
      <c r="A5" t="s">
        <v>27</v>
      </c>
      <c r="B5" t="s">
        <v>11</v>
      </c>
      <c r="C5">
        <v>4</v>
      </c>
    </row>
    <row r="6" spans="1:3" x14ac:dyDescent="0.3">
      <c r="A6" t="s">
        <v>27</v>
      </c>
      <c r="B6" t="s">
        <v>12</v>
      </c>
      <c r="C6">
        <v>54</v>
      </c>
    </row>
    <row r="7" spans="1:3" x14ac:dyDescent="0.3">
      <c r="A7" t="s">
        <v>28</v>
      </c>
      <c r="B7" t="s">
        <v>8</v>
      </c>
      <c r="C7">
        <v>68</v>
      </c>
    </row>
    <row r="8" spans="1:3" x14ac:dyDescent="0.3">
      <c r="A8" t="s">
        <v>28</v>
      </c>
      <c r="B8" t="s">
        <v>10</v>
      </c>
      <c r="C8">
        <v>2</v>
      </c>
    </row>
    <row r="9" spans="1:3" x14ac:dyDescent="0.3">
      <c r="A9" t="s">
        <v>28</v>
      </c>
      <c r="B9" t="s">
        <v>9</v>
      </c>
      <c r="C9">
        <v>5</v>
      </c>
    </row>
    <row r="10" spans="1:3" x14ac:dyDescent="0.3">
      <c r="A10" t="s">
        <v>28</v>
      </c>
      <c r="B10" t="s">
        <v>11</v>
      </c>
      <c r="C10">
        <v>1</v>
      </c>
    </row>
    <row r="11" spans="1:3" x14ac:dyDescent="0.3">
      <c r="A11" t="s">
        <v>28</v>
      </c>
      <c r="B11" t="s">
        <v>12</v>
      </c>
      <c r="C11">
        <v>24</v>
      </c>
    </row>
    <row r="12" spans="1:3" x14ac:dyDescent="0.3">
      <c r="A12" t="s">
        <v>29</v>
      </c>
      <c r="B12" t="s">
        <v>8</v>
      </c>
      <c r="C12">
        <v>29</v>
      </c>
    </row>
    <row r="13" spans="1:3" x14ac:dyDescent="0.3">
      <c r="A13" t="s">
        <v>29</v>
      </c>
      <c r="B13" t="s">
        <v>9</v>
      </c>
      <c r="C13">
        <v>8</v>
      </c>
    </row>
    <row r="14" spans="1:3" x14ac:dyDescent="0.3">
      <c r="A14" t="s">
        <v>29</v>
      </c>
      <c r="B14" t="s">
        <v>10</v>
      </c>
      <c r="C14">
        <v>2</v>
      </c>
    </row>
    <row r="15" spans="1:3" x14ac:dyDescent="0.3">
      <c r="A15" t="s">
        <v>29</v>
      </c>
      <c r="B15" t="s">
        <v>11</v>
      </c>
      <c r="C15">
        <v>5</v>
      </c>
    </row>
    <row r="16" spans="1:3" x14ac:dyDescent="0.3">
      <c r="A16" t="s">
        <v>29</v>
      </c>
      <c r="B16" t="s">
        <v>12</v>
      </c>
      <c r="C16">
        <v>55</v>
      </c>
    </row>
    <row r="17" spans="1:3" x14ac:dyDescent="0.3">
      <c r="A17" t="s">
        <v>30</v>
      </c>
      <c r="B17" t="s">
        <v>8</v>
      </c>
      <c r="C17">
        <v>67</v>
      </c>
    </row>
    <row r="18" spans="1:3" x14ac:dyDescent="0.3">
      <c r="A18" t="s">
        <v>30</v>
      </c>
      <c r="B18" t="s">
        <v>10</v>
      </c>
      <c r="C18">
        <v>3</v>
      </c>
    </row>
    <row r="19" spans="1:3" x14ac:dyDescent="0.3">
      <c r="A19" t="s">
        <v>30</v>
      </c>
      <c r="B19" t="s">
        <v>9</v>
      </c>
      <c r="C19">
        <v>4</v>
      </c>
    </row>
    <row r="20" spans="1:3" x14ac:dyDescent="0.3">
      <c r="A20" t="s">
        <v>30</v>
      </c>
      <c r="B20" t="s">
        <v>11</v>
      </c>
      <c r="C20">
        <v>1</v>
      </c>
    </row>
    <row r="21" spans="1:3" x14ac:dyDescent="0.3">
      <c r="A21" t="s">
        <v>30</v>
      </c>
      <c r="B21" t="s">
        <v>12</v>
      </c>
      <c r="C2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86293-4529-4CF5-8956-7F26C2DC3D26}">
  <dimension ref="A1:C21"/>
  <sheetViews>
    <sheetView workbookViewId="0">
      <selection activeCell="B20" sqref="B20"/>
    </sheetView>
  </sheetViews>
  <sheetFormatPr defaultRowHeight="14.4" x14ac:dyDescent="0.3"/>
  <cols>
    <col min="1" max="1" width="39.77734375" customWidth="1"/>
    <col min="2" max="2" width="18.109375" customWidth="1"/>
    <col min="3" max="3" width="13.21875" customWidth="1"/>
  </cols>
  <sheetData>
    <row r="1" spans="1:3" x14ac:dyDescent="0.3">
      <c r="A1" t="s">
        <v>22</v>
      </c>
      <c r="B1" t="s">
        <v>23</v>
      </c>
      <c r="C1" t="s">
        <v>24</v>
      </c>
    </row>
    <row r="2" spans="1:3" x14ac:dyDescent="0.3">
      <c r="A2" t="s">
        <v>31</v>
      </c>
      <c r="B2" t="s">
        <v>8</v>
      </c>
      <c r="C2">
        <v>50</v>
      </c>
    </row>
    <row r="3" spans="1:3" x14ac:dyDescent="0.3">
      <c r="A3" t="s">
        <v>31</v>
      </c>
      <c r="B3" t="s">
        <v>9</v>
      </c>
      <c r="C3">
        <v>2</v>
      </c>
    </row>
    <row r="4" spans="1:3" x14ac:dyDescent="0.3">
      <c r="A4" t="s">
        <v>31</v>
      </c>
      <c r="B4" t="s">
        <v>10</v>
      </c>
      <c r="C4">
        <v>14</v>
      </c>
    </row>
    <row r="5" spans="1:3" x14ac:dyDescent="0.3">
      <c r="A5" t="s">
        <v>31</v>
      </c>
      <c r="B5" t="s">
        <v>11</v>
      </c>
      <c r="C5">
        <v>4</v>
      </c>
    </row>
    <row r="6" spans="1:3" x14ac:dyDescent="0.3">
      <c r="A6" t="s">
        <v>31</v>
      </c>
      <c r="B6" t="s">
        <v>12</v>
      </c>
      <c r="C6">
        <v>30</v>
      </c>
    </row>
    <row r="7" spans="1:3" x14ac:dyDescent="0.3">
      <c r="A7" t="s">
        <v>32</v>
      </c>
      <c r="B7" t="s">
        <v>8</v>
      </c>
      <c r="C7">
        <v>52</v>
      </c>
    </row>
    <row r="8" spans="1:3" x14ac:dyDescent="0.3">
      <c r="A8" t="s">
        <v>32</v>
      </c>
      <c r="B8" t="s">
        <v>10</v>
      </c>
      <c r="C8">
        <v>4</v>
      </c>
    </row>
    <row r="9" spans="1:3" x14ac:dyDescent="0.3">
      <c r="A9" t="s">
        <v>32</v>
      </c>
      <c r="B9" t="s">
        <v>9</v>
      </c>
      <c r="C9">
        <v>0</v>
      </c>
    </row>
    <row r="10" spans="1:3" x14ac:dyDescent="0.3">
      <c r="A10" t="s">
        <v>32</v>
      </c>
      <c r="B10" t="s">
        <v>11</v>
      </c>
      <c r="C10">
        <v>2</v>
      </c>
    </row>
    <row r="11" spans="1:3" x14ac:dyDescent="0.3">
      <c r="A11" t="s">
        <v>32</v>
      </c>
      <c r="B11" t="s">
        <v>12</v>
      </c>
      <c r="C11">
        <v>42</v>
      </c>
    </row>
    <row r="12" spans="1:3" x14ac:dyDescent="0.3">
      <c r="A12" t="s">
        <v>33</v>
      </c>
      <c r="B12" t="s">
        <v>8</v>
      </c>
      <c r="C12">
        <v>62</v>
      </c>
    </row>
    <row r="13" spans="1:3" x14ac:dyDescent="0.3">
      <c r="A13" t="s">
        <v>33</v>
      </c>
      <c r="B13" t="s">
        <v>9</v>
      </c>
      <c r="C13">
        <v>3</v>
      </c>
    </row>
    <row r="14" spans="1:3" x14ac:dyDescent="0.3">
      <c r="A14" t="s">
        <v>33</v>
      </c>
      <c r="B14" t="s">
        <v>10</v>
      </c>
      <c r="C14">
        <v>12</v>
      </c>
    </row>
    <row r="15" spans="1:3" x14ac:dyDescent="0.3">
      <c r="A15" t="s">
        <v>33</v>
      </c>
      <c r="B15" t="s">
        <v>11</v>
      </c>
      <c r="C15">
        <v>2</v>
      </c>
    </row>
    <row r="16" spans="1:3" x14ac:dyDescent="0.3">
      <c r="A16" t="s">
        <v>33</v>
      </c>
      <c r="B16" t="s">
        <v>12</v>
      </c>
      <c r="C16">
        <v>21</v>
      </c>
    </row>
    <row r="17" spans="1:3" x14ac:dyDescent="0.3">
      <c r="A17" t="s">
        <v>34</v>
      </c>
      <c r="B17" t="s">
        <v>8</v>
      </c>
      <c r="C17">
        <v>62</v>
      </c>
    </row>
    <row r="18" spans="1:3" x14ac:dyDescent="0.3">
      <c r="A18" t="s">
        <v>34</v>
      </c>
      <c r="B18" t="s">
        <v>9</v>
      </c>
      <c r="C18">
        <v>2</v>
      </c>
    </row>
    <row r="19" spans="1:3" x14ac:dyDescent="0.3">
      <c r="A19" t="s">
        <v>34</v>
      </c>
      <c r="B19" t="s">
        <v>10</v>
      </c>
      <c r="C19">
        <v>8</v>
      </c>
    </row>
    <row r="20" spans="1:3" x14ac:dyDescent="0.3">
      <c r="A20" t="s">
        <v>34</v>
      </c>
      <c r="B20" t="s">
        <v>11</v>
      </c>
      <c r="C20">
        <v>1</v>
      </c>
    </row>
    <row r="21" spans="1:3" x14ac:dyDescent="0.3">
      <c r="A21" t="s">
        <v>34</v>
      </c>
      <c r="B21" t="s">
        <v>12</v>
      </c>
      <c r="C21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5BDC-9590-4CCE-AD56-42AA50A6270D}">
  <dimension ref="A1:D101"/>
  <sheetViews>
    <sheetView workbookViewId="0">
      <selection activeCell="E78" sqref="E78"/>
    </sheetView>
  </sheetViews>
  <sheetFormatPr defaultRowHeight="14.4" x14ac:dyDescent="0.3"/>
  <cols>
    <col min="1" max="1" width="29.21875" customWidth="1"/>
    <col min="2" max="2" width="25.77734375" customWidth="1"/>
  </cols>
  <sheetData>
    <row r="1" spans="1:4" x14ac:dyDescent="0.3">
      <c r="A1" t="s">
        <v>22</v>
      </c>
      <c r="B1" t="s">
        <v>56</v>
      </c>
      <c r="C1" t="s">
        <v>57</v>
      </c>
      <c r="D1" t="s">
        <v>58</v>
      </c>
    </row>
    <row r="2" spans="1:4" x14ac:dyDescent="0.3">
      <c r="A2" t="s">
        <v>59</v>
      </c>
      <c r="B2" t="s">
        <v>8</v>
      </c>
      <c r="C2">
        <v>30</v>
      </c>
      <c r="D2">
        <v>35</v>
      </c>
    </row>
    <row r="3" spans="1:4" x14ac:dyDescent="0.3">
      <c r="A3" t="s">
        <v>59</v>
      </c>
      <c r="B3" t="s">
        <v>9</v>
      </c>
      <c r="C3">
        <v>4</v>
      </c>
      <c r="D3">
        <v>4</v>
      </c>
    </row>
    <row r="4" spans="1:4" x14ac:dyDescent="0.3">
      <c r="A4" t="s">
        <v>59</v>
      </c>
      <c r="B4" t="s">
        <v>10</v>
      </c>
      <c r="C4">
        <v>49</v>
      </c>
      <c r="D4">
        <v>48</v>
      </c>
    </row>
    <row r="5" spans="1:4" x14ac:dyDescent="0.3">
      <c r="A5" t="s">
        <v>59</v>
      </c>
      <c r="B5" t="s">
        <v>11</v>
      </c>
      <c r="C5">
        <v>0</v>
      </c>
      <c r="D5">
        <v>0</v>
      </c>
    </row>
    <row r="6" spans="1:4" x14ac:dyDescent="0.3">
      <c r="A6" t="s">
        <v>59</v>
      </c>
      <c r="B6" t="s">
        <v>12</v>
      </c>
      <c r="C6">
        <v>17</v>
      </c>
      <c r="D6">
        <v>13</v>
      </c>
    </row>
    <row r="7" spans="1:4" x14ac:dyDescent="0.3">
      <c r="A7" t="s">
        <v>36</v>
      </c>
      <c r="B7" t="s">
        <v>8</v>
      </c>
      <c r="C7">
        <v>22</v>
      </c>
      <c r="D7">
        <v>22</v>
      </c>
    </row>
    <row r="8" spans="1:4" x14ac:dyDescent="0.3">
      <c r="A8" t="s">
        <v>36</v>
      </c>
      <c r="B8" t="s">
        <v>10</v>
      </c>
      <c r="C8">
        <v>5</v>
      </c>
      <c r="D8">
        <v>4</v>
      </c>
    </row>
    <row r="9" spans="1:4" x14ac:dyDescent="0.3">
      <c r="A9" t="s">
        <v>36</v>
      </c>
      <c r="B9" t="s">
        <v>9</v>
      </c>
      <c r="C9">
        <v>56</v>
      </c>
      <c r="D9">
        <v>54</v>
      </c>
    </row>
    <row r="10" spans="1:4" x14ac:dyDescent="0.3">
      <c r="A10" t="s">
        <v>36</v>
      </c>
      <c r="B10" t="s">
        <v>11</v>
      </c>
      <c r="C10">
        <v>0</v>
      </c>
      <c r="D10">
        <v>0</v>
      </c>
    </row>
    <row r="11" spans="1:4" x14ac:dyDescent="0.3">
      <c r="A11" t="s">
        <v>36</v>
      </c>
      <c r="B11" t="s">
        <v>12</v>
      </c>
      <c r="C11">
        <v>15</v>
      </c>
      <c r="D11">
        <v>18</v>
      </c>
    </row>
    <row r="12" spans="1:4" x14ac:dyDescent="0.3">
      <c r="A12" t="s">
        <v>37</v>
      </c>
      <c r="B12" t="s">
        <v>8</v>
      </c>
      <c r="C12">
        <v>20</v>
      </c>
      <c r="D12">
        <v>20</v>
      </c>
    </row>
    <row r="13" spans="1:4" x14ac:dyDescent="0.3">
      <c r="A13" t="s">
        <v>37</v>
      </c>
      <c r="B13" t="s">
        <v>9</v>
      </c>
      <c r="C13">
        <v>4</v>
      </c>
      <c r="D13">
        <v>6</v>
      </c>
    </row>
    <row r="14" spans="1:4" x14ac:dyDescent="0.3">
      <c r="A14" t="s">
        <v>37</v>
      </c>
      <c r="B14" t="s">
        <v>10</v>
      </c>
      <c r="C14">
        <v>63</v>
      </c>
      <c r="D14">
        <v>62</v>
      </c>
    </row>
    <row r="15" spans="1:4" x14ac:dyDescent="0.3">
      <c r="A15" t="s">
        <v>37</v>
      </c>
      <c r="B15" t="s">
        <v>11</v>
      </c>
      <c r="C15">
        <v>0</v>
      </c>
      <c r="D15">
        <v>0</v>
      </c>
    </row>
    <row r="16" spans="1:4" x14ac:dyDescent="0.3">
      <c r="A16" t="s">
        <v>37</v>
      </c>
      <c r="B16" t="s">
        <v>12</v>
      </c>
      <c r="C16">
        <v>13</v>
      </c>
      <c r="D16">
        <v>12</v>
      </c>
    </row>
    <row r="17" spans="1:4" x14ac:dyDescent="0.3">
      <c r="A17" t="s">
        <v>38</v>
      </c>
      <c r="B17" t="s">
        <v>8</v>
      </c>
      <c r="C17">
        <v>13</v>
      </c>
      <c r="D17">
        <v>10</v>
      </c>
    </row>
    <row r="18" spans="1:4" x14ac:dyDescent="0.3">
      <c r="A18" t="s">
        <v>38</v>
      </c>
      <c r="B18" t="s">
        <v>10</v>
      </c>
      <c r="C18">
        <v>5</v>
      </c>
      <c r="D18">
        <v>5</v>
      </c>
    </row>
    <row r="19" spans="1:4" x14ac:dyDescent="0.3">
      <c r="A19" t="s">
        <v>38</v>
      </c>
      <c r="B19" t="s">
        <v>9</v>
      </c>
      <c r="C19">
        <v>68</v>
      </c>
      <c r="D19">
        <v>74</v>
      </c>
    </row>
    <row r="20" spans="1:4" x14ac:dyDescent="0.3">
      <c r="A20" t="s">
        <v>38</v>
      </c>
      <c r="B20" t="s">
        <v>11</v>
      </c>
      <c r="C20">
        <v>0</v>
      </c>
      <c r="D20">
        <v>0</v>
      </c>
    </row>
    <row r="21" spans="1:4" x14ac:dyDescent="0.3">
      <c r="A21" t="s">
        <v>38</v>
      </c>
      <c r="B21" t="s">
        <v>12</v>
      </c>
      <c r="C21">
        <v>13</v>
      </c>
      <c r="D21">
        <v>11</v>
      </c>
    </row>
    <row r="22" spans="1:4" x14ac:dyDescent="0.3">
      <c r="A22" t="s">
        <v>39</v>
      </c>
      <c r="B22" t="s">
        <v>8</v>
      </c>
      <c r="C22">
        <v>29</v>
      </c>
      <c r="D22">
        <v>30</v>
      </c>
    </row>
    <row r="23" spans="1:4" x14ac:dyDescent="0.3">
      <c r="A23" t="s">
        <v>39</v>
      </c>
      <c r="B23" t="s">
        <v>9</v>
      </c>
      <c r="C23">
        <v>2</v>
      </c>
      <c r="D23">
        <v>2</v>
      </c>
    </row>
    <row r="24" spans="1:4" x14ac:dyDescent="0.3">
      <c r="A24" t="s">
        <v>39</v>
      </c>
      <c r="B24" t="s">
        <v>10</v>
      </c>
      <c r="C24">
        <v>55</v>
      </c>
      <c r="D24">
        <v>57</v>
      </c>
    </row>
    <row r="25" spans="1:4" x14ac:dyDescent="0.3">
      <c r="A25" t="s">
        <v>39</v>
      </c>
      <c r="B25" t="s">
        <v>11</v>
      </c>
      <c r="C25">
        <v>0</v>
      </c>
      <c r="D25">
        <v>0</v>
      </c>
    </row>
    <row r="26" spans="1:4" x14ac:dyDescent="0.3">
      <c r="A26" t="s">
        <v>39</v>
      </c>
      <c r="B26" t="s">
        <v>12</v>
      </c>
      <c r="C26">
        <v>14</v>
      </c>
      <c r="D26">
        <v>11</v>
      </c>
    </row>
    <row r="27" spans="1:4" x14ac:dyDescent="0.3">
      <c r="A27" t="s">
        <v>40</v>
      </c>
      <c r="B27" t="s">
        <v>8</v>
      </c>
      <c r="C27">
        <v>9</v>
      </c>
      <c r="D27">
        <v>8</v>
      </c>
    </row>
    <row r="28" spans="1:4" x14ac:dyDescent="0.3">
      <c r="A28" t="s">
        <v>40</v>
      </c>
      <c r="B28" t="s">
        <v>9</v>
      </c>
      <c r="C28">
        <v>4</v>
      </c>
      <c r="D28">
        <v>4</v>
      </c>
    </row>
    <row r="29" spans="1:4" x14ac:dyDescent="0.3">
      <c r="A29" t="s">
        <v>40</v>
      </c>
      <c r="B29" t="s">
        <v>10</v>
      </c>
      <c r="C29">
        <v>49</v>
      </c>
      <c r="D29">
        <v>51</v>
      </c>
    </row>
    <row r="30" spans="1:4" x14ac:dyDescent="0.3">
      <c r="A30" t="s">
        <v>40</v>
      </c>
      <c r="B30" t="s">
        <v>11</v>
      </c>
      <c r="C30">
        <v>0</v>
      </c>
      <c r="D30">
        <v>0</v>
      </c>
    </row>
    <row r="31" spans="1:4" x14ac:dyDescent="0.3">
      <c r="A31" t="s">
        <v>40</v>
      </c>
      <c r="B31" t="s">
        <v>12</v>
      </c>
      <c r="C31">
        <v>9</v>
      </c>
      <c r="D31">
        <v>8</v>
      </c>
    </row>
    <row r="32" spans="1:4" x14ac:dyDescent="0.3">
      <c r="A32" t="s">
        <v>41</v>
      </c>
      <c r="B32" t="s">
        <v>8</v>
      </c>
      <c r="C32">
        <v>7</v>
      </c>
      <c r="D32">
        <v>7</v>
      </c>
    </row>
    <row r="33" spans="1:4" x14ac:dyDescent="0.3">
      <c r="A33" t="s">
        <v>41</v>
      </c>
      <c r="B33" t="s">
        <v>9</v>
      </c>
      <c r="C33">
        <v>3</v>
      </c>
      <c r="D33">
        <v>3</v>
      </c>
    </row>
    <row r="34" spans="1:4" x14ac:dyDescent="0.3">
      <c r="A34" t="s">
        <v>41</v>
      </c>
      <c r="B34" t="s">
        <v>10</v>
      </c>
      <c r="C34">
        <v>31</v>
      </c>
      <c r="D34">
        <v>31</v>
      </c>
    </row>
    <row r="35" spans="1:4" x14ac:dyDescent="0.3">
      <c r="A35" t="s">
        <v>41</v>
      </c>
      <c r="B35" t="s">
        <v>11</v>
      </c>
      <c r="C35">
        <v>0</v>
      </c>
      <c r="D35">
        <v>0</v>
      </c>
    </row>
    <row r="36" spans="1:4" x14ac:dyDescent="0.3">
      <c r="A36" t="s">
        <v>41</v>
      </c>
      <c r="B36" t="s">
        <v>12</v>
      </c>
      <c r="C36">
        <v>7</v>
      </c>
      <c r="D36">
        <v>7</v>
      </c>
    </row>
    <row r="37" spans="1:4" x14ac:dyDescent="0.3">
      <c r="A37" t="s">
        <v>42</v>
      </c>
      <c r="B37" t="s">
        <v>8</v>
      </c>
      <c r="C37">
        <v>4</v>
      </c>
      <c r="D37">
        <v>5</v>
      </c>
    </row>
    <row r="38" spans="1:4" x14ac:dyDescent="0.3">
      <c r="A38" t="s">
        <v>42</v>
      </c>
      <c r="B38" t="s">
        <v>9</v>
      </c>
      <c r="C38">
        <v>5</v>
      </c>
      <c r="D38">
        <v>5</v>
      </c>
    </row>
    <row r="39" spans="1:4" x14ac:dyDescent="0.3">
      <c r="A39" t="s">
        <v>42</v>
      </c>
      <c r="B39" t="s">
        <v>10</v>
      </c>
      <c r="C39">
        <v>36</v>
      </c>
      <c r="D39">
        <v>35</v>
      </c>
    </row>
    <row r="40" spans="1:4" x14ac:dyDescent="0.3">
      <c r="A40" t="s">
        <v>42</v>
      </c>
      <c r="B40" t="s">
        <v>11</v>
      </c>
      <c r="C40">
        <v>0</v>
      </c>
      <c r="D40">
        <v>0</v>
      </c>
    </row>
    <row r="41" spans="1:4" x14ac:dyDescent="0.3">
      <c r="A41" t="s">
        <v>42</v>
      </c>
      <c r="B41" t="s">
        <v>12</v>
      </c>
      <c r="C41">
        <v>7</v>
      </c>
      <c r="D41">
        <v>7</v>
      </c>
    </row>
    <row r="42" spans="1:4" x14ac:dyDescent="0.3">
      <c r="A42" t="s">
        <v>43</v>
      </c>
      <c r="B42" t="s">
        <v>8</v>
      </c>
      <c r="C42">
        <v>22</v>
      </c>
      <c r="D42">
        <v>25</v>
      </c>
    </row>
    <row r="43" spans="1:4" x14ac:dyDescent="0.3">
      <c r="A43" t="s">
        <v>43</v>
      </c>
      <c r="B43" t="s">
        <v>9</v>
      </c>
      <c r="C43">
        <v>1</v>
      </c>
      <c r="D43">
        <v>0</v>
      </c>
    </row>
    <row r="44" spans="1:4" x14ac:dyDescent="0.3">
      <c r="A44" t="s">
        <v>43</v>
      </c>
      <c r="B44" t="s">
        <v>10</v>
      </c>
      <c r="C44">
        <v>58</v>
      </c>
      <c r="D44">
        <v>61</v>
      </c>
    </row>
    <row r="45" spans="1:4" x14ac:dyDescent="0.3">
      <c r="A45" t="s">
        <v>43</v>
      </c>
      <c r="B45" t="s">
        <v>11</v>
      </c>
      <c r="C45">
        <v>2</v>
      </c>
      <c r="D45">
        <v>3</v>
      </c>
    </row>
    <row r="46" spans="1:4" x14ac:dyDescent="0.3">
      <c r="A46" t="s">
        <v>43</v>
      </c>
      <c r="B46" t="s">
        <v>12</v>
      </c>
      <c r="C46">
        <v>15</v>
      </c>
      <c r="D46">
        <v>11</v>
      </c>
    </row>
    <row r="47" spans="1:4" x14ac:dyDescent="0.3">
      <c r="A47" t="s">
        <v>44</v>
      </c>
      <c r="B47" t="s">
        <v>8</v>
      </c>
      <c r="C47">
        <v>17</v>
      </c>
      <c r="D47">
        <v>14</v>
      </c>
    </row>
    <row r="48" spans="1:4" x14ac:dyDescent="0.3">
      <c r="A48" t="s">
        <v>44</v>
      </c>
      <c r="B48" t="s">
        <v>9</v>
      </c>
      <c r="C48">
        <v>6</v>
      </c>
      <c r="D48">
        <v>6</v>
      </c>
    </row>
    <row r="49" spans="1:4" x14ac:dyDescent="0.3">
      <c r="A49" t="s">
        <v>44</v>
      </c>
      <c r="B49" t="s">
        <v>10</v>
      </c>
      <c r="C49">
        <v>63</v>
      </c>
      <c r="D49">
        <v>67</v>
      </c>
    </row>
    <row r="50" spans="1:4" x14ac:dyDescent="0.3">
      <c r="A50" t="s">
        <v>44</v>
      </c>
      <c r="B50" t="s">
        <v>11</v>
      </c>
      <c r="C50">
        <v>0</v>
      </c>
      <c r="D50">
        <v>0</v>
      </c>
    </row>
    <row r="51" spans="1:4" x14ac:dyDescent="0.3">
      <c r="A51" t="s">
        <v>44</v>
      </c>
      <c r="B51" t="s">
        <v>12</v>
      </c>
      <c r="C51">
        <v>14</v>
      </c>
      <c r="D51">
        <v>12</v>
      </c>
    </row>
    <row r="52" spans="1:4" x14ac:dyDescent="0.3">
      <c r="A52" t="s">
        <v>45</v>
      </c>
      <c r="B52" t="s">
        <v>8</v>
      </c>
      <c r="C52">
        <v>13</v>
      </c>
      <c r="D52">
        <v>11</v>
      </c>
    </row>
    <row r="53" spans="1:4" x14ac:dyDescent="0.3">
      <c r="A53" t="s">
        <v>45</v>
      </c>
      <c r="B53" t="s">
        <v>9</v>
      </c>
      <c r="C53">
        <v>4</v>
      </c>
      <c r="D53">
        <v>5</v>
      </c>
    </row>
    <row r="54" spans="1:4" x14ac:dyDescent="0.3">
      <c r="A54" t="s">
        <v>45</v>
      </c>
      <c r="B54" t="s">
        <v>10</v>
      </c>
      <c r="C54">
        <v>49</v>
      </c>
      <c r="D54">
        <v>49</v>
      </c>
    </row>
    <row r="55" spans="1:4" x14ac:dyDescent="0.3">
      <c r="A55" t="s">
        <v>45</v>
      </c>
      <c r="B55" t="s">
        <v>11</v>
      </c>
      <c r="C55">
        <v>0</v>
      </c>
      <c r="D55">
        <v>0</v>
      </c>
    </row>
    <row r="56" spans="1:4" x14ac:dyDescent="0.3">
      <c r="A56" t="s">
        <v>45</v>
      </c>
      <c r="B56" t="s">
        <v>12</v>
      </c>
      <c r="C56">
        <v>9</v>
      </c>
      <c r="D56">
        <v>9</v>
      </c>
    </row>
    <row r="57" spans="1:4" x14ac:dyDescent="0.3">
      <c r="A57" t="s">
        <v>47</v>
      </c>
      <c r="B57" t="s">
        <v>8</v>
      </c>
      <c r="C57">
        <v>13</v>
      </c>
      <c r="D57">
        <v>14</v>
      </c>
    </row>
    <row r="58" spans="1:4" x14ac:dyDescent="0.3">
      <c r="A58" t="s">
        <v>47</v>
      </c>
      <c r="B58" t="s">
        <v>9</v>
      </c>
      <c r="C58">
        <v>5</v>
      </c>
      <c r="D58">
        <v>7</v>
      </c>
    </row>
    <row r="59" spans="1:4" x14ac:dyDescent="0.3">
      <c r="A59" t="s">
        <v>47</v>
      </c>
      <c r="B59" t="s">
        <v>10</v>
      </c>
      <c r="C59">
        <v>68</v>
      </c>
      <c r="D59">
        <v>7</v>
      </c>
    </row>
    <row r="60" spans="1:4" x14ac:dyDescent="0.3">
      <c r="A60" t="s">
        <v>47</v>
      </c>
      <c r="B60" t="s">
        <v>11</v>
      </c>
      <c r="C60">
        <v>0</v>
      </c>
      <c r="D60">
        <v>75</v>
      </c>
    </row>
    <row r="61" spans="1:4" x14ac:dyDescent="0.3">
      <c r="A61" t="s">
        <v>47</v>
      </c>
      <c r="B61" t="s">
        <v>12</v>
      </c>
      <c r="C61">
        <v>14</v>
      </c>
      <c r="D61">
        <v>0</v>
      </c>
    </row>
    <row r="62" spans="1:4" x14ac:dyDescent="0.3">
      <c r="A62" t="s">
        <v>48</v>
      </c>
      <c r="B62" t="s">
        <v>8</v>
      </c>
      <c r="C62">
        <v>13</v>
      </c>
      <c r="D62">
        <v>7</v>
      </c>
    </row>
    <row r="63" spans="1:4" x14ac:dyDescent="0.3">
      <c r="A63" t="s">
        <v>48</v>
      </c>
      <c r="B63" t="s">
        <v>9</v>
      </c>
      <c r="C63">
        <v>6</v>
      </c>
      <c r="D63">
        <v>7</v>
      </c>
    </row>
    <row r="64" spans="1:4" x14ac:dyDescent="0.3">
      <c r="A64" t="s">
        <v>48</v>
      </c>
      <c r="B64" t="s">
        <v>10</v>
      </c>
      <c r="C64">
        <v>67</v>
      </c>
      <c r="D64">
        <v>75</v>
      </c>
    </row>
    <row r="65" spans="1:4" x14ac:dyDescent="0.3">
      <c r="A65" t="s">
        <v>48</v>
      </c>
      <c r="B65" t="s">
        <v>11</v>
      </c>
      <c r="C65">
        <v>0</v>
      </c>
      <c r="D65">
        <v>0</v>
      </c>
    </row>
    <row r="66" spans="1:4" x14ac:dyDescent="0.3">
      <c r="A66" t="s">
        <v>48</v>
      </c>
      <c r="B66" t="s">
        <v>12</v>
      </c>
      <c r="C66">
        <v>14</v>
      </c>
      <c r="D66">
        <v>11</v>
      </c>
    </row>
    <row r="67" spans="1:4" x14ac:dyDescent="0.3">
      <c r="A67" t="s">
        <v>49</v>
      </c>
      <c r="B67" t="s">
        <v>8</v>
      </c>
      <c r="C67">
        <v>27</v>
      </c>
      <c r="D67">
        <v>34</v>
      </c>
    </row>
    <row r="68" spans="1:4" x14ac:dyDescent="0.3">
      <c r="A68" t="s">
        <v>49</v>
      </c>
      <c r="B68" t="s">
        <v>9</v>
      </c>
      <c r="C68">
        <v>3</v>
      </c>
      <c r="D68">
        <v>2</v>
      </c>
    </row>
    <row r="69" spans="1:4" x14ac:dyDescent="0.3">
      <c r="A69" t="s">
        <v>49</v>
      </c>
      <c r="B69" t="s">
        <v>10</v>
      </c>
      <c r="C69">
        <v>56</v>
      </c>
      <c r="D69">
        <v>52</v>
      </c>
    </row>
    <row r="70" spans="1:4" x14ac:dyDescent="0.3">
      <c r="A70" t="s">
        <v>49</v>
      </c>
      <c r="B70" t="s">
        <v>11</v>
      </c>
      <c r="C70">
        <v>0</v>
      </c>
      <c r="D70">
        <v>0</v>
      </c>
    </row>
    <row r="71" spans="1:4" x14ac:dyDescent="0.3">
      <c r="A71" t="s">
        <v>49</v>
      </c>
      <c r="B71" t="s">
        <v>12</v>
      </c>
      <c r="C71">
        <v>14</v>
      </c>
      <c r="D71">
        <v>12</v>
      </c>
    </row>
    <row r="72" spans="1:4" x14ac:dyDescent="0.3">
      <c r="A72" t="s">
        <v>60</v>
      </c>
      <c r="B72" t="s">
        <v>8</v>
      </c>
      <c r="C72">
        <v>29</v>
      </c>
      <c r="D72">
        <v>28</v>
      </c>
    </row>
    <row r="73" spans="1:4" x14ac:dyDescent="0.3">
      <c r="A73" t="s">
        <v>60</v>
      </c>
      <c r="B73" t="s">
        <v>9</v>
      </c>
      <c r="C73">
        <v>1</v>
      </c>
      <c r="D73">
        <v>1</v>
      </c>
    </row>
    <row r="74" spans="1:4" x14ac:dyDescent="0.3">
      <c r="A74" t="s">
        <v>60</v>
      </c>
      <c r="B74" t="s">
        <v>10</v>
      </c>
      <c r="C74">
        <v>55</v>
      </c>
      <c r="D74">
        <v>59</v>
      </c>
    </row>
    <row r="75" spans="1:4" x14ac:dyDescent="0.3">
      <c r="A75" t="s">
        <v>60</v>
      </c>
      <c r="B75" t="s">
        <v>11</v>
      </c>
      <c r="C75">
        <v>0</v>
      </c>
      <c r="D75">
        <v>0</v>
      </c>
    </row>
    <row r="76" spans="1:4" x14ac:dyDescent="0.3">
      <c r="A76" t="s">
        <v>60</v>
      </c>
      <c r="B76" t="s">
        <v>12</v>
      </c>
      <c r="C76">
        <v>14</v>
      </c>
      <c r="D76">
        <v>11</v>
      </c>
    </row>
    <row r="77" spans="1:4" x14ac:dyDescent="0.3">
      <c r="A77" t="s">
        <v>51</v>
      </c>
      <c r="B77" t="s">
        <v>8</v>
      </c>
      <c r="C77">
        <v>26</v>
      </c>
      <c r="D77">
        <v>25</v>
      </c>
    </row>
    <row r="78" spans="1:4" x14ac:dyDescent="0.3">
      <c r="A78" t="s">
        <v>51</v>
      </c>
      <c r="B78" t="s">
        <v>9</v>
      </c>
      <c r="C78">
        <v>4</v>
      </c>
      <c r="D78">
        <v>5</v>
      </c>
    </row>
    <row r="79" spans="1:4" x14ac:dyDescent="0.3">
      <c r="A79" t="s">
        <v>51</v>
      </c>
      <c r="B79" t="s">
        <v>10</v>
      </c>
      <c r="C79">
        <v>47</v>
      </c>
      <c r="D79">
        <v>49</v>
      </c>
    </row>
    <row r="80" spans="1:4" x14ac:dyDescent="0.3">
      <c r="A80" t="s">
        <v>51</v>
      </c>
      <c r="B80" t="s">
        <v>11</v>
      </c>
      <c r="C80">
        <v>1</v>
      </c>
      <c r="D80">
        <v>0</v>
      </c>
    </row>
    <row r="81" spans="1:4" x14ac:dyDescent="0.3">
      <c r="A81" t="s">
        <v>51</v>
      </c>
      <c r="B81" t="s">
        <v>12</v>
      </c>
      <c r="C81">
        <v>14</v>
      </c>
      <c r="D81">
        <v>14</v>
      </c>
    </row>
    <row r="82" spans="1:4" x14ac:dyDescent="0.3">
      <c r="A82" t="s">
        <v>52</v>
      </c>
      <c r="B82" t="s">
        <v>8</v>
      </c>
      <c r="C82">
        <v>19</v>
      </c>
      <c r="D82">
        <v>16</v>
      </c>
    </row>
    <row r="83" spans="1:4" x14ac:dyDescent="0.3">
      <c r="A83" t="s">
        <v>52</v>
      </c>
      <c r="B83" t="s">
        <v>9</v>
      </c>
      <c r="C83">
        <v>1</v>
      </c>
      <c r="D83">
        <v>0</v>
      </c>
    </row>
    <row r="84" spans="1:4" x14ac:dyDescent="0.3">
      <c r="A84" t="s">
        <v>52</v>
      </c>
      <c r="B84" t="s">
        <v>10</v>
      </c>
      <c r="C84">
        <v>31</v>
      </c>
      <c r="D84">
        <v>29</v>
      </c>
    </row>
    <row r="85" spans="1:4" x14ac:dyDescent="0.3">
      <c r="A85" t="s">
        <v>52</v>
      </c>
      <c r="B85" t="s">
        <v>11</v>
      </c>
      <c r="C85">
        <v>3</v>
      </c>
      <c r="D85">
        <v>3</v>
      </c>
    </row>
    <row r="86" spans="1:4" x14ac:dyDescent="0.3">
      <c r="A86" t="s">
        <v>52</v>
      </c>
      <c r="B86" t="s">
        <v>12</v>
      </c>
      <c r="C86">
        <v>43</v>
      </c>
      <c r="D86">
        <v>47</v>
      </c>
    </row>
    <row r="87" spans="1:4" x14ac:dyDescent="0.3">
      <c r="A87" t="s">
        <v>53</v>
      </c>
      <c r="B87" t="s">
        <v>8</v>
      </c>
      <c r="C87">
        <v>24</v>
      </c>
      <c r="D87">
        <v>23</v>
      </c>
    </row>
    <row r="88" spans="1:4" x14ac:dyDescent="0.3">
      <c r="A88" t="s">
        <v>53</v>
      </c>
      <c r="B88" t="s">
        <v>9</v>
      </c>
      <c r="C88">
        <v>3</v>
      </c>
      <c r="D88">
        <v>2</v>
      </c>
    </row>
    <row r="89" spans="1:4" x14ac:dyDescent="0.3">
      <c r="A89" t="s">
        <v>53</v>
      </c>
      <c r="B89" t="s">
        <v>10</v>
      </c>
      <c r="C89">
        <v>41</v>
      </c>
      <c r="D89">
        <v>42</v>
      </c>
    </row>
    <row r="90" spans="1:4" x14ac:dyDescent="0.3">
      <c r="A90" t="s">
        <v>53</v>
      </c>
      <c r="B90" t="s">
        <v>11</v>
      </c>
      <c r="C90">
        <v>1</v>
      </c>
      <c r="D90">
        <v>0</v>
      </c>
    </row>
    <row r="91" spans="1:4" x14ac:dyDescent="0.3">
      <c r="A91" t="s">
        <v>53</v>
      </c>
      <c r="B91" t="s">
        <v>12</v>
      </c>
      <c r="C91">
        <v>30</v>
      </c>
      <c r="D91">
        <v>30</v>
      </c>
    </row>
    <row r="92" spans="1:4" x14ac:dyDescent="0.3">
      <c r="A92" t="s">
        <v>54</v>
      </c>
      <c r="B92" t="s">
        <v>8</v>
      </c>
      <c r="C92">
        <v>20</v>
      </c>
      <c r="D92">
        <v>19</v>
      </c>
    </row>
    <row r="93" spans="1:4" x14ac:dyDescent="0.3">
      <c r="A93" t="s">
        <v>54</v>
      </c>
      <c r="B93" t="s">
        <v>10</v>
      </c>
      <c r="C93">
        <v>19</v>
      </c>
      <c r="D93">
        <v>19</v>
      </c>
    </row>
    <row r="94" spans="1:4" x14ac:dyDescent="0.3">
      <c r="A94" t="s">
        <v>54</v>
      </c>
      <c r="B94" t="s">
        <v>9</v>
      </c>
      <c r="C94">
        <v>38</v>
      </c>
      <c r="D94">
        <v>41</v>
      </c>
    </row>
    <row r="95" spans="1:4" x14ac:dyDescent="0.3">
      <c r="A95" t="s">
        <v>54</v>
      </c>
      <c r="B95" t="s">
        <v>11</v>
      </c>
      <c r="C95">
        <v>1</v>
      </c>
      <c r="D95">
        <v>1</v>
      </c>
    </row>
    <row r="96" spans="1:4" x14ac:dyDescent="0.3">
      <c r="A96" t="s">
        <v>54</v>
      </c>
      <c r="B96" t="s">
        <v>12</v>
      </c>
      <c r="C96">
        <v>17</v>
      </c>
      <c r="D96">
        <v>18</v>
      </c>
    </row>
    <row r="97" spans="1:4" x14ac:dyDescent="0.3">
      <c r="A97" t="s">
        <v>55</v>
      </c>
      <c r="B97" t="s">
        <v>8</v>
      </c>
      <c r="C97">
        <v>22</v>
      </c>
      <c r="D97">
        <v>32</v>
      </c>
    </row>
    <row r="98" spans="1:4" x14ac:dyDescent="0.3">
      <c r="A98" t="s">
        <v>55</v>
      </c>
      <c r="B98" t="s">
        <v>9</v>
      </c>
      <c r="C98">
        <v>6</v>
      </c>
      <c r="D98">
        <v>3</v>
      </c>
    </row>
    <row r="99" spans="1:4" x14ac:dyDescent="0.3">
      <c r="A99" t="s">
        <v>55</v>
      </c>
      <c r="B99" t="s">
        <v>10</v>
      </c>
      <c r="C99">
        <v>57</v>
      </c>
      <c r="D99">
        <v>48</v>
      </c>
    </row>
    <row r="100" spans="1:4" x14ac:dyDescent="0.3">
      <c r="A100" t="s">
        <v>55</v>
      </c>
      <c r="B100" t="s">
        <v>11</v>
      </c>
      <c r="C100">
        <v>0</v>
      </c>
      <c r="D100">
        <v>1</v>
      </c>
    </row>
    <row r="101" spans="1:4" x14ac:dyDescent="0.3">
      <c r="A101" t="s">
        <v>55</v>
      </c>
      <c r="B101" t="s">
        <v>12</v>
      </c>
      <c r="C101">
        <v>15</v>
      </c>
      <c r="D101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E0DE-1912-4FB0-BD11-18095924780C}">
  <dimension ref="B2:R104"/>
  <sheetViews>
    <sheetView topLeftCell="A28" workbookViewId="0">
      <selection activeCell="B4" sqref="B4:E104"/>
    </sheetView>
  </sheetViews>
  <sheetFormatPr defaultRowHeight="14.4" x14ac:dyDescent="0.3"/>
  <cols>
    <col min="2" max="2" width="32.6640625" customWidth="1"/>
    <col min="3" max="5" width="17.77734375" customWidth="1"/>
    <col min="6" max="14" width="10.6640625" style="1" customWidth="1"/>
    <col min="16" max="16" width="12.21875" style="1" customWidth="1"/>
  </cols>
  <sheetData>
    <row r="2" spans="2:14" x14ac:dyDescent="0.3">
      <c r="F2" s="1" t="s">
        <v>1</v>
      </c>
      <c r="K2" s="1" t="s">
        <v>2</v>
      </c>
    </row>
    <row r="3" spans="2:14" x14ac:dyDescent="0.3">
      <c r="B3" t="s">
        <v>0</v>
      </c>
      <c r="F3" s="1" t="s">
        <v>3</v>
      </c>
      <c r="H3" s="1" t="s">
        <v>4</v>
      </c>
      <c r="K3" s="1" t="s">
        <v>3</v>
      </c>
      <c r="M3" s="1" t="s">
        <v>4</v>
      </c>
    </row>
    <row r="4" spans="2:14" x14ac:dyDescent="0.3">
      <c r="B4" t="s">
        <v>22</v>
      </c>
      <c r="C4" t="s">
        <v>56</v>
      </c>
      <c r="D4" t="s">
        <v>57</v>
      </c>
      <c r="E4" t="s">
        <v>58</v>
      </c>
      <c r="F4" s="1" t="s">
        <v>5</v>
      </c>
      <c r="G4" s="1" t="s">
        <v>6</v>
      </c>
      <c r="H4" s="1" t="s">
        <v>5</v>
      </c>
      <c r="I4" s="1" t="s">
        <v>6</v>
      </c>
      <c r="K4" s="1" t="s">
        <v>5</v>
      </c>
      <c r="L4" s="1" t="s">
        <v>6</v>
      </c>
      <c r="M4" s="1" t="s">
        <v>5</v>
      </c>
      <c r="N4" s="1" t="s">
        <v>6</v>
      </c>
    </row>
    <row r="5" spans="2:14" x14ac:dyDescent="0.3">
      <c r="B5" t="s">
        <v>35</v>
      </c>
      <c r="C5" t="s">
        <v>8</v>
      </c>
      <c r="D5">
        <f>SUM(F5,H5)</f>
        <v>30</v>
      </c>
      <c r="E5">
        <f>SUM(K5,M5)</f>
        <v>35</v>
      </c>
      <c r="F5" s="1">
        <v>12</v>
      </c>
      <c r="G5" s="1">
        <v>32</v>
      </c>
      <c r="H5" s="1">
        <v>18</v>
      </c>
      <c r="I5" s="1">
        <v>29</v>
      </c>
      <c r="J5" s="1">
        <f>SUM(F5,H5)</f>
        <v>30</v>
      </c>
      <c r="K5" s="1">
        <v>14</v>
      </c>
      <c r="L5" s="1">
        <v>36.799999999999997</v>
      </c>
      <c r="M5" s="1">
        <v>21</v>
      </c>
      <c r="N5" s="1">
        <v>33.9</v>
      </c>
    </row>
    <row r="6" spans="2:14" x14ac:dyDescent="0.3">
      <c r="C6" t="s">
        <v>9</v>
      </c>
      <c r="D6">
        <f t="shared" ref="D6:D69" si="0">SUM(F6,H6)</f>
        <v>4</v>
      </c>
      <c r="E6">
        <f t="shared" ref="E6:E69" si="1">SUM(K6,M6)</f>
        <v>4</v>
      </c>
      <c r="F6" s="1">
        <v>2</v>
      </c>
      <c r="G6" s="1">
        <v>5.3</v>
      </c>
      <c r="H6" s="1">
        <v>2</v>
      </c>
      <c r="I6" s="1">
        <v>3.2</v>
      </c>
      <c r="J6" s="1">
        <f t="shared" ref="J6:J69" si="2">SUM(F6,H6)</f>
        <v>4</v>
      </c>
      <c r="K6" s="1">
        <v>2</v>
      </c>
      <c r="L6" s="1">
        <v>5.3</v>
      </c>
      <c r="M6" s="1">
        <v>2</v>
      </c>
      <c r="N6" s="1">
        <v>3.2</v>
      </c>
    </row>
    <row r="7" spans="2:14" x14ac:dyDescent="0.3">
      <c r="C7" t="s">
        <v>10</v>
      </c>
      <c r="D7">
        <f t="shared" si="0"/>
        <v>49</v>
      </c>
      <c r="E7">
        <f t="shared" si="1"/>
        <v>48</v>
      </c>
      <c r="F7" s="1">
        <v>10</v>
      </c>
      <c r="G7" s="1">
        <v>26</v>
      </c>
      <c r="H7" s="1">
        <v>39</v>
      </c>
      <c r="I7" s="1">
        <v>63</v>
      </c>
      <c r="J7" s="1">
        <f t="shared" si="2"/>
        <v>49</v>
      </c>
      <c r="K7" s="1">
        <v>10</v>
      </c>
      <c r="L7" s="1">
        <v>26.3</v>
      </c>
      <c r="M7" s="1">
        <v>38</v>
      </c>
      <c r="N7" s="1">
        <v>61.3</v>
      </c>
    </row>
    <row r="8" spans="2:14" x14ac:dyDescent="0.3">
      <c r="C8" t="s">
        <v>11</v>
      </c>
      <c r="D8">
        <f t="shared" si="0"/>
        <v>0</v>
      </c>
      <c r="E8">
        <f t="shared" si="1"/>
        <v>0</v>
      </c>
      <c r="F8" s="1" t="s">
        <v>14</v>
      </c>
      <c r="G8" s="1" t="s">
        <v>14</v>
      </c>
      <c r="H8" s="1" t="s">
        <v>14</v>
      </c>
      <c r="I8" s="1" t="s">
        <v>14</v>
      </c>
      <c r="J8" s="1">
        <f t="shared" si="2"/>
        <v>0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2:14" x14ac:dyDescent="0.3">
      <c r="C9" t="s">
        <v>12</v>
      </c>
      <c r="D9">
        <f t="shared" si="0"/>
        <v>17</v>
      </c>
      <c r="E9">
        <f t="shared" si="1"/>
        <v>13</v>
      </c>
      <c r="F9" s="1">
        <v>14</v>
      </c>
      <c r="G9" s="1">
        <v>37</v>
      </c>
      <c r="H9" s="1">
        <v>3</v>
      </c>
      <c r="I9" s="1">
        <v>4.8</v>
      </c>
      <c r="J9" s="1">
        <f t="shared" si="2"/>
        <v>17</v>
      </c>
      <c r="K9" s="1">
        <v>12</v>
      </c>
      <c r="L9" s="1">
        <v>31.6</v>
      </c>
      <c r="M9" s="1">
        <v>1</v>
      </c>
      <c r="N9" s="1">
        <v>1.6</v>
      </c>
    </row>
    <row r="10" spans="2:14" x14ac:dyDescent="0.3">
      <c r="B10" t="s">
        <v>36</v>
      </c>
      <c r="C10" t="s">
        <v>8</v>
      </c>
      <c r="D10">
        <f t="shared" si="0"/>
        <v>22</v>
      </c>
      <c r="E10">
        <f t="shared" si="1"/>
        <v>22</v>
      </c>
      <c r="F10" s="1">
        <v>9</v>
      </c>
      <c r="G10" s="1">
        <v>24</v>
      </c>
      <c r="H10" s="1">
        <v>13</v>
      </c>
      <c r="I10" s="1">
        <v>21</v>
      </c>
      <c r="J10" s="1">
        <f t="shared" si="2"/>
        <v>22</v>
      </c>
      <c r="K10" s="1">
        <v>10</v>
      </c>
      <c r="L10" s="1">
        <v>26.3</v>
      </c>
      <c r="M10" s="1">
        <v>12</v>
      </c>
      <c r="N10" s="1">
        <v>19.399999999999999</v>
      </c>
    </row>
    <row r="11" spans="2:14" x14ac:dyDescent="0.3">
      <c r="C11" t="s">
        <v>10</v>
      </c>
      <c r="D11">
        <f t="shared" si="0"/>
        <v>5</v>
      </c>
      <c r="E11">
        <f t="shared" si="1"/>
        <v>4</v>
      </c>
      <c r="F11" s="1">
        <v>2</v>
      </c>
      <c r="G11" s="1">
        <v>5.3</v>
      </c>
      <c r="H11" s="1">
        <v>3</v>
      </c>
      <c r="I11" s="1">
        <v>4.8</v>
      </c>
      <c r="J11" s="1">
        <f t="shared" si="2"/>
        <v>5</v>
      </c>
      <c r="K11" s="1">
        <v>2</v>
      </c>
      <c r="L11" s="1">
        <v>5.3</v>
      </c>
      <c r="M11" s="1">
        <v>2</v>
      </c>
      <c r="N11" s="1">
        <v>3.2</v>
      </c>
    </row>
    <row r="12" spans="2:14" x14ac:dyDescent="0.3">
      <c r="C12" t="s">
        <v>9</v>
      </c>
      <c r="D12">
        <f t="shared" si="0"/>
        <v>56</v>
      </c>
      <c r="E12">
        <f t="shared" si="1"/>
        <v>54</v>
      </c>
      <c r="F12" s="1">
        <v>13</v>
      </c>
      <c r="G12" s="1">
        <v>34</v>
      </c>
      <c r="H12" s="1">
        <v>43</v>
      </c>
      <c r="I12" s="1">
        <v>69</v>
      </c>
      <c r="J12" s="1">
        <f t="shared" si="2"/>
        <v>56</v>
      </c>
      <c r="K12" s="1">
        <v>9</v>
      </c>
      <c r="L12" s="1">
        <v>23.7</v>
      </c>
      <c r="M12" s="1">
        <v>45</v>
      </c>
      <c r="N12" s="1">
        <v>72.599999999999994</v>
      </c>
    </row>
    <row r="13" spans="2:14" x14ac:dyDescent="0.3">
      <c r="C13" t="s">
        <v>11</v>
      </c>
      <c r="D13">
        <f t="shared" si="0"/>
        <v>0</v>
      </c>
      <c r="E13">
        <f t="shared" si="1"/>
        <v>0</v>
      </c>
      <c r="F13" s="1" t="s">
        <v>14</v>
      </c>
      <c r="G13" s="1" t="s">
        <v>14</v>
      </c>
      <c r="H13" s="1" t="s">
        <v>14</v>
      </c>
      <c r="I13" s="1" t="s">
        <v>14</v>
      </c>
      <c r="J13" s="1">
        <f t="shared" si="2"/>
        <v>0</v>
      </c>
      <c r="K13" s="1" t="s">
        <v>14</v>
      </c>
      <c r="L13" s="1" t="s">
        <v>14</v>
      </c>
      <c r="M13" s="1" t="s">
        <v>14</v>
      </c>
      <c r="N13" s="1" t="s">
        <v>14</v>
      </c>
    </row>
    <row r="14" spans="2:14" x14ac:dyDescent="0.3">
      <c r="C14" t="s">
        <v>12</v>
      </c>
      <c r="D14">
        <f t="shared" si="0"/>
        <v>15</v>
      </c>
      <c r="E14">
        <f t="shared" si="1"/>
        <v>18</v>
      </c>
      <c r="F14" s="1">
        <v>13</v>
      </c>
      <c r="G14" s="1">
        <v>34</v>
      </c>
      <c r="H14" s="1">
        <v>2</v>
      </c>
      <c r="I14" s="1">
        <v>3.2</v>
      </c>
      <c r="J14" s="1">
        <f t="shared" si="2"/>
        <v>15</v>
      </c>
      <c r="K14" s="1">
        <v>16</v>
      </c>
      <c r="L14" s="1">
        <v>42.1</v>
      </c>
      <c r="M14" s="1">
        <v>2</v>
      </c>
      <c r="N14" s="1">
        <v>3.2</v>
      </c>
    </row>
    <row r="15" spans="2:14" x14ac:dyDescent="0.3">
      <c r="B15" t="s">
        <v>37</v>
      </c>
      <c r="C15" t="s">
        <v>8</v>
      </c>
      <c r="D15">
        <f t="shared" si="0"/>
        <v>20</v>
      </c>
      <c r="E15">
        <f t="shared" si="1"/>
        <v>20</v>
      </c>
      <c r="F15" s="1">
        <v>12</v>
      </c>
      <c r="G15" s="1">
        <v>32</v>
      </c>
      <c r="H15" s="1">
        <v>8</v>
      </c>
      <c r="I15" s="1">
        <v>13</v>
      </c>
      <c r="J15" s="1">
        <f t="shared" si="2"/>
        <v>20</v>
      </c>
      <c r="K15" s="1">
        <v>12</v>
      </c>
      <c r="L15" s="1">
        <v>31.6</v>
      </c>
      <c r="M15" s="1">
        <v>8</v>
      </c>
      <c r="N15" s="1">
        <v>12.9</v>
      </c>
    </row>
    <row r="16" spans="2:14" x14ac:dyDescent="0.3">
      <c r="C16" t="s">
        <v>9</v>
      </c>
      <c r="D16">
        <f t="shared" si="0"/>
        <v>4</v>
      </c>
      <c r="E16">
        <f t="shared" si="1"/>
        <v>6</v>
      </c>
      <c r="F16" s="1">
        <v>2</v>
      </c>
      <c r="G16" s="1">
        <v>5.3</v>
      </c>
      <c r="H16" s="1">
        <v>2</v>
      </c>
      <c r="I16" s="1">
        <v>3.2</v>
      </c>
      <c r="J16" s="1">
        <f t="shared" si="2"/>
        <v>4</v>
      </c>
      <c r="K16" s="1">
        <v>2</v>
      </c>
      <c r="L16" s="1">
        <v>5.3</v>
      </c>
      <c r="M16" s="1">
        <v>4</v>
      </c>
      <c r="N16" s="1">
        <v>6.5</v>
      </c>
    </row>
    <row r="17" spans="2:14" x14ac:dyDescent="0.3">
      <c r="C17" t="s">
        <v>10</v>
      </c>
      <c r="D17">
        <f t="shared" si="0"/>
        <v>63</v>
      </c>
      <c r="E17">
        <f t="shared" si="1"/>
        <v>62</v>
      </c>
      <c r="F17" s="1">
        <v>12</v>
      </c>
      <c r="G17" s="1">
        <v>32</v>
      </c>
      <c r="H17" s="1">
        <v>51</v>
      </c>
      <c r="I17" s="1">
        <v>82</v>
      </c>
      <c r="J17" s="1">
        <f t="shared" si="2"/>
        <v>63</v>
      </c>
      <c r="K17" s="1">
        <v>12</v>
      </c>
      <c r="L17" s="1">
        <v>31.6</v>
      </c>
      <c r="M17" s="1">
        <v>50</v>
      </c>
      <c r="N17" s="1">
        <v>80.599999999999994</v>
      </c>
    </row>
    <row r="18" spans="2:14" x14ac:dyDescent="0.3">
      <c r="C18" t="s">
        <v>11</v>
      </c>
      <c r="D18">
        <f t="shared" si="0"/>
        <v>0</v>
      </c>
      <c r="E18">
        <f t="shared" si="1"/>
        <v>0</v>
      </c>
      <c r="F18" s="1" t="s">
        <v>14</v>
      </c>
      <c r="G18" s="1" t="s">
        <v>14</v>
      </c>
      <c r="H18" s="1" t="s">
        <v>14</v>
      </c>
      <c r="I18" s="1" t="s">
        <v>14</v>
      </c>
      <c r="J18" s="1">
        <f t="shared" si="2"/>
        <v>0</v>
      </c>
      <c r="K18" s="1" t="s">
        <v>14</v>
      </c>
      <c r="L18" s="1" t="s">
        <v>14</v>
      </c>
      <c r="M18" s="1" t="s">
        <v>14</v>
      </c>
      <c r="N18" s="1" t="s">
        <v>14</v>
      </c>
    </row>
    <row r="19" spans="2:14" x14ac:dyDescent="0.3">
      <c r="C19" t="s">
        <v>12</v>
      </c>
      <c r="D19">
        <f t="shared" si="0"/>
        <v>13</v>
      </c>
      <c r="E19">
        <f t="shared" si="1"/>
        <v>12</v>
      </c>
      <c r="F19" s="1">
        <v>12</v>
      </c>
      <c r="G19" s="1">
        <v>32</v>
      </c>
      <c r="H19" s="1">
        <v>1</v>
      </c>
      <c r="I19" s="1">
        <v>1.6</v>
      </c>
      <c r="J19" s="1">
        <f t="shared" si="2"/>
        <v>13</v>
      </c>
      <c r="K19" s="1">
        <v>12</v>
      </c>
      <c r="L19" s="1">
        <v>31.6</v>
      </c>
      <c r="M19" s="1">
        <v>0</v>
      </c>
      <c r="N19" s="1">
        <v>0</v>
      </c>
    </row>
    <row r="20" spans="2:14" x14ac:dyDescent="0.3">
      <c r="B20" t="s">
        <v>38</v>
      </c>
      <c r="C20" t="s">
        <v>8</v>
      </c>
      <c r="D20">
        <f t="shared" si="0"/>
        <v>13</v>
      </c>
      <c r="E20">
        <f t="shared" si="1"/>
        <v>10</v>
      </c>
      <c r="F20" s="1">
        <v>9</v>
      </c>
      <c r="G20" s="1">
        <v>24</v>
      </c>
      <c r="H20" s="1">
        <v>4</v>
      </c>
      <c r="I20" s="1">
        <v>6.5</v>
      </c>
      <c r="J20" s="1">
        <f t="shared" si="2"/>
        <v>13</v>
      </c>
      <c r="K20" s="1">
        <v>8</v>
      </c>
      <c r="L20" s="1">
        <v>21.1</v>
      </c>
      <c r="M20" s="1">
        <v>2</v>
      </c>
      <c r="N20" s="1">
        <v>3.2</v>
      </c>
    </row>
    <row r="21" spans="2:14" x14ac:dyDescent="0.3">
      <c r="C21" t="s">
        <v>10</v>
      </c>
      <c r="D21">
        <f t="shared" si="0"/>
        <v>5</v>
      </c>
      <c r="E21">
        <f t="shared" si="1"/>
        <v>5</v>
      </c>
      <c r="F21" s="1">
        <v>3</v>
      </c>
      <c r="G21" s="1">
        <v>7.9</v>
      </c>
      <c r="H21" s="1">
        <v>2</v>
      </c>
      <c r="I21" s="1">
        <v>3.2</v>
      </c>
      <c r="J21" s="1">
        <f t="shared" si="2"/>
        <v>5</v>
      </c>
      <c r="K21" s="1">
        <v>2</v>
      </c>
      <c r="L21" s="1">
        <v>5.3</v>
      </c>
      <c r="M21" s="1">
        <v>3</v>
      </c>
      <c r="N21" s="1">
        <v>4.8</v>
      </c>
    </row>
    <row r="22" spans="2:14" x14ac:dyDescent="0.3">
      <c r="C22" t="s">
        <v>9</v>
      </c>
      <c r="D22">
        <f t="shared" si="0"/>
        <v>68</v>
      </c>
      <c r="E22">
        <f t="shared" si="1"/>
        <v>74</v>
      </c>
      <c r="F22" s="1">
        <v>14</v>
      </c>
      <c r="G22" s="1">
        <v>37</v>
      </c>
      <c r="H22" s="1">
        <v>54</v>
      </c>
      <c r="I22" s="1">
        <v>87</v>
      </c>
      <c r="J22" s="1">
        <f t="shared" si="2"/>
        <v>68</v>
      </c>
      <c r="K22" s="1">
        <v>18</v>
      </c>
      <c r="L22" s="1">
        <v>47.4</v>
      </c>
      <c r="M22" s="1">
        <v>56</v>
      </c>
      <c r="N22" s="1">
        <v>90.3</v>
      </c>
    </row>
    <row r="23" spans="2:14" x14ac:dyDescent="0.3">
      <c r="C23" t="s">
        <v>11</v>
      </c>
      <c r="D23">
        <f t="shared" si="0"/>
        <v>0</v>
      </c>
      <c r="E23">
        <f t="shared" si="1"/>
        <v>0</v>
      </c>
      <c r="F23" s="1" t="s">
        <v>14</v>
      </c>
      <c r="G23" s="1" t="s">
        <v>14</v>
      </c>
      <c r="H23" s="1" t="s">
        <v>14</v>
      </c>
      <c r="I23" s="1" t="s">
        <v>14</v>
      </c>
      <c r="J23" s="1">
        <f t="shared" si="2"/>
        <v>0</v>
      </c>
      <c r="K23" s="1" t="s">
        <v>14</v>
      </c>
      <c r="L23" s="1" t="s">
        <v>14</v>
      </c>
      <c r="M23" s="1" t="s">
        <v>14</v>
      </c>
      <c r="N23" s="1" t="s">
        <v>14</v>
      </c>
    </row>
    <row r="24" spans="2:14" x14ac:dyDescent="0.3">
      <c r="C24" t="s">
        <v>12</v>
      </c>
      <c r="D24">
        <f t="shared" si="0"/>
        <v>13</v>
      </c>
      <c r="E24">
        <f t="shared" si="1"/>
        <v>11</v>
      </c>
      <c r="F24" s="1">
        <v>12</v>
      </c>
      <c r="G24" s="1">
        <v>32</v>
      </c>
      <c r="H24" s="1">
        <v>1</v>
      </c>
      <c r="I24" s="1">
        <v>1.6</v>
      </c>
      <c r="J24" s="1">
        <f t="shared" si="2"/>
        <v>13</v>
      </c>
      <c r="K24" s="1">
        <v>10</v>
      </c>
      <c r="L24" s="1">
        <v>26.3</v>
      </c>
      <c r="M24" s="1">
        <v>1</v>
      </c>
      <c r="N24" s="1">
        <v>1.6</v>
      </c>
    </row>
    <row r="25" spans="2:14" x14ac:dyDescent="0.3">
      <c r="B25" t="s">
        <v>39</v>
      </c>
      <c r="C25" t="s">
        <v>8</v>
      </c>
      <c r="D25">
        <f t="shared" si="0"/>
        <v>29</v>
      </c>
      <c r="E25">
        <f t="shared" si="1"/>
        <v>30</v>
      </c>
      <c r="F25" s="1">
        <v>17</v>
      </c>
      <c r="G25" s="1">
        <v>45</v>
      </c>
      <c r="H25" s="1">
        <v>12</v>
      </c>
      <c r="I25" s="1">
        <v>19</v>
      </c>
      <c r="J25" s="1">
        <f t="shared" si="2"/>
        <v>29</v>
      </c>
      <c r="K25" s="1">
        <v>19</v>
      </c>
      <c r="L25" s="1">
        <v>50</v>
      </c>
      <c r="M25" s="1">
        <v>11</v>
      </c>
      <c r="N25" s="1">
        <v>17.7</v>
      </c>
    </row>
    <row r="26" spans="2:14" x14ac:dyDescent="0.3">
      <c r="C26" t="s">
        <v>9</v>
      </c>
      <c r="D26">
        <f t="shared" si="0"/>
        <v>2</v>
      </c>
      <c r="E26">
        <f t="shared" si="1"/>
        <v>2</v>
      </c>
      <c r="F26" s="1" t="s">
        <v>14</v>
      </c>
      <c r="G26" s="1" t="s">
        <v>14</v>
      </c>
      <c r="H26" s="1">
        <v>2</v>
      </c>
      <c r="I26" s="1">
        <v>3.2</v>
      </c>
      <c r="J26" s="1">
        <f t="shared" si="2"/>
        <v>2</v>
      </c>
      <c r="K26" s="1" t="s">
        <v>14</v>
      </c>
      <c r="L26" s="1" t="s">
        <v>14</v>
      </c>
      <c r="M26" s="1">
        <v>2</v>
      </c>
      <c r="N26" s="1">
        <v>3.2</v>
      </c>
    </row>
    <row r="27" spans="2:14" x14ac:dyDescent="0.3">
      <c r="C27" t="s">
        <v>10</v>
      </c>
      <c r="D27">
        <f t="shared" si="0"/>
        <v>55</v>
      </c>
      <c r="E27">
        <f t="shared" si="1"/>
        <v>57</v>
      </c>
      <c r="F27" s="1">
        <v>8</v>
      </c>
      <c r="G27" s="1">
        <v>21</v>
      </c>
      <c r="H27" s="1">
        <v>47</v>
      </c>
      <c r="I27" s="1">
        <v>76</v>
      </c>
      <c r="J27" s="1">
        <f t="shared" si="2"/>
        <v>55</v>
      </c>
      <c r="K27" s="1">
        <v>8</v>
      </c>
      <c r="L27" s="1">
        <v>21.1</v>
      </c>
      <c r="M27" s="1">
        <v>49</v>
      </c>
      <c r="N27" s="1">
        <v>79</v>
      </c>
    </row>
    <row r="28" spans="2:14" x14ac:dyDescent="0.3">
      <c r="C28" t="s">
        <v>11</v>
      </c>
      <c r="D28">
        <f t="shared" si="0"/>
        <v>0</v>
      </c>
      <c r="E28">
        <f t="shared" si="1"/>
        <v>0</v>
      </c>
      <c r="F28" s="1" t="s">
        <v>14</v>
      </c>
      <c r="G28" s="1" t="s">
        <v>14</v>
      </c>
      <c r="H28" s="1" t="s">
        <v>14</v>
      </c>
      <c r="I28" s="1" t="s">
        <v>14</v>
      </c>
      <c r="J28" s="1">
        <f t="shared" si="2"/>
        <v>0</v>
      </c>
      <c r="K28" s="1" t="s">
        <v>14</v>
      </c>
      <c r="L28" s="1" t="s">
        <v>14</v>
      </c>
      <c r="M28" s="1" t="s">
        <v>14</v>
      </c>
      <c r="N28" s="1" t="s">
        <v>14</v>
      </c>
    </row>
    <row r="29" spans="2:14" x14ac:dyDescent="0.3">
      <c r="C29" t="s">
        <v>12</v>
      </c>
      <c r="D29">
        <f t="shared" si="0"/>
        <v>14</v>
      </c>
      <c r="E29">
        <f t="shared" si="1"/>
        <v>11</v>
      </c>
      <c r="F29" s="1">
        <v>13</v>
      </c>
      <c r="G29" s="1">
        <v>34</v>
      </c>
      <c r="H29" s="1">
        <v>1</v>
      </c>
      <c r="I29" s="1">
        <v>1.6</v>
      </c>
      <c r="J29" s="1">
        <f t="shared" si="2"/>
        <v>14</v>
      </c>
      <c r="K29" s="1">
        <v>11</v>
      </c>
      <c r="L29" s="1">
        <v>28.9</v>
      </c>
      <c r="M29" s="1" t="s">
        <v>14</v>
      </c>
      <c r="N29" s="1" t="s">
        <v>14</v>
      </c>
    </row>
    <row r="30" spans="2:14" x14ac:dyDescent="0.3">
      <c r="B30" t="s">
        <v>40</v>
      </c>
      <c r="C30" t="s">
        <v>8</v>
      </c>
      <c r="D30">
        <f t="shared" si="0"/>
        <v>9</v>
      </c>
      <c r="E30">
        <f t="shared" si="1"/>
        <v>8</v>
      </c>
      <c r="F30" s="1">
        <v>5</v>
      </c>
      <c r="G30" s="1">
        <v>13</v>
      </c>
      <c r="H30" s="1">
        <v>4</v>
      </c>
      <c r="I30" s="1">
        <v>6.5</v>
      </c>
      <c r="J30" s="1">
        <f t="shared" si="2"/>
        <v>9</v>
      </c>
      <c r="K30" s="1">
        <v>6</v>
      </c>
      <c r="L30" s="1">
        <v>15.8</v>
      </c>
      <c r="M30" s="1">
        <v>2</v>
      </c>
      <c r="N30" s="1">
        <v>3.2</v>
      </c>
    </row>
    <row r="31" spans="2:14" x14ac:dyDescent="0.3">
      <c r="C31" t="s">
        <v>9</v>
      </c>
      <c r="D31">
        <f t="shared" si="0"/>
        <v>4</v>
      </c>
      <c r="E31">
        <f t="shared" si="1"/>
        <v>4</v>
      </c>
      <c r="F31" s="1">
        <v>2</v>
      </c>
      <c r="G31" s="1">
        <v>5.3</v>
      </c>
      <c r="H31" s="1">
        <v>2</v>
      </c>
      <c r="I31" s="1">
        <v>3.2</v>
      </c>
      <c r="J31" s="1">
        <f t="shared" si="2"/>
        <v>4</v>
      </c>
      <c r="K31" s="1">
        <v>1</v>
      </c>
      <c r="L31" s="1">
        <v>2.6</v>
      </c>
      <c r="M31" s="1">
        <v>3</v>
      </c>
      <c r="N31" s="1">
        <v>4.8</v>
      </c>
    </row>
    <row r="32" spans="2:14" x14ac:dyDescent="0.3">
      <c r="C32" t="s">
        <v>10</v>
      </c>
      <c r="D32">
        <f t="shared" si="0"/>
        <v>49</v>
      </c>
      <c r="E32">
        <f t="shared" si="1"/>
        <v>51</v>
      </c>
      <c r="F32" s="1">
        <v>9</v>
      </c>
      <c r="G32" s="1">
        <v>24</v>
      </c>
      <c r="H32" s="1">
        <v>40</v>
      </c>
      <c r="I32" s="1">
        <v>65</v>
      </c>
      <c r="J32" s="1">
        <f t="shared" si="2"/>
        <v>49</v>
      </c>
      <c r="K32" s="1">
        <v>11</v>
      </c>
      <c r="L32" s="1">
        <v>28.9</v>
      </c>
      <c r="M32" s="1">
        <v>40</v>
      </c>
      <c r="N32" s="1">
        <v>64.5</v>
      </c>
    </row>
    <row r="33" spans="2:18" x14ac:dyDescent="0.3">
      <c r="C33" t="s">
        <v>11</v>
      </c>
      <c r="D33">
        <f t="shared" si="0"/>
        <v>0</v>
      </c>
      <c r="E33">
        <f t="shared" si="1"/>
        <v>0</v>
      </c>
      <c r="F33" s="1" t="s">
        <v>14</v>
      </c>
      <c r="G33" s="1" t="s">
        <v>14</v>
      </c>
      <c r="H33" s="1" t="s">
        <v>14</v>
      </c>
      <c r="I33" s="1" t="s">
        <v>14</v>
      </c>
      <c r="J33" s="1">
        <f t="shared" si="2"/>
        <v>0</v>
      </c>
      <c r="K33" s="1" t="s">
        <v>14</v>
      </c>
      <c r="L33" s="1" t="s">
        <v>14</v>
      </c>
      <c r="M33" s="1" t="s">
        <v>14</v>
      </c>
      <c r="N33" s="1" t="s">
        <v>14</v>
      </c>
    </row>
    <row r="34" spans="2:18" x14ac:dyDescent="0.3">
      <c r="C34" t="s">
        <v>12</v>
      </c>
      <c r="D34">
        <f t="shared" si="0"/>
        <v>9</v>
      </c>
      <c r="E34">
        <f t="shared" si="1"/>
        <v>8</v>
      </c>
      <c r="F34" s="1">
        <v>9</v>
      </c>
      <c r="G34" s="1">
        <v>24</v>
      </c>
      <c r="H34" s="1" t="s">
        <v>14</v>
      </c>
      <c r="I34" s="1" t="s">
        <v>14</v>
      </c>
      <c r="J34" s="1">
        <f t="shared" si="2"/>
        <v>9</v>
      </c>
      <c r="K34" s="1">
        <v>8</v>
      </c>
      <c r="L34" s="1">
        <v>21.1</v>
      </c>
      <c r="M34" s="1" t="s">
        <v>14</v>
      </c>
      <c r="N34" s="1" t="s">
        <v>14</v>
      </c>
    </row>
    <row r="35" spans="2:18" x14ac:dyDescent="0.3">
      <c r="B35" t="s">
        <v>41</v>
      </c>
      <c r="C35" t="s">
        <v>8</v>
      </c>
      <c r="D35">
        <f t="shared" si="0"/>
        <v>7</v>
      </c>
      <c r="E35">
        <f t="shared" si="1"/>
        <v>7</v>
      </c>
      <c r="F35" s="1">
        <v>5</v>
      </c>
      <c r="G35" s="1">
        <v>13</v>
      </c>
      <c r="H35" s="1">
        <v>2</v>
      </c>
      <c r="I35" s="1">
        <v>3.2</v>
      </c>
      <c r="J35" s="1">
        <f t="shared" si="2"/>
        <v>7</v>
      </c>
      <c r="K35" s="1">
        <v>5</v>
      </c>
      <c r="L35" s="1">
        <v>13.2</v>
      </c>
      <c r="M35" s="1">
        <v>2</v>
      </c>
      <c r="N35" s="1">
        <v>3.2</v>
      </c>
    </row>
    <row r="36" spans="2:18" x14ac:dyDescent="0.3">
      <c r="C36" t="s">
        <v>9</v>
      </c>
      <c r="D36">
        <f t="shared" si="0"/>
        <v>3</v>
      </c>
      <c r="E36">
        <f t="shared" si="1"/>
        <v>3</v>
      </c>
      <c r="F36" s="1">
        <v>1</v>
      </c>
      <c r="G36" s="1">
        <v>2.6</v>
      </c>
      <c r="H36" s="1">
        <v>2</v>
      </c>
      <c r="I36" s="1">
        <v>3.2</v>
      </c>
      <c r="J36" s="1">
        <f t="shared" si="2"/>
        <v>3</v>
      </c>
      <c r="K36" s="1">
        <v>1</v>
      </c>
      <c r="L36" s="1">
        <v>2.6</v>
      </c>
      <c r="M36" s="1">
        <v>2</v>
      </c>
      <c r="N36" s="1">
        <v>3.2</v>
      </c>
    </row>
    <row r="37" spans="2:18" x14ac:dyDescent="0.3">
      <c r="C37" t="s">
        <v>10</v>
      </c>
      <c r="D37">
        <f t="shared" si="0"/>
        <v>31</v>
      </c>
      <c r="E37">
        <f t="shared" si="1"/>
        <v>31</v>
      </c>
      <c r="F37" s="1">
        <v>6</v>
      </c>
      <c r="G37" s="1">
        <v>16</v>
      </c>
      <c r="H37" s="1">
        <v>25</v>
      </c>
      <c r="I37" s="1">
        <v>40</v>
      </c>
      <c r="J37" s="1">
        <f t="shared" si="2"/>
        <v>31</v>
      </c>
      <c r="K37" s="1">
        <v>6</v>
      </c>
      <c r="L37" s="1">
        <v>15.8</v>
      </c>
      <c r="M37" s="1">
        <v>25</v>
      </c>
      <c r="N37" s="1">
        <v>40.299999999999997</v>
      </c>
    </row>
    <row r="38" spans="2:18" x14ac:dyDescent="0.3">
      <c r="C38" t="s">
        <v>11</v>
      </c>
      <c r="D38">
        <f t="shared" si="0"/>
        <v>0</v>
      </c>
      <c r="E38">
        <f t="shared" si="1"/>
        <v>0</v>
      </c>
      <c r="F38" s="1" t="s">
        <v>14</v>
      </c>
      <c r="G38" s="1" t="s">
        <v>14</v>
      </c>
      <c r="H38" s="1" t="s">
        <v>14</v>
      </c>
      <c r="I38" s="1" t="s">
        <v>14</v>
      </c>
      <c r="J38" s="1">
        <f t="shared" si="2"/>
        <v>0</v>
      </c>
      <c r="K38" s="1" t="s">
        <v>14</v>
      </c>
      <c r="L38" s="1" t="s">
        <v>14</v>
      </c>
      <c r="M38" s="1" t="s">
        <v>14</v>
      </c>
      <c r="N38" s="1" t="s">
        <v>14</v>
      </c>
    </row>
    <row r="39" spans="2:18" x14ac:dyDescent="0.3">
      <c r="C39" t="s">
        <v>12</v>
      </c>
      <c r="D39">
        <f t="shared" si="0"/>
        <v>7</v>
      </c>
      <c r="E39">
        <f t="shared" si="1"/>
        <v>7</v>
      </c>
      <c r="F39" s="1">
        <v>7</v>
      </c>
      <c r="G39" s="1">
        <v>18</v>
      </c>
      <c r="H39" s="1" t="s">
        <v>14</v>
      </c>
      <c r="I39" s="1" t="s">
        <v>14</v>
      </c>
      <c r="J39" s="1">
        <f t="shared" si="2"/>
        <v>7</v>
      </c>
      <c r="K39" s="1">
        <v>7</v>
      </c>
      <c r="L39" s="1">
        <v>18.399999999999999</v>
      </c>
      <c r="M39" s="1" t="s">
        <v>14</v>
      </c>
      <c r="N39" s="1" t="s">
        <v>14</v>
      </c>
    </row>
    <row r="40" spans="2:18" x14ac:dyDescent="0.3">
      <c r="B40" t="s">
        <v>42</v>
      </c>
      <c r="C40" t="s">
        <v>8</v>
      </c>
      <c r="D40">
        <f t="shared" si="0"/>
        <v>4</v>
      </c>
      <c r="E40">
        <f t="shared" si="1"/>
        <v>5</v>
      </c>
      <c r="F40" s="1">
        <v>3</v>
      </c>
      <c r="G40" s="1">
        <v>7.9</v>
      </c>
      <c r="H40" s="1">
        <v>1</v>
      </c>
      <c r="I40" s="1">
        <v>1.6</v>
      </c>
      <c r="J40" s="1">
        <f t="shared" si="2"/>
        <v>4</v>
      </c>
      <c r="K40" s="1">
        <v>3</v>
      </c>
      <c r="L40" s="1">
        <v>7.9</v>
      </c>
      <c r="M40" s="1">
        <v>2</v>
      </c>
      <c r="N40" s="1">
        <v>3.2</v>
      </c>
    </row>
    <row r="41" spans="2:18" x14ac:dyDescent="0.3">
      <c r="C41" t="s">
        <v>9</v>
      </c>
      <c r="D41">
        <f t="shared" si="0"/>
        <v>5</v>
      </c>
      <c r="E41">
        <f t="shared" si="1"/>
        <v>5</v>
      </c>
      <c r="F41" s="1">
        <v>3</v>
      </c>
      <c r="G41" s="1">
        <v>7.9</v>
      </c>
      <c r="H41" s="1">
        <v>2</v>
      </c>
      <c r="I41" s="1">
        <v>3.2</v>
      </c>
      <c r="J41" s="1">
        <f t="shared" si="2"/>
        <v>5</v>
      </c>
      <c r="K41" s="1">
        <v>3</v>
      </c>
      <c r="L41" s="1">
        <v>7.9</v>
      </c>
      <c r="M41" s="1">
        <v>2</v>
      </c>
      <c r="N41" s="1">
        <v>3.2</v>
      </c>
    </row>
    <row r="42" spans="2:18" x14ac:dyDescent="0.3">
      <c r="C42" t="s">
        <v>10</v>
      </c>
      <c r="D42">
        <f t="shared" si="0"/>
        <v>36</v>
      </c>
      <c r="E42">
        <f t="shared" si="1"/>
        <v>35</v>
      </c>
      <c r="F42" s="1">
        <v>6</v>
      </c>
      <c r="G42" s="1">
        <v>16</v>
      </c>
      <c r="H42" s="1">
        <v>30</v>
      </c>
      <c r="I42" s="1">
        <v>48</v>
      </c>
      <c r="J42" s="1">
        <f t="shared" si="2"/>
        <v>36</v>
      </c>
      <c r="K42" s="1">
        <v>6</v>
      </c>
      <c r="L42" s="1">
        <v>15.8</v>
      </c>
      <c r="M42" s="1">
        <v>29</v>
      </c>
      <c r="N42" s="1">
        <v>46.8</v>
      </c>
    </row>
    <row r="43" spans="2:18" x14ac:dyDescent="0.3">
      <c r="C43" t="s">
        <v>11</v>
      </c>
      <c r="D43">
        <f t="shared" si="0"/>
        <v>0</v>
      </c>
      <c r="E43">
        <f t="shared" si="1"/>
        <v>0</v>
      </c>
      <c r="F43" s="1" t="s">
        <v>14</v>
      </c>
      <c r="G43" s="1" t="s">
        <v>14</v>
      </c>
      <c r="H43" s="1" t="s">
        <v>14</v>
      </c>
      <c r="I43" s="1" t="s">
        <v>14</v>
      </c>
      <c r="J43" s="1">
        <f t="shared" si="2"/>
        <v>0</v>
      </c>
      <c r="K43" s="1" t="s">
        <v>14</v>
      </c>
      <c r="L43" s="1" t="s">
        <v>14</v>
      </c>
      <c r="M43" s="1" t="s">
        <v>14</v>
      </c>
      <c r="N43" s="1" t="s">
        <v>14</v>
      </c>
    </row>
    <row r="44" spans="2:18" x14ac:dyDescent="0.3">
      <c r="C44" t="s">
        <v>12</v>
      </c>
      <c r="D44">
        <f t="shared" si="0"/>
        <v>7</v>
      </c>
      <c r="E44">
        <f t="shared" si="1"/>
        <v>7</v>
      </c>
      <c r="F44" s="1">
        <v>7</v>
      </c>
      <c r="G44" s="1">
        <v>18</v>
      </c>
      <c r="H44" s="1" t="s">
        <v>14</v>
      </c>
      <c r="I44" s="1" t="s">
        <v>14</v>
      </c>
      <c r="J44" s="1">
        <f t="shared" si="2"/>
        <v>7</v>
      </c>
      <c r="K44" s="1">
        <v>7</v>
      </c>
      <c r="L44" s="1">
        <v>18.399999999999999</v>
      </c>
      <c r="M44" s="1" t="s">
        <v>14</v>
      </c>
      <c r="N44" s="1" t="s">
        <v>14</v>
      </c>
    </row>
    <row r="45" spans="2:18" x14ac:dyDescent="0.3">
      <c r="B45" t="s">
        <v>43</v>
      </c>
      <c r="C45" t="s">
        <v>8</v>
      </c>
      <c r="D45">
        <f t="shared" si="0"/>
        <v>22</v>
      </c>
      <c r="E45">
        <f t="shared" si="1"/>
        <v>25</v>
      </c>
      <c r="F45" s="1">
        <v>13</v>
      </c>
      <c r="G45" s="1">
        <v>34</v>
      </c>
      <c r="H45" s="1">
        <v>9</v>
      </c>
      <c r="I45" s="1">
        <v>15</v>
      </c>
      <c r="J45" s="1">
        <f t="shared" si="2"/>
        <v>22</v>
      </c>
      <c r="K45" s="1">
        <v>16</v>
      </c>
      <c r="L45" s="1">
        <v>42.1</v>
      </c>
      <c r="M45" s="1">
        <v>9</v>
      </c>
      <c r="N45" s="1">
        <v>14.5</v>
      </c>
    </row>
    <row r="46" spans="2:18" x14ac:dyDescent="0.3">
      <c r="C46" t="s">
        <v>9</v>
      </c>
      <c r="D46">
        <f t="shared" si="0"/>
        <v>1</v>
      </c>
      <c r="E46">
        <f t="shared" si="1"/>
        <v>0</v>
      </c>
      <c r="F46" s="1">
        <v>1</v>
      </c>
      <c r="G46" s="1">
        <v>2.6</v>
      </c>
      <c r="H46" s="1" t="s">
        <v>14</v>
      </c>
      <c r="I46" s="1" t="s">
        <v>14</v>
      </c>
      <c r="J46" s="1">
        <f t="shared" si="2"/>
        <v>1</v>
      </c>
      <c r="K46" s="1" t="s">
        <v>14</v>
      </c>
      <c r="L46" s="1" t="s">
        <v>14</v>
      </c>
      <c r="M46" s="1" t="s">
        <v>14</v>
      </c>
      <c r="N46" s="1" t="s">
        <v>14</v>
      </c>
    </row>
    <row r="47" spans="2:18" x14ac:dyDescent="0.3">
      <c r="C47" t="s">
        <v>10</v>
      </c>
      <c r="D47">
        <f t="shared" si="0"/>
        <v>58</v>
      </c>
      <c r="E47">
        <f t="shared" si="1"/>
        <v>61</v>
      </c>
      <c r="F47" s="1">
        <v>8</v>
      </c>
      <c r="G47" s="1">
        <v>21</v>
      </c>
      <c r="H47" s="1">
        <v>50</v>
      </c>
      <c r="I47" s="1">
        <v>81</v>
      </c>
      <c r="J47" s="1">
        <f t="shared" si="2"/>
        <v>58</v>
      </c>
      <c r="K47" s="1">
        <v>9</v>
      </c>
      <c r="L47" s="1">
        <v>23.7</v>
      </c>
      <c r="M47" s="1">
        <v>52</v>
      </c>
      <c r="N47" s="1">
        <v>83.9</v>
      </c>
    </row>
    <row r="48" spans="2:18" x14ac:dyDescent="0.3">
      <c r="C48" t="s">
        <v>11</v>
      </c>
      <c r="D48">
        <f t="shared" si="0"/>
        <v>2</v>
      </c>
      <c r="E48">
        <f t="shared" si="1"/>
        <v>3</v>
      </c>
      <c r="F48" s="1">
        <v>1</v>
      </c>
      <c r="G48" s="1">
        <v>2.6</v>
      </c>
      <c r="H48" s="1">
        <v>1</v>
      </c>
      <c r="I48" s="1">
        <v>1.6</v>
      </c>
      <c r="J48" s="1">
        <f t="shared" si="2"/>
        <v>2</v>
      </c>
      <c r="K48" s="1">
        <v>2</v>
      </c>
      <c r="L48" s="1">
        <v>5.3</v>
      </c>
      <c r="M48" s="1">
        <v>1</v>
      </c>
      <c r="N48" s="1">
        <v>1.6</v>
      </c>
      <c r="R48" s="1"/>
    </row>
    <row r="49" spans="2:18" x14ac:dyDescent="0.3">
      <c r="C49" t="s">
        <v>12</v>
      </c>
      <c r="D49">
        <f t="shared" si="0"/>
        <v>15</v>
      </c>
      <c r="E49">
        <f t="shared" si="1"/>
        <v>11</v>
      </c>
      <c r="F49" s="1">
        <v>14</v>
      </c>
      <c r="G49" s="1">
        <v>37</v>
      </c>
      <c r="H49" s="1">
        <v>1</v>
      </c>
      <c r="I49" s="1">
        <v>1.6</v>
      </c>
      <c r="J49" s="1">
        <f t="shared" si="2"/>
        <v>15</v>
      </c>
      <c r="K49" s="1">
        <v>11</v>
      </c>
      <c r="L49" s="1">
        <v>28.9</v>
      </c>
      <c r="M49" s="1" t="s">
        <v>14</v>
      </c>
      <c r="N49" s="1" t="s">
        <v>14</v>
      </c>
      <c r="R49" s="1"/>
    </row>
    <row r="50" spans="2:18" x14ac:dyDescent="0.3">
      <c r="B50" t="s">
        <v>44</v>
      </c>
      <c r="C50" t="s">
        <v>8</v>
      </c>
      <c r="D50">
        <f t="shared" si="0"/>
        <v>17</v>
      </c>
      <c r="E50">
        <f t="shared" si="1"/>
        <v>14</v>
      </c>
      <c r="F50" s="1">
        <v>12</v>
      </c>
      <c r="G50" s="1">
        <v>32</v>
      </c>
      <c r="H50" s="1">
        <v>5</v>
      </c>
      <c r="I50" s="1">
        <v>8.1</v>
      </c>
      <c r="J50" s="1">
        <f t="shared" si="2"/>
        <v>17</v>
      </c>
      <c r="K50" s="1">
        <v>11</v>
      </c>
      <c r="L50" s="1">
        <v>28.9</v>
      </c>
      <c r="M50" s="1">
        <v>3</v>
      </c>
      <c r="N50" s="1">
        <v>4.8</v>
      </c>
      <c r="R50" s="1"/>
    </row>
    <row r="51" spans="2:18" x14ac:dyDescent="0.3">
      <c r="C51" t="s">
        <v>9</v>
      </c>
      <c r="D51">
        <f t="shared" si="0"/>
        <v>6</v>
      </c>
      <c r="E51">
        <f t="shared" si="1"/>
        <v>6</v>
      </c>
      <c r="F51" s="1">
        <v>3</v>
      </c>
      <c r="G51" s="1">
        <v>7.9</v>
      </c>
      <c r="H51" s="1">
        <v>3</v>
      </c>
      <c r="I51" s="1">
        <v>4.8</v>
      </c>
      <c r="J51" s="1">
        <f t="shared" si="2"/>
        <v>6</v>
      </c>
      <c r="K51" s="1">
        <v>3</v>
      </c>
      <c r="L51" s="1">
        <v>7.9</v>
      </c>
      <c r="M51" s="1">
        <v>3</v>
      </c>
      <c r="N51" s="1">
        <v>4.8</v>
      </c>
      <c r="R51" s="1"/>
    </row>
    <row r="52" spans="2:18" x14ac:dyDescent="0.3">
      <c r="C52" t="s">
        <v>10</v>
      </c>
      <c r="D52">
        <f t="shared" si="0"/>
        <v>63</v>
      </c>
      <c r="E52">
        <f t="shared" si="1"/>
        <v>67</v>
      </c>
      <c r="F52" s="1">
        <v>10</v>
      </c>
      <c r="G52" s="1">
        <v>26</v>
      </c>
      <c r="H52" s="1">
        <v>53</v>
      </c>
      <c r="I52" s="1">
        <v>86</v>
      </c>
      <c r="J52" s="1">
        <f t="shared" si="2"/>
        <v>63</v>
      </c>
      <c r="K52" s="1">
        <v>12</v>
      </c>
      <c r="L52" s="1">
        <v>31.6</v>
      </c>
      <c r="M52" s="1">
        <v>55</v>
      </c>
      <c r="N52" s="1">
        <v>88.7</v>
      </c>
      <c r="R52" s="1"/>
    </row>
    <row r="53" spans="2:18" x14ac:dyDescent="0.3">
      <c r="C53" t="s">
        <v>11</v>
      </c>
      <c r="D53">
        <f t="shared" si="0"/>
        <v>0</v>
      </c>
      <c r="E53">
        <f t="shared" si="1"/>
        <v>0</v>
      </c>
      <c r="F53" s="1" t="s">
        <v>14</v>
      </c>
      <c r="G53" s="1" t="s">
        <v>14</v>
      </c>
      <c r="H53" s="1" t="s">
        <v>14</v>
      </c>
      <c r="I53" s="1" t="s">
        <v>14</v>
      </c>
      <c r="J53" s="1">
        <f t="shared" si="2"/>
        <v>0</v>
      </c>
      <c r="K53" s="1" t="s">
        <v>14</v>
      </c>
      <c r="L53" s="1" t="s">
        <v>14</v>
      </c>
      <c r="M53" s="1" t="s">
        <v>14</v>
      </c>
      <c r="N53" s="1" t="s">
        <v>14</v>
      </c>
      <c r="R53" s="1"/>
    </row>
    <row r="54" spans="2:18" x14ac:dyDescent="0.3">
      <c r="C54" t="s">
        <v>12</v>
      </c>
      <c r="D54">
        <f t="shared" si="0"/>
        <v>14</v>
      </c>
      <c r="E54">
        <f t="shared" si="1"/>
        <v>12</v>
      </c>
      <c r="F54" s="1">
        <v>13</v>
      </c>
      <c r="G54" s="1">
        <v>34</v>
      </c>
      <c r="H54" s="1">
        <v>1</v>
      </c>
      <c r="I54" s="1">
        <v>1.6</v>
      </c>
      <c r="J54" s="1">
        <f t="shared" si="2"/>
        <v>14</v>
      </c>
      <c r="K54" s="1">
        <v>12</v>
      </c>
      <c r="L54" s="1">
        <v>31.6</v>
      </c>
      <c r="M54" s="1" t="s">
        <v>14</v>
      </c>
      <c r="N54" s="1" t="s">
        <v>14</v>
      </c>
      <c r="R54" s="1"/>
    </row>
    <row r="55" spans="2:18" x14ac:dyDescent="0.3">
      <c r="B55" t="s">
        <v>45</v>
      </c>
      <c r="C55" t="s">
        <v>8</v>
      </c>
      <c r="D55">
        <f t="shared" si="0"/>
        <v>13</v>
      </c>
      <c r="E55">
        <f t="shared" si="1"/>
        <v>11</v>
      </c>
      <c r="F55" s="1">
        <v>10</v>
      </c>
      <c r="G55" s="1">
        <v>26</v>
      </c>
      <c r="H55" s="1">
        <v>3</v>
      </c>
      <c r="I55" s="1">
        <v>4.8</v>
      </c>
      <c r="J55" s="1">
        <f t="shared" si="2"/>
        <v>13</v>
      </c>
      <c r="K55" s="1">
        <v>9</v>
      </c>
      <c r="L55" s="1">
        <v>23.7</v>
      </c>
      <c r="M55" s="1">
        <v>2</v>
      </c>
      <c r="N55" s="1">
        <v>3.2</v>
      </c>
      <c r="R55" s="1"/>
    </row>
    <row r="56" spans="2:18" x14ac:dyDescent="0.3">
      <c r="C56" t="s">
        <v>9</v>
      </c>
      <c r="D56">
        <f t="shared" si="0"/>
        <v>4</v>
      </c>
      <c r="E56">
        <f t="shared" si="1"/>
        <v>5</v>
      </c>
      <c r="F56" s="1">
        <v>2</v>
      </c>
      <c r="G56" s="1">
        <v>5.3</v>
      </c>
      <c r="H56" s="1">
        <v>2</v>
      </c>
      <c r="I56" s="1">
        <v>3.2</v>
      </c>
      <c r="J56" s="1">
        <f t="shared" si="2"/>
        <v>4</v>
      </c>
      <c r="K56" s="1">
        <v>1</v>
      </c>
      <c r="L56" s="1">
        <v>2.6</v>
      </c>
      <c r="M56" s="1">
        <v>4</v>
      </c>
      <c r="N56" s="1">
        <v>6.5</v>
      </c>
    </row>
    <row r="57" spans="2:18" x14ac:dyDescent="0.3">
      <c r="C57" t="s">
        <v>10</v>
      </c>
      <c r="D57">
        <f t="shared" si="0"/>
        <v>49</v>
      </c>
      <c r="E57">
        <f t="shared" si="1"/>
        <v>49</v>
      </c>
      <c r="F57" s="1">
        <v>6</v>
      </c>
      <c r="G57" s="1">
        <v>16</v>
      </c>
      <c r="H57" s="1">
        <v>43</v>
      </c>
      <c r="I57" s="1">
        <v>69</v>
      </c>
      <c r="J57" s="1">
        <f t="shared" si="2"/>
        <v>49</v>
      </c>
      <c r="K57" s="1">
        <v>8</v>
      </c>
      <c r="L57" s="1">
        <v>21.1</v>
      </c>
      <c r="M57" s="1">
        <v>41</v>
      </c>
      <c r="N57" s="1">
        <v>66.099999999999994</v>
      </c>
    </row>
    <row r="58" spans="2:18" x14ac:dyDescent="0.3">
      <c r="C58" t="s">
        <v>11</v>
      </c>
      <c r="D58">
        <f t="shared" si="0"/>
        <v>0</v>
      </c>
      <c r="E58">
        <f t="shared" si="1"/>
        <v>0</v>
      </c>
      <c r="F58" s="1" t="s">
        <v>14</v>
      </c>
      <c r="G58" s="1" t="s">
        <v>14</v>
      </c>
      <c r="H58" s="1" t="s">
        <v>14</v>
      </c>
      <c r="I58" s="1" t="s">
        <v>14</v>
      </c>
      <c r="J58" s="1">
        <f t="shared" si="2"/>
        <v>0</v>
      </c>
      <c r="K58" s="1" t="s">
        <v>14</v>
      </c>
      <c r="L58" s="1" t="s">
        <v>14</v>
      </c>
      <c r="M58" s="1" t="s">
        <v>14</v>
      </c>
      <c r="N58" s="1" t="s">
        <v>14</v>
      </c>
    </row>
    <row r="59" spans="2:18" x14ac:dyDescent="0.3">
      <c r="C59" t="s">
        <v>12</v>
      </c>
      <c r="D59">
        <f t="shared" si="0"/>
        <v>9</v>
      </c>
      <c r="E59">
        <f t="shared" si="1"/>
        <v>9</v>
      </c>
      <c r="F59" s="1">
        <v>9</v>
      </c>
      <c r="G59" s="1">
        <v>24</v>
      </c>
      <c r="H59" s="1" t="s">
        <v>46</v>
      </c>
      <c r="J59" s="1">
        <f t="shared" si="2"/>
        <v>9</v>
      </c>
      <c r="K59" s="1">
        <v>9</v>
      </c>
      <c r="L59" s="1">
        <v>23.7</v>
      </c>
      <c r="M59" s="1" t="s">
        <v>14</v>
      </c>
      <c r="N59" s="1" t="s">
        <v>14</v>
      </c>
    </row>
    <row r="60" spans="2:18" x14ac:dyDescent="0.3">
      <c r="B60" t="s">
        <v>47</v>
      </c>
      <c r="C60" t="s">
        <v>8</v>
      </c>
      <c r="D60">
        <f t="shared" si="0"/>
        <v>13</v>
      </c>
      <c r="E60">
        <f t="shared" si="1"/>
        <v>14</v>
      </c>
      <c r="F60" s="1">
        <v>9</v>
      </c>
      <c r="G60" s="1">
        <v>24</v>
      </c>
      <c r="H60" s="1">
        <v>4</v>
      </c>
      <c r="I60" s="1">
        <v>6.5</v>
      </c>
      <c r="J60" s="1">
        <f t="shared" si="2"/>
        <v>13</v>
      </c>
      <c r="K60" s="1">
        <v>13</v>
      </c>
      <c r="L60" s="1">
        <v>34.200000000000003</v>
      </c>
      <c r="M60" s="1">
        <v>1</v>
      </c>
      <c r="N60" s="1">
        <v>1.6</v>
      </c>
    </row>
    <row r="61" spans="2:18" x14ac:dyDescent="0.3">
      <c r="C61" t="s">
        <v>9</v>
      </c>
      <c r="D61">
        <f t="shared" si="0"/>
        <v>5</v>
      </c>
      <c r="E61">
        <f t="shared" si="1"/>
        <v>7</v>
      </c>
      <c r="F61" s="1">
        <v>2</v>
      </c>
      <c r="G61" s="1">
        <v>5.3</v>
      </c>
      <c r="H61" s="1">
        <v>3</v>
      </c>
      <c r="I61" s="1">
        <v>4.8</v>
      </c>
      <c r="J61" s="1">
        <f t="shared" si="2"/>
        <v>5</v>
      </c>
      <c r="K61" s="1">
        <v>6</v>
      </c>
      <c r="L61" s="1">
        <v>15.8</v>
      </c>
      <c r="M61" s="1">
        <v>1</v>
      </c>
      <c r="N61" s="1">
        <v>1.6</v>
      </c>
    </row>
    <row r="62" spans="2:18" x14ac:dyDescent="0.3">
      <c r="C62" t="s">
        <v>10</v>
      </c>
      <c r="D62">
        <f t="shared" si="0"/>
        <v>68</v>
      </c>
      <c r="E62">
        <f t="shared" si="1"/>
        <v>7</v>
      </c>
      <c r="F62" s="1">
        <v>14</v>
      </c>
      <c r="G62" s="1">
        <v>37</v>
      </c>
      <c r="H62" s="1">
        <v>54</v>
      </c>
      <c r="I62" s="1">
        <v>87</v>
      </c>
      <c r="J62" s="1">
        <f t="shared" si="2"/>
        <v>68</v>
      </c>
      <c r="K62" s="1">
        <v>3</v>
      </c>
      <c r="L62" s="1">
        <v>7.9</v>
      </c>
      <c r="M62" s="1">
        <v>4</v>
      </c>
      <c r="N62" s="1">
        <v>6.5</v>
      </c>
    </row>
    <row r="63" spans="2:18" x14ac:dyDescent="0.3">
      <c r="C63" t="s">
        <v>11</v>
      </c>
      <c r="D63">
        <f t="shared" si="0"/>
        <v>0</v>
      </c>
      <c r="E63">
        <f t="shared" si="1"/>
        <v>75</v>
      </c>
      <c r="F63" s="1" t="s">
        <v>14</v>
      </c>
      <c r="G63" s="1" t="s">
        <v>14</v>
      </c>
      <c r="H63" s="1" t="s">
        <v>14</v>
      </c>
      <c r="I63" s="1" t="s">
        <v>14</v>
      </c>
      <c r="J63" s="1">
        <f t="shared" si="2"/>
        <v>0</v>
      </c>
      <c r="K63" s="1">
        <v>18</v>
      </c>
      <c r="L63" s="1">
        <v>47.4</v>
      </c>
      <c r="M63" s="1">
        <v>57</v>
      </c>
      <c r="N63" s="1">
        <v>91.9</v>
      </c>
    </row>
    <row r="64" spans="2:18" x14ac:dyDescent="0.3">
      <c r="C64" t="s">
        <v>12</v>
      </c>
      <c r="D64">
        <f t="shared" si="0"/>
        <v>14</v>
      </c>
      <c r="E64">
        <f t="shared" si="1"/>
        <v>0</v>
      </c>
      <c r="F64" s="1">
        <v>13</v>
      </c>
      <c r="G64" s="1">
        <v>34</v>
      </c>
      <c r="H64" s="1">
        <v>1</v>
      </c>
      <c r="I64" s="1">
        <v>1.6</v>
      </c>
      <c r="J64" s="1">
        <f t="shared" si="2"/>
        <v>14</v>
      </c>
      <c r="K64" s="1" t="s">
        <v>14</v>
      </c>
      <c r="L64" s="1" t="s">
        <v>14</v>
      </c>
      <c r="M64" s="1" t="s">
        <v>14</v>
      </c>
      <c r="N64" s="1" t="s">
        <v>14</v>
      </c>
    </row>
    <row r="65" spans="2:14" x14ac:dyDescent="0.3">
      <c r="B65" t="s">
        <v>48</v>
      </c>
      <c r="C65" t="s">
        <v>8</v>
      </c>
      <c r="D65">
        <f t="shared" si="0"/>
        <v>13</v>
      </c>
      <c r="E65">
        <f t="shared" si="1"/>
        <v>7</v>
      </c>
      <c r="F65" s="1">
        <v>9</v>
      </c>
      <c r="G65" s="1">
        <v>24</v>
      </c>
      <c r="H65" s="1">
        <v>4</v>
      </c>
      <c r="I65" s="1">
        <v>6.5</v>
      </c>
      <c r="J65" s="1">
        <f t="shared" si="2"/>
        <v>13</v>
      </c>
      <c r="K65" s="1">
        <v>6</v>
      </c>
      <c r="L65" s="1">
        <v>15.8</v>
      </c>
      <c r="M65" s="1">
        <v>1</v>
      </c>
      <c r="N65" s="1">
        <v>1.6</v>
      </c>
    </row>
    <row r="66" spans="2:14" x14ac:dyDescent="0.3">
      <c r="C66" t="s">
        <v>9</v>
      </c>
      <c r="D66">
        <f t="shared" si="0"/>
        <v>6</v>
      </c>
      <c r="E66">
        <f t="shared" si="1"/>
        <v>7</v>
      </c>
      <c r="F66" s="1">
        <v>3</v>
      </c>
      <c r="G66" s="1">
        <v>7.9</v>
      </c>
      <c r="H66" s="1">
        <v>3</v>
      </c>
      <c r="I66" s="1">
        <v>4.8</v>
      </c>
      <c r="J66" s="1">
        <f t="shared" si="2"/>
        <v>6</v>
      </c>
      <c r="K66" s="1">
        <v>3</v>
      </c>
      <c r="L66" s="1">
        <v>7.9</v>
      </c>
      <c r="M66" s="1">
        <v>4</v>
      </c>
      <c r="N66" s="1">
        <v>6.5</v>
      </c>
    </row>
    <row r="67" spans="2:14" x14ac:dyDescent="0.3">
      <c r="C67" t="s">
        <v>10</v>
      </c>
      <c r="D67">
        <f t="shared" si="0"/>
        <v>67</v>
      </c>
      <c r="E67">
        <f t="shared" si="1"/>
        <v>75</v>
      </c>
      <c r="F67" s="1">
        <v>13</v>
      </c>
      <c r="G67" s="1">
        <v>34</v>
      </c>
      <c r="H67" s="1">
        <v>54</v>
      </c>
      <c r="I67" s="1">
        <v>87</v>
      </c>
      <c r="J67" s="1">
        <f t="shared" si="2"/>
        <v>67</v>
      </c>
      <c r="K67" s="1">
        <v>18</v>
      </c>
      <c r="L67" s="1">
        <v>47.4</v>
      </c>
      <c r="M67" s="1">
        <v>57</v>
      </c>
      <c r="N67" s="1">
        <v>91.9</v>
      </c>
    </row>
    <row r="68" spans="2:14" x14ac:dyDescent="0.3">
      <c r="C68" t="s">
        <v>11</v>
      </c>
      <c r="D68">
        <f t="shared" si="0"/>
        <v>0</v>
      </c>
      <c r="E68">
        <f t="shared" si="1"/>
        <v>0</v>
      </c>
      <c r="F68" s="1" t="s">
        <v>14</v>
      </c>
      <c r="G68" s="1" t="s">
        <v>14</v>
      </c>
      <c r="H68" s="1" t="s">
        <v>14</v>
      </c>
      <c r="I68" s="1" t="s">
        <v>14</v>
      </c>
      <c r="J68" s="1">
        <f t="shared" si="2"/>
        <v>0</v>
      </c>
      <c r="K68" s="1" t="s">
        <v>14</v>
      </c>
      <c r="L68" s="1" t="s">
        <v>14</v>
      </c>
      <c r="M68" s="1" t="s">
        <v>14</v>
      </c>
      <c r="N68" s="1" t="s">
        <v>14</v>
      </c>
    </row>
    <row r="69" spans="2:14" x14ac:dyDescent="0.3">
      <c r="C69" t="s">
        <v>12</v>
      </c>
      <c r="D69">
        <f t="shared" si="0"/>
        <v>14</v>
      </c>
      <c r="E69">
        <f t="shared" si="1"/>
        <v>11</v>
      </c>
      <c r="F69" s="1">
        <v>13</v>
      </c>
      <c r="G69" s="1">
        <v>34</v>
      </c>
      <c r="H69" s="1">
        <v>1</v>
      </c>
      <c r="I69" s="1">
        <v>1.6</v>
      </c>
      <c r="J69" s="1">
        <f t="shared" si="2"/>
        <v>14</v>
      </c>
      <c r="K69" s="1">
        <v>11</v>
      </c>
      <c r="L69" s="1">
        <v>28.9</v>
      </c>
      <c r="M69" s="1" t="s">
        <v>14</v>
      </c>
      <c r="N69" s="1" t="s">
        <v>14</v>
      </c>
    </row>
    <row r="70" spans="2:14" x14ac:dyDescent="0.3">
      <c r="B70" t="s">
        <v>49</v>
      </c>
      <c r="C70" t="s">
        <v>8</v>
      </c>
      <c r="D70">
        <f t="shared" ref="D70:D104" si="3">SUM(F70,H70)</f>
        <v>27</v>
      </c>
      <c r="E70">
        <f t="shared" ref="E70:E104" si="4">SUM(K70,M70)</f>
        <v>34</v>
      </c>
      <c r="F70" s="1">
        <v>16</v>
      </c>
      <c r="G70" s="1">
        <v>42</v>
      </c>
      <c r="H70" s="1">
        <v>11</v>
      </c>
      <c r="I70" s="1">
        <v>18</v>
      </c>
      <c r="J70" s="1">
        <f t="shared" ref="J70:J104" si="5">SUM(F70,H70)</f>
        <v>27</v>
      </c>
      <c r="K70" s="1">
        <v>18</v>
      </c>
      <c r="L70" s="1">
        <v>47.4</v>
      </c>
      <c r="M70" s="1">
        <v>16</v>
      </c>
      <c r="N70" s="1">
        <v>25.8</v>
      </c>
    </row>
    <row r="71" spans="2:14" x14ac:dyDescent="0.3">
      <c r="C71" t="s">
        <v>9</v>
      </c>
      <c r="D71">
        <f t="shared" si="3"/>
        <v>3</v>
      </c>
      <c r="E71">
        <f t="shared" si="4"/>
        <v>2</v>
      </c>
      <c r="F71" s="1">
        <v>1</v>
      </c>
      <c r="G71" s="1">
        <v>2.6</v>
      </c>
      <c r="H71" s="1">
        <v>2</v>
      </c>
      <c r="I71" s="1">
        <v>3.2</v>
      </c>
      <c r="J71" s="1">
        <f t="shared" si="5"/>
        <v>3</v>
      </c>
      <c r="K71" s="1">
        <v>1</v>
      </c>
      <c r="L71" s="1">
        <v>2.6</v>
      </c>
      <c r="M71" s="1">
        <v>1</v>
      </c>
      <c r="N71" s="1">
        <v>1.6</v>
      </c>
    </row>
    <row r="72" spans="2:14" x14ac:dyDescent="0.3">
      <c r="C72" t="s">
        <v>10</v>
      </c>
      <c r="D72">
        <f t="shared" si="3"/>
        <v>56</v>
      </c>
      <c r="E72">
        <f t="shared" si="4"/>
        <v>52</v>
      </c>
      <c r="F72" s="1">
        <v>8</v>
      </c>
      <c r="G72" s="1">
        <v>21</v>
      </c>
      <c r="H72" s="1">
        <v>48</v>
      </c>
      <c r="I72" s="1">
        <v>77</v>
      </c>
      <c r="J72" s="1">
        <f t="shared" si="5"/>
        <v>56</v>
      </c>
      <c r="K72" s="1">
        <v>7</v>
      </c>
      <c r="L72" s="1">
        <v>18.399999999999999</v>
      </c>
      <c r="M72" s="1">
        <v>45</v>
      </c>
      <c r="N72" s="1">
        <v>72.599999999999994</v>
      </c>
    </row>
    <row r="73" spans="2:14" x14ac:dyDescent="0.3">
      <c r="C73" t="s">
        <v>11</v>
      </c>
      <c r="D73">
        <f t="shared" si="3"/>
        <v>0</v>
      </c>
      <c r="E73">
        <f t="shared" si="4"/>
        <v>0</v>
      </c>
      <c r="F73" s="1" t="s">
        <v>14</v>
      </c>
      <c r="G73" s="1" t="s">
        <v>14</v>
      </c>
      <c r="H73" s="1" t="s">
        <v>14</v>
      </c>
      <c r="I73" s="1" t="s">
        <v>14</v>
      </c>
      <c r="J73" s="1">
        <f t="shared" si="5"/>
        <v>0</v>
      </c>
      <c r="K73" s="1" t="s">
        <v>14</v>
      </c>
      <c r="L73" s="1" t="s">
        <v>14</v>
      </c>
      <c r="M73" s="1" t="s">
        <v>14</v>
      </c>
      <c r="N73" s="1" t="s">
        <v>14</v>
      </c>
    </row>
    <row r="74" spans="2:14" x14ac:dyDescent="0.3">
      <c r="C74" t="s">
        <v>12</v>
      </c>
      <c r="D74">
        <f t="shared" si="3"/>
        <v>14</v>
      </c>
      <c r="E74">
        <f t="shared" si="4"/>
        <v>12</v>
      </c>
      <c r="F74" s="1">
        <v>13</v>
      </c>
      <c r="G74" s="1">
        <v>34</v>
      </c>
      <c r="H74" s="1">
        <v>1</v>
      </c>
      <c r="I74" s="1">
        <v>1.6</v>
      </c>
      <c r="J74" s="1">
        <f t="shared" si="5"/>
        <v>14</v>
      </c>
      <c r="K74" s="1">
        <v>12</v>
      </c>
      <c r="L74" s="1">
        <v>31.6</v>
      </c>
      <c r="M74" s="1" t="s">
        <v>14</v>
      </c>
      <c r="N74" s="1" t="s">
        <v>14</v>
      </c>
    </row>
    <row r="75" spans="2:14" x14ac:dyDescent="0.3">
      <c r="B75" t="s">
        <v>50</v>
      </c>
      <c r="C75" t="s">
        <v>8</v>
      </c>
      <c r="D75">
        <f t="shared" si="3"/>
        <v>29</v>
      </c>
      <c r="E75">
        <f t="shared" si="4"/>
        <v>28</v>
      </c>
      <c r="F75" s="1">
        <v>17</v>
      </c>
      <c r="G75" s="1">
        <v>45</v>
      </c>
      <c r="H75" s="1">
        <v>12</v>
      </c>
      <c r="I75" s="1">
        <v>19</v>
      </c>
      <c r="J75" s="1">
        <f t="shared" si="5"/>
        <v>29</v>
      </c>
      <c r="K75" s="1">
        <v>18</v>
      </c>
      <c r="L75" s="1">
        <v>47.4</v>
      </c>
      <c r="M75" s="1">
        <v>10</v>
      </c>
      <c r="N75" s="1">
        <v>16.100000000000001</v>
      </c>
    </row>
    <row r="76" spans="2:14" x14ac:dyDescent="0.3">
      <c r="C76" t="s">
        <v>9</v>
      </c>
      <c r="D76">
        <f t="shared" si="3"/>
        <v>1</v>
      </c>
      <c r="E76">
        <f t="shared" si="4"/>
        <v>1</v>
      </c>
      <c r="F76" s="1" t="s">
        <v>14</v>
      </c>
      <c r="G76" s="1" t="s">
        <v>14</v>
      </c>
      <c r="H76" s="1">
        <v>1</v>
      </c>
      <c r="I76" s="1">
        <v>1.6</v>
      </c>
      <c r="J76" s="1">
        <f t="shared" si="5"/>
        <v>1</v>
      </c>
      <c r="K76" s="1" t="s">
        <v>14</v>
      </c>
      <c r="L76" s="1" t="s">
        <v>14</v>
      </c>
      <c r="M76" s="1">
        <v>1</v>
      </c>
      <c r="N76" s="1">
        <v>1.6</v>
      </c>
    </row>
    <row r="77" spans="2:14" x14ac:dyDescent="0.3">
      <c r="C77" t="s">
        <v>10</v>
      </c>
      <c r="D77">
        <f t="shared" si="3"/>
        <v>55</v>
      </c>
      <c r="E77">
        <f t="shared" si="4"/>
        <v>59</v>
      </c>
      <c r="F77" s="1">
        <v>8</v>
      </c>
      <c r="G77" s="1">
        <v>21</v>
      </c>
      <c r="H77" s="1">
        <v>47</v>
      </c>
      <c r="I77" s="1">
        <v>76</v>
      </c>
      <c r="J77" s="1">
        <f t="shared" si="5"/>
        <v>55</v>
      </c>
      <c r="K77" s="1">
        <v>9</v>
      </c>
      <c r="L77" s="1">
        <v>23.7</v>
      </c>
      <c r="M77" s="1">
        <v>50</v>
      </c>
      <c r="N77" s="1">
        <v>80.599999999999994</v>
      </c>
    </row>
    <row r="78" spans="2:14" x14ac:dyDescent="0.3">
      <c r="C78" t="s">
        <v>11</v>
      </c>
      <c r="D78">
        <f t="shared" si="3"/>
        <v>0</v>
      </c>
      <c r="E78">
        <f t="shared" si="4"/>
        <v>0</v>
      </c>
      <c r="F78" s="1" t="s">
        <v>14</v>
      </c>
      <c r="G78" s="1" t="s">
        <v>14</v>
      </c>
      <c r="H78" s="1" t="s">
        <v>14</v>
      </c>
      <c r="I78" s="1" t="s">
        <v>14</v>
      </c>
      <c r="J78" s="1">
        <f t="shared" si="5"/>
        <v>0</v>
      </c>
      <c r="K78" s="1" t="s">
        <v>14</v>
      </c>
      <c r="L78" s="1" t="s">
        <v>14</v>
      </c>
      <c r="M78" s="1" t="s">
        <v>14</v>
      </c>
      <c r="N78" s="1" t="s">
        <v>14</v>
      </c>
    </row>
    <row r="79" spans="2:14" x14ac:dyDescent="0.3">
      <c r="C79" t="s">
        <v>12</v>
      </c>
      <c r="D79">
        <f t="shared" si="3"/>
        <v>14</v>
      </c>
      <c r="E79">
        <f t="shared" si="4"/>
        <v>11</v>
      </c>
      <c r="F79" s="1">
        <v>13</v>
      </c>
      <c r="G79" s="1">
        <v>34</v>
      </c>
      <c r="H79" s="1">
        <v>1</v>
      </c>
      <c r="I79" s="1">
        <v>1.6</v>
      </c>
      <c r="J79" s="1">
        <f t="shared" si="5"/>
        <v>14</v>
      </c>
      <c r="K79" s="1">
        <v>11</v>
      </c>
      <c r="L79" s="1">
        <v>28.9</v>
      </c>
      <c r="M79" s="1" t="s">
        <v>14</v>
      </c>
      <c r="N79" s="1" t="s">
        <v>14</v>
      </c>
    </row>
    <row r="80" spans="2:14" x14ac:dyDescent="0.3">
      <c r="B80" t="s">
        <v>51</v>
      </c>
      <c r="C80" t="s">
        <v>8</v>
      </c>
      <c r="D80">
        <f t="shared" si="3"/>
        <v>26</v>
      </c>
      <c r="E80">
        <f t="shared" si="4"/>
        <v>25</v>
      </c>
      <c r="F80" s="1">
        <v>15</v>
      </c>
      <c r="G80" s="1">
        <v>40</v>
      </c>
      <c r="H80" s="1">
        <v>11</v>
      </c>
      <c r="I80" s="1">
        <v>18</v>
      </c>
      <c r="J80" s="1">
        <f t="shared" si="5"/>
        <v>26</v>
      </c>
      <c r="K80" s="1">
        <v>14</v>
      </c>
      <c r="L80" s="1">
        <v>36.799999999999997</v>
      </c>
      <c r="M80" s="1">
        <v>11</v>
      </c>
      <c r="N80" s="1">
        <v>17.7</v>
      </c>
    </row>
    <row r="81" spans="2:14" x14ac:dyDescent="0.3">
      <c r="C81" t="s">
        <v>9</v>
      </c>
      <c r="D81">
        <f t="shared" si="3"/>
        <v>4</v>
      </c>
      <c r="E81">
        <f t="shared" si="4"/>
        <v>5</v>
      </c>
      <c r="F81" s="1">
        <v>2</v>
      </c>
      <c r="G81" s="1">
        <v>5.3</v>
      </c>
      <c r="H81" s="1">
        <v>2</v>
      </c>
      <c r="I81" s="1">
        <v>3.2</v>
      </c>
      <c r="J81" s="1">
        <f t="shared" si="5"/>
        <v>4</v>
      </c>
      <c r="K81" s="1">
        <v>2</v>
      </c>
      <c r="L81" s="1">
        <v>5.3</v>
      </c>
      <c r="M81" s="1">
        <v>3</v>
      </c>
      <c r="N81" s="1">
        <v>4.8</v>
      </c>
    </row>
    <row r="82" spans="2:14" x14ac:dyDescent="0.3">
      <c r="C82" t="s">
        <v>10</v>
      </c>
      <c r="D82">
        <f t="shared" si="3"/>
        <v>47</v>
      </c>
      <c r="E82">
        <f t="shared" si="4"/>
        <v>49</v>
      </c>
      <c r="F82" s="1">
        <v>6</v>
      </c>
      <c r="G82" s="1">
        <v>16</v>
      </c>
      <c r="H82" s="1">
        <v>41</v>
      </c>
      <c r="I82" s="1">
        <v>66</v>
      </c>
      <c r="J82" s="1">
        <f t="shared" si="5"/>
        <v>47</v>
      </c>
      <c r="K82" s="1">
        <v>7</v>
      </c>
      <c r="L82" s="1">
        <v>18.399999999999999</v>
      </c>
      <c r="M82" s="1">
        <v>42</v>
      </c>
      <c r="N82" s="1">
        <v>67.7</v>
      </c>
    </row>
    <row r="83" spans="2:14" x14ac:dyDescent="0.3">
      <c r="C83" t="s">
        <v>11</v>
      </c>
      <c r="D83">
        <f t="shared" si="3"/>
        <v>1</v>
      </c>
      <c r="E83">
        <f t="shared" si="4"/>
        <v>0</v>
      </c>
      <c r="F83" s="1">
        <v>0</v>
      </c>
      <c r="G83" s="1">
        <v>0</v>
      </c>
      <c r="H83" s="1">
        <v>1</v>
      </c>
      <c r="I83" s="1">
        <v>1.6</v>
      </c>
      <c r="J83" s="1">
        <f t="shared" si="5"/>
        <v>1</v>
      </c>
      <c r="K83" s="1" t="s">
        <v>14</v>
      </c>
      <c r="L83" s="1" t="s">
        <v>14</v>
      </c>
      <c r="M83" s="1" t="s">
        <v>14</v>
      </c>
      <c r="N83" s="1" t="s">
        <v>14</v>
      </c>
    </row>
    <row r="84" spans="2:14" x14ac:dyDescent="0.3">
      <c r="C84" t="s">
        <v>12</v>
      </c>
      <c r="D84">
        <f t="shared" si="3"/>
        <v>14</v>
      </c>
      <c r="E84">
        <f t="shared" si="4"/>
        <v>14</v>
      </c>
      <c r="F84" s="1">
        <v>14</v>
      </c>
      <c r="G84" s="1">
        <v>37</v>
      </c>
      <c r="H84" s="1">
        <v>0</v>
      </c>
      <c r="I84" s="1">
        <v>0</v>
      </c>
      <c r="J84" s="1">
        <f t="shared" si="5"/>
        <v>14</v>
      </c>
      <c r="K84" s="1">
        <v>14</v>
      </c>
      <c r="L84" s="1">
        <v>36.799999999999997</v>
      </c>
      <c r="M84" s="1" t="s">
        <v>14</v>
      </c>
      <c r="N84" s="1" t="s">
        <v>14</v>
      </c>
    </row>
    <row r="85" spans="2:14" x14ac:dyDescent="0.3">
      <c r="B85" t="s">
        <v>52</v>
      </c>
      <c r="C85" t="s">
        <v>8</v>
      </c>
      <c r="D85">
        <f t="shared" si="3"/>
        <v>19</v>
      </c>
      <c r="E85">
        <f t="shared" si="4"/>
        <v>16</v>
      </c>
      <c r="F85" s="1">
        <v>8</v>
      </c>
      <c r="G85" s="1">
        <v>21</v>
      </c>
      <c r="H85" s="1">
        <v>11</v>
      </c>
      <c r="I85" s="1">
        <v>18</v>
      </c>
      <c r="J85" s="1">
        <f t="shared" si="5"/>
        <v>19</v>
      </c>
      <c r="K85" s="1">
        <v>5</v>
      </c>
      <c r="L85" s="1">
        <v>13.2</v>
      </c>
      <c r="M85" s="1">
        <v>11</v>
      </c>
      <c r="N85" s="1">
        <v>17.7</v>
      </c>
    </row>
    <row r="86" spans="2:14" x14ac:dyDescent="0.3">
      <c r="C86" t="s">
        <v>9</v>
      </c>
      <c r="D86">
        <f t="shared" si="3"/>
        <v>1</v>
      </c>
      <c r="E86">
        <f t="shared" si="4"/>
        <v>0</v>
      </c>
      <c r="F86" s="1" t="s">
        <v>14</v>
      </c>
      <c r="G86" s="1" t="s">
        <v>14</v>
      </c>
      <c r="H86" s="1">
        <v>1</v>
      </c>
      <c r="I86" s="1">
        <v>1.6</v>
      </c>
      <c r="J86" s="1">
        <f t="shared" si="5"/>
        <v>1</v>
      </c>
      <c r="K86" s="1" t="s">
        <v>14</v>
      </c>
      <c r="L86" s="1" t="s">
        <v>14</v>
      </c>
      <c r="M86" s="1" t="s">
        <v>46</v>
      </c>
    </row>
    <row r="87" spans="2:14" x14ac:dyDescent="0.3">
      <c r="C87" t="s">
        <v>10</v>
      </c>
      <c r="D87">
        <f t="shared" si="3"/>
        <v>31</v>
      </c>
      <c r="E87">
        <f t="shared" si="4"/>
        <v>29</v>
      </c>
      <c r="F87" s="1">
        <v>3</v>
      </c>
      <c r="G87" s="1">
        <v>7.9</v>
      </c>
      <c r="H87" s="1">
        <v>28</v>
      </c>
      <c r="I87" s="1">
        <v>45</v>
      </c>
      <c r="J87" s="1">
        <f t="shared" si="5"/>
        <v>31</v>
      </c>
      <c r="K87" s="1">
        <v>3</v>
      </c>
      <c r="L87" s="1">
        <v>7.9</v>
      </c>
      <c r="M87" s="1">
        <v>26</v>
      </c>
      <c r="N87" s="1">
        <v>41.9</v>
      </c>
    </row>
    <row r="88" spans="2:14" x14ac:dyDescent="0.3">
      <c r="C88" t="s">
        <v>11</v>
      </c>
      <c r="D88">
        <f t="shared" si="3"/>
        <v>3</v>
      </c>
      <c r="E88">
        <f t="shared" si="4"/>
        <v>3</v>
      </c>
      <c r="F88" s="1">
        <v>2</v>
      </c>
      <c r="G88" s="1">
        <v>5.3</v>
      </c>
      <c r="H88" s="1">
        <v>1</v>
      </c>
      <c r="I88" s="1">
        <v>1.6</v>
      </c>
      <c r="J88" s="1">
        <f t="shared" si="5"/>
        <v>3</v>
      </c>
      <c r="K88" s="1">
        <v>2</v>
      </c>
      <c r="L88" s="1">
        <v>5.3</v>
      </c>
      <c r="M88" s="1">
        <v>1</v>
      </c>
      <c r="N88" s="1">
        <v>1.6</v>
      </c>
    </row>
    <row r="89" spans="2:14" x14ac:dyDescent="0.3">
      <c r="C89" t="s">
        <v>12</v>
      </c>
      <c r="D89">
        <f t="shared" si="3"/>
        <v>43</v>
      </c>
      <c r="E89">
        <f t="shared" si="4"/>
        <v>47</v>
      </c>
      <c r="F89" s="1">
        <v>24</v>
      </c>
      <c r="G89" s="1">
        <v>63</v>
      </c>
      <c r="H89" s="1">
        <v>19</v>
      </c>
      <c r="I89" s="1">
        <v>31</v>
      </c>
      <c r="J89" s="1">
        <f t="shared" si="5"/>
        <v>43</v>
      </c>
      <c r="K89" s="1">
        <v>26</v>
      </c>
      <c r="L89" s="1">
        <v>68.400000000000006</v>
      </c>
      <c r="M89" s="1">
        <v>21</v>
      </c>
      <c r="N89" s="1">
        <v>33.9</v>
      </c>
    </row>
    <row r="90" spans="2:14" x14ac:dyDescent="0.3">
      <c r="B90" t="s">
        <v>53</v>
      </c>
      <c r="C90" t="s">
        <v>8</v>
      </c>
      <c r="D90">
        <f t="shared" si="3"/>
        <v>24</v>
      </c>
      <c r="E90">
        <f t="shared" si="4"/>
        <v>23</v>
      </c>
      <c r="F90" s="1">
        <v>11</v>
      </c>
      <c r="G90" s="1">
        <v>29</v>
      </c>
      <c r="H90" s="1">
        <v>13</v>
      </c>
      <c r="I90" s="1">
        <v>21</v>
      </c>
      <c r="J90" s="1">
        <f t="shared" si="5"/>
        <v>24</v>
      </c>
      <c r="K90" s="1">
        <v>11</v>
      </c>
      <c r="L90" s="1">
        <v>28.9</v>
      </c>
      <c r="M90" s="1">
        <v>12</v>
      </c>
      <c r="N90" s="1">
        <v>19.399999999999999</v>
      </c>
    </row>
    <row r="91" spans="2:14" x14ac:dyDescent="0.3">
      <c r="C91" t="s">
        <v>9</v>
      </c>
      <c r="D91">
        <f t="shared" si="3"/>
        <v>3</v>
      </c>
      <c r="E91">
        <f t="shared" si="4"/>
        <v>2</v>
      </c>
      <c r="F91" s="1">
        <v>2</v>
      </c>
      <c r="G91" s="1">
        <v>5.3</v>
      </c>
      <c r="H91" s="1">
        <v>1</v>
      </c>
      <c r="I91" s="1">
        <v>1.6</v>
      </c>
      <c r="J91" s="1">
        <f t="shared" si="5"/>
        <v>3</v>
      </c>
      <c r="K91" s="1">
        <v>1</v>
      </c>
      <c r="L91" s="1">
        <v>2.6</v>
      </c>
      <c r="M91" s="1">
        <v>1</v>
      </c>
      <c r="N91" s="1">
        <v>1.6</v>
      </c>
    </row>
    <row r="92" spans="2:14" x14ac:dyDescent="0.3">
      <c r="C92" t="s">
        <v>10</v>
      </c>
      <c r="D92">
        <f t="shared" si="3"/>
        <v>41</v>
      </c>
      <c r="E92">
        <f t="shared" si="4"/>
        <v>42</v>
      </c>
      <c r="F92" s="1">
        <v>5</v>
      </c>
      <c r="G92" s="1">
        <v>13</v>
      </c>
      <c r="H92" s="1">
        <v>36</v>
      </c>
      <c r="I92" s="1">
        <v>58</v>
      </c>
      <c r="J92" s="1">
        <f t="shared" si="5"/>
        <v>41</v>
      </c>
      <c r="K92" s="1">
        <v>5</v>
      </c>
      <c r="L92" s="1">
        <v>13.2</v>
      </c>
      <c r="M92" s="1">
        <v>37</v>
      </c>
      <c r="N92" s="1">
        <v>59.7</v>
      </c>
    </row>
    <row r="93" spans="2:14" x14ac:dyDescent="0.3">
      <c r="C93" t="s">
        <v>11</v>
      </c>
      <c r="D93">
        <f t="shared" si="3"/>
        <v>1</v>
      </c>
      <c r="E93">
        <f t="shared" si="4"/>
        <v>0</v>
      </c>
      <c r="F93" s="1" t="s">
        <v>14</v>
      </c>
      <c r="G93" s="1" t="s">
        <v>14</v>
      </c>
      <c r="H93" s="1">
        <v>1</v>
      </c>
      <c r="I93" s="1">
        <v>1.6</v>
      </c>
      <c r="J93" s="1">
        <f t="shared" si="5"/>
        <v>1</v>
      </c>
      <c r="K93" s="1" t="s">
        <v>14</v>
      </c>
      <c r="L93" s="1" t="s">
        <v>14</v>
      </c>
      <c r="M93" s="1" t="s">
        <v>14</v>
      </c>
      <c r="N93" s="1" t="s">
        <v>14</v>
      </c>
    </row>
    <row r="94" spans="2:14" x14ac:dyDescent="0.3">
      <c r="C94" t="s">
        <v>12</v>
      </c>
      <c r="D94">
        <f t="shared" si="3"/>
        <v>30</v>
      </c>
      <c r="E94">
        <f t="shared" si="4"/>
        <v>30</v>
      </c>
      <c r="F94" s="1">
        <v>20</v>
      </c>
      <c r="G94" s="1">
        <v>53</v>
      </c>
      <c r="H94" s="1">
        <v>10</v>
      </c>
      <c r="I94" s="1">
        <v>16</v>
      </c>
      <c r="J94" s="1">
        <f t="shared" si="5"/>
        <v>30</v>
      </c>
      <c r="K94" s="1">
        <v>21</v>
      </c>
      <c r="L94" s="1">
        <v>55.3</v>
      </c>
      <c r="M94" s="1">
        <v>9</v>
      </c>
      <c r="N94" s="1">
        <v>14.5</v>
      </c>
    </row>
    <row r="95" spans="2:14" x14ac:dyDescent="0.3">
      <c r="B95" t="s">
        <v>54</v>
      </c>
      <c r="C95" t="s">
        <v>8</v>
      </c>
      <c r="D95">
        <f t="shared" si="3"/>
        <v>20</v>
      </c>
      <c r="E95">
        <f t="shared" si="4"/>
        <v>19</v>
      </c>
      <c r="F95" s="1">
        <v>6</v>
      </c>
      <c r="G95" s="1">
        <v>15.8</v>
      </c>
      <c r="H95" s="1">
        <v>14</v>
      </c>
      <c r="I95" s="1">
        <v>22.6</v>
      </c>
      <c r="J95" s="1">
        <f t="shared" si="5"/>
        <v>20</v>
      </c>
      <c r="K95" s="1">
        <v>5</v>
      </c>
      <c r="L95" s="1">
        <v>13.2</v>
      </c>
      <c r="M95" s="1">
        <v>14</v>
      </c>
      <c r="N95" s="1">
        <v>22.6</v>
      </c>
    </row>
    <row r="96" spans="2:14" x14ac:dyDescent="0.3">
      <c r="C96" t="s">
        <v>10</v>
      </c>
      <c r="D96">
        <f t="shared" si="3"/>
        <v>19</v>
      </c>
      <c r="E96">
        <f t="shared" si="4"/>
        <v>19</v>
      </c>
      <c r="F96" s="1">
        <v>10</v>
      </c>
      <c r="G96" s="1">
        <v>26.3</v>
      </c>
      <c r="H96" s="1">
        <v>9</v>
      </c>
      <c r="I96" s="1">
        <v>14.5</v>
      </c>
      <c r="J96" s="1">
        <f t="shared" si="5"/>
        <v>19</v>
      </c>
      <c r="K96" s="1">
        <v>10</v>
      </c>
      <c r="L96" s="1">
        <v>26.3</v>
      </c>
      <c r="M96" s="1">
        <v>9</v>
      </c>
      <c r="N96" s="1">
        <v>14.5</v>
      </c>
    </row>
    <row r="97" spans="2:14" x14ac:dyDescent="0.3">
      <c r="C97" t="s">
        <v>9</v>
      </c>
      <c r="D97">
        <f t="shared" si="3"/>
        <v>38</v>
      </c>
      <c r="E97">
        <f t="shared" si="4"/>
        <v>41</v>
      </c>
      <c r="F97" s="1">
        <v>7</v>
      </c>
      <c r="G97" s="1">
        <v>18.399999999999999</v>
      </c>
      <c r="H97" s="1">
        <v>31</v>
      </c>
      <c r="I97" s="1">
        <v>50</v>
      </c>
      <c r="J97" s="1">
        <f t="shared" si="5"/>
        <v>38</v>
      </c>
      <c r="K97" s="1">
        <v>8</v>
      </c>
      <c r="L97" s="1">
        <v>21.1</v>
      </c>
      <c r="M97" s="1">
        <v>33</v>
      </c>
      <c r="N97" s="1">
        <v>53.2</v>
      </c>
    </row>
    <row r="98" spans="2:14" x14ac:dyDescent="0.3">
      <c r="C98" t="s">
        <v>11</v>
      </c>
      <c r="D98">
        <f t="shared" si="3"/>
        <v>1</v>
      </c>
      <c r="E98">
        <f t="shared" si="4"/>
        <v>1</v>
      </c>
      <c r="F98" s="1">
        <v>1</v>
      </c>
      <c r="G98" s="1">
        <v>2.6</v>
      </c>
      <c r="H98" s="1" t="s">
        <v>14</v>
      </c>
      <c r="I98" s="1" t="s">
        <v>14</v>
      </c>
      <c r="J98" s="1">
        <f t="shared" si="5"/>
        <v>1</v>
      </c>
      <c r="K98" s="1">
        <v>1</v>
      </c>
      <c r="L98" s="1">
        <v>2.6</v>
      </c>
      <c r="M98" s="1" t="s">
        <v>14</v>
      </c>
      <c r="N98" s="1" t="s">
        <v>14</v>
      </c>
    </row>
    <row r="99" spans="2:14" x14ac:dyDescent="0.3">
      <c r="C99" t="s">
        <v>12</v>
      </c>
      <c r="D99">
        <f t="shared" si="3"/>
        <v>17</v>
      </c>
      <c r="E99">
        <f t="shared" si="4"/>
        <v>18</v>
      </c>
      <c r="F99" s="1">
        <v>13</v>
      </c>
      <c r="G99" s="1">
        <v>34.200000000000003</v>
      </c>
      <c r="H99" s="1">
        <v>4</v>
      </c>
      <c r="I99" s="1">
        <v>6.5</v>
      </c>
      <c r="J99" s="1">
        <f t="shared" si="5"/>
        <v>17</v>
      </c>
      <c r="K99" s="1">
        <v>14</v>
      </c>
      <c r="L99" s="1">
        <v>36.799999999999997</v>
      </c>
      <c r="M99" s="1">
        <v>4</v>
      </c>
      <c r="N99" s="1">
        <v>6.5</v>
      </c>
    </row>
    <row r="100" spans="2:14" x14ac:dyDescent="0.3">
      <c r="B100" t="s">
        <v>55</v>
      </c>
      <c r="C100" t="s">
        <v>8</v>
      </c>
      <c r="D100">
        <f t="shared" si="3"/>
        <v>22</v>
      </c>
      <c r="E100">
        <f t="shared" si="4"/>
        <v>32</v>
      </c>
      <c r="F100" s="1">
        <v>9</v>
      </c>
      <c r="G100" s="1">
        <v>23.7</v>
      </c>
      <c r="H100" s="1">
        <v>13</v>
      </c>
      <c r="I100" s="1">
        <v>21</v>
      </c>
      <c r="J100" s="1">
        <f t="shared" si="5"/>
        <v>22</v>
      </c>
      <c r="K100" s="1">
        <v>14</v>
      </c>
      <c r="L100" s="1">
        <v>36.799999999999997</v>
      </c>
      <c r="M100" s="1">
        <v>18</v>
      </c>
      <c r="N100" s="1">
        <v>29</v>
      </c>
    </row>
    <row r="101" spans="2:14" x14ac:dyDescent="0.3">
      <c r="C101" t="s">
        <v>9</v>
      </c>
      <c r="D101">
        <f t="shared" si="3"/>
        <v>6</v>
      </c>
      <c r="E101">
        <f t="shared" si="4"/>
        <v>3</v>
      </c>
      <c r="F101" s="1">
        <v>2</v>
      </c>
      <c r="G101" s="1">
        <v>5.3</v>
      </c>
      <c r="H101" s="1">
        <v>4</v>
      </c>
      <c r="I101" s="1">
        <v>6.5</v>
      </c>
      <c r="J101" s="1">
        <f t="shared" si="5"/>
        <v>6</v>
      </c>
      <c r="K101" s="1">
        <v>1</v>
      </c>
      <c r="L101" s="1">
        <v>2.6</v>
      </c>
      <c r="M101" s="1">
        <v>2</v>
      </c>
      <c r="N101" s="1">
        <v>3.2</v>
      </c>
    </row>
    <row r="102" spans="2:14" x14ac:dyDescent="0.3">
      <c r="C102" t="s">
        <v>10</v>
      </c>
      <c r="D102">
        <f t="shared" si="3"/>
        <v>57</v>
      </c>
      <c r="E102">
        <f t="shared" si="4"/>
        <v>48</v>
      </c>
      <c r="F102" s="1">
        <v>14</v>
      </c>
      <c r="G102" s="1">
        <v>36.799999999999997</v>
      </c>
      <c r="H102" s="1">
        <v>43</v>
      </c>
      <c r="I102" s="1">
        <v>69.400000000000006</v>
      </c>
      <c r="J102" s="1">
        <f t="shared" si="5"/>
        <v>57</v>
      </c>
      <c r="K102" s="1">
        <v>10</v>
      </c>
      <c r="L102" s="1">
        <v>26.3</v>
      </c>
      <c r="M102" s="1">
        <v>38</v>
      </c>
      <c r="N102" s="1">
        <v>61.3</v>
      </c>
    </row>
    <row r="103" spans="2:14" x14ac:dyDescent="0.3">
      <c r="C103" t="s">
        <v>11</v>
      </c>
      <c r="D103">
        <f t="shared" si="3"/>
        <v>0</v>
      </c>
      <c r="E103">
        <f t="shared" si="4"/>
        <v>1</v>
      </c>
      <c r="F103" s="1" t="s">
        <v>14</v>
      </c>
      <c r="G103" s="1" t="s">
        <v>14</v>
      </c>
      <c r="H103" s="1" t="s">
        <v>14</v>
      </c>
      <c r="I103" s="1" t="s">
        <v>14</v>
      </c>
      <c r="J103" s="1">
        <f t="shared" si="5"/>
        <v>0</v>
      </c>
      <c r="K103" s="1" t="s">
        <v>14</v>
      </c>
      <c r="L103" s="1" t="s">
        <v>14</v>
      </c>
      <c r="M103" s="1">
        <v>1</v>
      </c>
      <c r="N103" s="1">
        <v>1.6</v>
      </c>
    </row>
    <row r="104" spans="2:14" x14ac:dyDescent="0.3">
      <c r="C104" t="s">
        <v>12</v>
      </c>
      <c r="D104">
        <f t="shared" si="3"/>
        <v>15</v>
      </c>
      <c r="E104">
        <f t="shared" si="4"/>
        <v>15</v>
      </c>
      <c r="F104" s="1">
        <v>13</v>
      </c>
      <c r="G104" s="1">
        <v>34.200000000000003</v>
      </c>
      <c r="H104" s="1">
        <v>2</v>
      </c>
      <c r="I104" s="1">
        <v>3.2</v>
      </c>
      <c r="J104" s="1">
        <f t="shared" si="5"/>
        <v>15</v>
      </c>
      <c r="K104" s="1">
        <v>13</v>
      </c>
      <c r="L104" s="1">
        <v>34.200000000000003</v>
      </c>
      <c r="M104" s="1">
        <v>2</v>
      </c>
      <c r="N104" s="1">
        <v>3.2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5207F-37DD-4943-B7BB-7F1192BC13DE}">
  <dimension ref="B2:E11"/>
  <sheetViews>
    <sheetView tabSelected="1" workbookViewId="0">
      <selection activeCell="D6" sqref="D6"/>
    </sheetView>
  </sheetViews>
  <sheetFormatPr defaultRowHeight="14.4" x14ac:dyDescent="0.3"/>
  <cols>
    <col min="2" max="2" width="30.21875" customWidth="1"/>
    <col min="3" max="3" width="37.77734375" customWidth="1"/>
    <col min="4" max="4" width="39.77734375" customWidth="1"/>
    <col min="5" max="5" width="35" customWidth="1"/>
  </cols>
  <sheetData>
    <row r="2" spans="2:5" x14ac:dyDescent="0.3">
      <c r="B2" s="10" t="s">
        <v>61</v>
      </c>
      <c r="C2" s="11" t="s">
        <v>62</v>
      </c>
      <c r="D2" s="12" t="s">
        <v>63</v>
      </c>
      <c r="E2" s="12"/>
    </row>
    <row r="3" spans="2:5" x14ac:dyDescent="0.3">
      <c r="B3" s="6"/>
      <c r="C3" s="7"/>
      <c r="D3" s="8" t="s">
        <v>64</v>
      </c>
      <c r="E3" s="9" t="s">
        <v>65</v>
      </c>
    </row>
    <row r="4" spans="2:5" ht="26.4" x14ac:dyDescent="0.3">
      <c r="B4" s="2" t="s">
        <v>82</v>
      </c>
      <c r="C4" s="13" t="s">
        <v>77</v>
      </c>
      <c r="D4" s="14" t="s">
        <v>78</v>
      </c>
      <c r="E4" s="13" t="s">
        <v>66</v>
      </c>
    </row>
    <row r="5" spans="2:5" x14ac:dyDescent="0.3">
      <c r="B5" s="2"/>
      <c r="C5" s="13" t="s">
        <v>67</v>
      </c>
      <c r="D5" s="14" t="s">
        <v>68</v>
      </c>
      <c r="E5" s="15"/>
    </row>
    <row r="6" spans="2:5" ht="52.8" x14ac:dyDescent="0.3">
      <c r="B6" s="3"/>
      <c r="C6" s="13" t="s">
        <v>81</v>
      </c>
      <c r="D6" s="14" t="s">
        <v>79</v>
      </c>
      <c r="E6" s="14" t="s">
        <v>80</v>
      </c>
    </row>
    <row r="7" spans="2:5" ht="26.4" customHeight="1" x14ac:dyDescent="0.3">
      <c r="B7" s="16" t="s">
        <v>83</v>
      </c>
      <c r="C7" s="4" t="s">
        <v>69</v>
      </c>
      <c r="D7" s="5" t="s">
        <v>84</v>
      </c>
      <c r="E7" s="5" t="s">
        <v>85</v>
      </c>
    </row>
    <row r="8" spans="2:5" ht="52.8" x14ac:dyDescent="0.3">
      <c r="B8" s="4" t="s">
        <v>70</v>
      </c>
      <c r="C8" s="4" t="s">
        <v>86</v>
      </c>
      <c r="D8" s="5" t="s">
        <v>87</v>
      </c>
      <c r="E8" s="4" t="s">
        <v>88</v>
      </c>
    </row>
    <row r="9" spans="2:5" ht="39.6" x14ac:dyDescent="0.3">
      <c r="B9" s="4" t="s">
        <v>89</v>
      </c>
      <c r="C9" s="4" t="s">
        <v>71</v>
      </c>
      <c r="D9" s="5" t="s">
        <v>90</v>
      </c>
      <c r="E9" s="4" t="s">
        <v>72</v>
      </c>
    </row>
    <row r="10" spans="2:5" ht="66" x14ac:dyDescent="0.3">
      <c r="B10" s="17" t="s">
        <v>74</v>
      </c>
      <c r="C10" s="4" t="s">
        <v>91</v>
      </c>
      <c r="D10" s="5" t="s">
        <v>92</v>
      </c>
      <c r="E10" s="5" t="s">
        <v>73</v>
      </c>
    </row>
    <row r="11" spans="2:5" ht="52.8" x14ac:dyDescent="0.3">
      <c r="B11" s="18"/>
      <c r="C11" s="4" t="s">
        <v>75</v>
      </c>
      <c r="D11" s="4" t="s">
        <v>76</v>
      </c>
      <c r="E11" s="5" t="s">
        <v>93</v>
      </c>
    </row>
  </sheetData>
  <mergeCells count="5">
    <mergeCell ref="B4:B6"/>
    <mergeCell ref="B10:B11"/>
    <mergeCell ref="B2:B3"/>
    <mergeCell ref="C2:C3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household-decision</vt:lpstr>
      <vt:lpstr>fam-child-care</vt:lpstr>
      <vt:lpstr>personal-family-needs</vt:lpstr>
      <vt:lpstr>farming-tasks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Llones</dc:creator>
  <cp:lastModifiedBy>Christopher Llones</cp:lastModifiedBy>
  <dcterms:created xsi:type="dcterms:W3CDTF">2025-07-08T07:04:27Z</dcterms:created>
  <dcterms:modified xsi:type="dcterms:W3CDTF">2025-08-23T03:00:50Z</dcterms:modified>
</cp:coreProperties>
</file>