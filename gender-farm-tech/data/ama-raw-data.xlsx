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Chris Llones - 2024\GoogleDrive\VSU\viserdac\viserdac-data-analysis\20260508-anna-mor-ktp\data\"/>
    </mc:Choice>
  </mc:AlternateContent>
  <xr:revisionPtr revIDLastSave="0" documentId="13_ncr:1_{7D089AD3-C4DA-4C23-833F-300D40F2DCBB}" xr6:coauthVersionLast="47" xr6:coauthVersionMax="47" xr10:uidLastSave="{00000000-0000-0000-0000-000000000000}"/>
  <bookViews>
    <workbookView xWindow="28680" yWindow="-120" windowWidth="29040" windowHeight="16440" activeTab="1" xr2:uid="{FAA53F4F-91E8-4B88-855E-344FEE09FD1E}"/>
  </bookViews>
  <sheets>
    <sheet name="Consolidated" sheetId="3" r:id="rId1"/>
    <sheet name="var name" sheetId="11" r:id="rId2"/>
    <sheet name="i_need_this" sheetId="9" r:id="rId3"/>
    <sheet name="i_need_this (2)" sheetId="10" r:id="rId4"/>
    <sheet name="var_need" sheetId="7" r:id="rId5"/>
    <sheet name="Sheet1" sheetId="1" r:id="rId6"/>
    <sheet name="Labor Hours" sheetId="2" r:id="rId7"/>
    <sheet name="Notes_Agri Practices" sheetId="5" r:id="rId8"/>
    <sheet name="Notes_Technologies Learned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3" i="3" l="1"/>
  <c r="Q100" i="3"/>
  <c r="Q47" i="3"/>
  <c r="Q101" i="1" l="1"/>
  <c r="S96" i="1"/>
  <c r="S93" i="1"/>
  <c r="Q86" i="1"/>
  <c r="Q84" i="1"/>
  <c r="Q74" i="1"/>
  <c r="Q56" i="1"/>
  <c r="Q55" i="1"/>
  <c r="S44" i="1"/>
  <c r="Q43" i="1"/>
  <c r="Q37" i="1"/>
  <c r="Q32" i="1"/>
  <c r="Q17" i="1"/>
  <c r="Q2" i="1"/>
</calcChain>
</file>

<file path=xl/sharedStrings.xml><?xml version="1.0" encoding="utf-8"?>
<sst xmlns="http://schemas.openxmlformats.org/spreadsheetml/2006/main" count="30904" uniqueCount="4342">
  <si>
    <t>_index</t>
  </si>
  <si>
    <t>Name of Respondent</t>
  </si>
  <si>
    <t>Contact No.</t>
  </si>
  <si>
    <t>Sex</t>
  </si>
  <si>
    <t>Age</t>
  </si>
  <si>
    <t>Civil Status</t>
  </si>
  <si>
    <t>If others, please specify</t>
  </si>
  <si>
    <t>Religion</t>
  </si>
  <si>
    <t>Ethnicity</t>
  </si>
  <si>
    <t>Highest Educational Attainment</t>
  </si>
  <si>
    <t>Status</t>
  </si>
  <si>
    <t>Are you the household head?</t>
  </si>
  <si>
    <t>If no, what is your relationship to the household head?</t>
  </si>
  <si>
    <t>Primary Occupation</t>
  </si>
  <si>
    <t>Secondary Occupation</t>
  </si>
  <si>
    <t>Household size</t>
  </si>
  <si>
    <t>Total income in the past year</t>
  </si>
  <si>
    <t>Income from on-farm activities (%)</t>
  </si>
  <si>
    <t>Income from off farm activities (%)</t>
  </si>
  <si>
    <t>Income from non farm activities</t>
  </si>
  <si>
    <t>Income/Duration</t>
  </si>
  <si>
    <t>Sold (%)</t>
  </si>
  <si>
    <t>Given away (%)</t>
  </si>
  <si>
    <t>Consumed (%)</t>
  </si>
  <si>
    <t>Off-Farm Activities (please specify)</t>
  </si>
  <si>
    <t>Given Away (%)</t>
  </si>
  <si>
    <t>Non-Farm Activities (source of income)</t>
  </si>
  <si>
    <t>Non-Farm Activities (source of income)/employment</t>
  </si>
  <si>
    <t>Non-Farm Activities (source of income)/remittance from abroad</t>
  </si>
  <si>
    <t>Non-Farm Activities (source of income)/remittance from local/domestic sources</t>
  </si>
  <si>
    <t>Non-Farm Activities (source of income)/rental</t>
  </si>
  <si>
    <t>Non-Farm Activities (source of income)/profit from sale of properties</t>
  </si>
  <si>
    <t>Non-Farm Activities (source of income)/bank deposits</t>
  </si>
  <si>
    <t>Non-Farm Activities (source of income)/loan extended to others</t>
  </si>
  <si>
    <t>Non-Farm Activities (source of income)/others</t>
  </si>
  <si>
    <t>Sufficient</t>
  </si>
  <si>
    <t>If No, Coping Strategies</t>
  </si>
  <si>
    <t>If others, specify</t>
  </si>
  <si>
    <t>Source Irrigation water</t>
  </si>
  <si>
    <t>Source Irrigation water/artesian/ poso</t>
  </si>
  <si>
    <t>Source Irrigation water/pump wells/ bomba</t>
  </si>
  <si>
    <t>Source Irrigation water/shared, community water system/ tubig sa Brgy.</t>
  </si>
  <si>
    <t xml:space="preserve">Source Irrigation water/shared, tube or piped well/ </t>
  </si>
  <si>
    <t>Source Irrigation water/dug well/ tabay</t>
  </si>
  <si>
    <t>Source Irrigation water/spring, river, stream, etc./ sapa</t>
  </si>
  <si>
    <t>Source Irrigation water/rainwater/ tubig uwan</t>
  </si>
  <si>
    <t>Source Irrigation water/free flowing/ tubig nga nag-agas lang</t>
  </si>
  <si>
    <t>Source Irrigation water/national irrigation system/ tubig sa gobyerno</t>
  </si>
  <si>
    <t>Source Irrigation water/communal irrigation/ daghan tag-iya sa tubig</t>
  </si>
  <si>
    <t>Source Irrigation water/shallow tube well/ mabaw nga tabay</t>
  </si>
  <si>
    <t>Source Irrigation water/small farm reservoir</t>
  </si>
  <si>
    <t>Source Irrigation water/deep well pump</t>
  </si>
  <si>
    <t>Source Irrigation water/small water impounding project</t>
  </si>
  <si>
    <t>Source Irrigation water/pump irrigation from open source</t>
  </si>
  <si>
    <t>Source Irrigation water/others</t>
  </si>
  <si>
    <t>joel j. hermoso</t>
  </si>
  <si>
    <t>09510226909</t>
  </si>
  <si>
    <t>Male</t>
  </si>
  <si>
    <t>married</t>
  </si>
  <si>
    <t>matripona</t>
  </si>
  <si>
    <t>bisaya</t>
  </si>
  <si>
    <t>Elementary</t>
  </si>
  <si>
    <t>Finished/Stopped</t>
  </si>
  <si>
    <t>Yes</t>
  </si>
  <si>
    <t>veg. farming</t>
  </si>
  <si>
    <t>veg. trading</t>
  </si>
  <si>
    <t>263,000</t>
  </si>
  <si>
    <t>63,000</t>
  </si>
  <si>
    <t>ombok production (150,000) eggplant production (50,000)</t>
  </si>
  <si>
    <t>100</t>
  </si>
  <si>
    <t>none</t>
  </si>
  <si>
    <t>others</t>
  </si>
  <si>
    <t>n/a</t>
  </si>
  <si>
    <t>shared, community water system/ tubig sa Brgy.</t>
  </si>
  <si>
    <t>marcelino fuentes</t>
  </si>
  <si>
    <t>09501275806</t>
  </si>
  <si>
    <t>catholic</t>
  </si>
  <si>
    <t>farming</t>
  </si>
  <si>
    <t>volcanizing</t>
  </si>
  <si>
    <t>70,000</t>
  </si>
  <si>
    <t>5</t>
  </si>
  <si>
    <t>cabbage production</t>
  </si>
  <si>
    <t>30,000</t>
  </si>
  <si>
    <t>spring, river, stream, etc./ sapa</t>
  </si>
  <si>
    <t>No</t>
  </si>
  <si>
    <t>jebeth arano</t>
  </si>
  <si>
    <t>09510339318</t>
  </si>
  <si>
    <t>single</t>
  </si>
  <si>
    <t>College</t>
  </si>
  <si>
    <t>farmer</t>
  </si>
  <si>
    <t>construction worker</t>
  </si>
  <si>
    <t>40,000</t>
  </si>
  <si>
    <t>chinese cabbage, cabbage production</t>
  </si>
  <si>
    <t>employment</t>
  </si>
  <si>
    <t>rainwater/ tubig uwan</t>
  </si>
  <si>
    <t>irene abanilla</t>
  </si>
  <si>
    <t>09515762778</t>
  </si>
  <si>
    <t>Female</t>
  </si>
  <si>
    <t>spouse</t>
  </si>
  <si>
    <t>sari-sari store</t>
  </si>
  <si>
    <t>80,000</t>
  </si>
  <si>
    <t>cabbage production (30,000), chinese cabbage production (20,000)</t>
  </si>
  <si>
    <t>we will just wait for the rain</t>
  </si>
  <si>
    <t>danlito loveros alloso</t>
  </si>
  <si>
    <t>09107785910</t>
  </si>
  <si>
    <t>jerusalem church of god</t>
  </si>
  <si>
    <t>Vocational course</t>
  </si>
  <si>
    <t>100,000</t>
  </si>
  <si>
    <t>30</t>
  </si>
  <si>
    <t>cabbage production, tomato production</t>
  </si>
  <si>
    <t>98</t>
  </si>
  <si>
    <t>ryan alcordo</t>
  </si>
  <si>
    <t>09070359974</t>
  </si>
  <si>
    <t>Highschool</t>
  </si>
  <si>
    <t>150,000</t>
  </si>
  <si>
    <t>cabbage production, chinese cabbage production</t>
  </si>
  <si>
    <t>nelson miramonte</t>
  </si>
  <si>
    <t>09514646350</t>
  </si>
  <si>
    <t>50,000</t>
  </si>
  <si>
    <t>cabbage , chinese cabbage production</t>
  </si>
  <si>
    <t>marilou alcordo</t>
  </si>
  <si>
    <t>09502947951</t>
  </si>
  <si>
    <t>7th day adventist</t>
  </si>
  <si>
    <t>helps my husband in the farm</t>
  </si>
  <si>
    <t>sweet pepper production</t>
  </si>
  <si>
    <t>will pay for fetching water in the spring 10 pesos per container</t>
  </si>
  <si>
    <t>rogelio hoyohoy cantay</t>
  </si>
  <si>
    <t>tomato production, sweet pepper production</t>
  </si>
  <si>
    <t>90</t>
  </si>
  <si>
    <t>rainwater/ tubig uwan spring, river, stream, etc./ sapa</t>
  </si>
  <si>
    <t>monaliza cantay torres</t>
  </si>
  <si>
    <t>09305830488</t>
  </si>
  <si>
    <t>200,000</t>
  </si>
  <si>
    <t>85</t>
  </si>
  <si>
    <t>sabina caguyong cabantoy</t>
  </si>
  <si>
    <t>09464680411</t>
  </si>
  <si>
    <t>300,000</t>
  </si>
  <si>
    <t>sweet pepper production, cabbage production, chinese cabbage</t>
  </si>
  <si>
    <t>jorge lato constantino</t>
  </si>
  <si>
    <t>ALS</t>
  </si>
  <si>
    <t>chinese cabbage</t>
  </si>
  <si>
    <t>carlos hoyohoy cantay</t>
  </si>
  <si>
    <t>09483896250</t>
  </si>
  <si>
    <t>250,000</t>
  </si>
  <si>
    <t>ruel villasor</t>
  </si>
  <si>
    <t>09704522095</t>
  </si>
  <si>
    <t>veg. farmer</t>
  </si>
  <si>
    <t>159,000</t>
  </si>
  <si>
    <t>chinese cabbage production</t>
  </si>
  <si>
    <t>29,000/year</t>
  </si>
  <si>
    <t>nerisa ruta</t>
  </si>
  <si>
    <t>09468458727</t>
  </si>
  <si>
    <t>spray
plowing
plotting
howling
basal
side dressing
weeding
drenching
planting 
harvest</t>
  </si>
  <si>
    <t>porcisa zamora</t>
  </si>
  <si>
    <t>09515007209</t>
  </si>
  <si>
    <t>35,000</t>
  </si>
  <si>
    <t>luzviminda matugas</t>
  </si>
  <si>
    <t>09461452488</t>
  </si>
  <si>
    <t>maricris nazario</t>
  </si>
  <si>
    <t>09700857769</t>
  </si>
  <si>
    <t>housewife</t>
  </si>
  <si>
    <t>55,000</t>
  </si>
  <si>
    <t>cabbage</t>
  </si>
  <si>
    <t>liza zamora</t>
  </si>
  <si>
    <t>09510455344</t>
  </si>
  <si>
    <t>0</t>
  </si>
  <si>
    <t>50,000/year</t>
  </si>
  <si>
    <t>15</t>
  </si>
  <si>
    <t>josefa avella</t>
  </si>
  <si>
    <t>09464547634</t>
  </si>
  <si>
    <t>22,000</t>
  </si>
  <si>
    <t>sweet pepper production, chilli pepper production</t>
  </si>
  <si>
    <t>allan cabusas dula</t>
  </si>
  <si>
    <t>160,000</t>
  </si>
  <si>
    <t>eleuterio hoyohoy cantay</t>
  </si>
  <si>
    <t>09095012062</t>
  </si>
  <si>
    <t>60,000</t>
  </si>
  <si>
    <t>spring, river, stream, etc./ sapa rainwater/ tubig uwan</t>
  </si>
  <si>
    <t>romeo rivera metran jr.</t>
  </si>
  <si>
    <t>09302578693</t>
  </si>
  <si>
    <t>sweet pepper production, chinese cabbage production</t>
  </si>
  <si>
    <t>pedrito argomido sr</t>
  </si>
  <si>
    <t>spray
plowing
plotting
howling
basal
planting 
side dressing 
weeding
harvest</t>
  </si>
  <si>
    <t>lizandro loreto</t>
  </si>
  <si>
    <t>0910485193698</t>
  </si>
  <si>
    <t>plowing
plotting
howling
basal
planting
drenching
side dressing 
weeding
harvest</t>
  </si>
  <si>
    <t>armando zacaris</t>
  </si>
  <si>
    <t>09510340691</t>
  </si>
  <si>
    <t>spray 
plowing
plotting
howling
basal
planting
weeding
drenching
harvest</t>
  </si>
  <si>
    <t>dorina rubi</t>
  </si>
  <si>
    <t>09093943194</t>
  </si>
  <si>
    <t>child</t>
  </si>
  <si>
    <t>spray
plotting
planting
weeding
drenching
cultivation
harvest</t>
  </si>
  <si>
    <t>planting
harvest
weeding</t>
  </si>
  <si>
    <t>15,000/ year</t>
  </si>
  <si>
    <t>victorio ruiz rivera</t>
  </si>
  <si>
    <t>09991713160</t>
  </si>
  <si>
    <t>175,000</t>
  </si>
  <si>
    <t>sweet pepper production, chayote production</t>
  </si>
  <si>
    <t>renelito piad canalis</t>
  </si>
  <si>
    <t>09203604807</t>
  </si>
  <si>
    <t>church of god</t>
  </si>
  <si>
    <t>shared, community water system/ tubig sa Brgy. rainwater/ tubig uwan free flowing/ tubig nga nag-agas lang</t>
  </si>
  <si>
    <t>sarah rivera luberas</t>
  </si>
  <si>
    <t>09383340988</t>
  </si>
  <si>
    <t>jolie rivera</t>
  </si>
  <si>
    <t>09380367766</t>
  </si>
  <si>
    <t>395,000</t>
  </si>
  <si>
    <t>-</t>
  </si>
  <si>
    <t>chinese cabbage, cabbage</t>
  </si>
  <si>
    <t>chines cabbage production, cabbage production</t>
  </si>
  <si>
    <t>95,000</t>
  </si>
  <si>
    <t>lydia zamora yanib</t>
  </si>
  <si>
    <t>09306353278</t>
  </si>
  <si>
    <t>120,000</t>
  </si>
  <si>
    <t>chinese cabbage production, beans production, sweet pepper production</t>
  </si>
  <si>
    <t>benjamin andrin</t>
  </si>
  <si>
    <t>09126590729</t>
  </si>
  <si>
    <t>danilo baron</t>
  </si>
  <si>
    <t>09631199175</t>
  </si>
  <si>
    <t>spray
plowing
plotting
howling
basal
weeding
drenching
side dressing
harvest</t>
  </si>
  <si>
    <t>45,000</t>
  </si>
  <si>
    <t>wenefred panchacala sr</t>
  </si>
  <si>
    <t>09105390416</t>
  </si>
  <si>
    <t>carpenter</t>
  </si>
  <si>
    <t>65,000</t>
  </si>
  <si>
    <t>wilson cabugoy</t>
  </si>
  <si>
    <t>09518174951</t>
  </si>
  <si>
    <t>p</t>
  </si>
  <si>
    <t>deliver ug iti</t>
  </si>
  <si>
    <t>conception lopez</t>
  </si>
  <si>
    <t>09510226910</t>
  </si>
  <si>
    <t>sweet pepper production, cabbage</t>
  </si>
  <si>
    <t>jimmy rivera</t>
  </si>
  <si>
    <t>farm. laborer</t>
  </si>
  <si>
    <t>10,000</t>
  </si>
  <si>
    <t>5,000/ year</t>
  </si>
  <si>
    <t>harvest
side dressing
weeding</t>
  </si>
  <si>
    <t>jason ventura</t>
  </si>
  <si>
    <t>09639172394</t>
  </si>
  <si>
    <t>roel caiwan</t>
  </si>
  <si>
    <t>09125729158</t>
  </si>
  <si>
    <t>carpenter/ veg.dealer</t>
  </si>
  <si>
    <t>20,000</t>
  </si>
  <si>
    <t>veg.dealer</t>
  </si>
  <si>
    <t>4,000/ year</t>
  </si>
  <si>
    <t>robert jagonos</t>
  </si>
  <si>
    <t>09855940626</t>
  </si>
  <si>
    <t>Senior highschool</t>
  </si>
  <si>
    <t>nila elorja</t>
  </si>
  <si>
    <t>waray</t>
  </si>
  <si>
    <t>12,000</t>
  </si>
  <si>
    <t>43,000</t>
  </si>
  <si>
    <t>gemma luberas sincero</t>
  </si>
  <si>
    <t>09484972809</t>
  </si>
  <si>
    <t>iglesia ni cristo</t>
  </si>
  <si>
    <t>labandera</t>
  </si>
  <si>
    <t>chinese cabbage production, cabbage production</t>
  </si>
  <si>
    <t>16,000</t>
  </si>
  <si>
    <t>may joy velez alluso</t>
  </si>
  <si>
    <t>09305271475</t>
  </si>
  <si>
    <t>sweet pepper production, tomato production, chilli pepper production</t>
  </si>
  <si>
    <t>nimfa rivera luberas</t>
  </si>
  <si>
    <t>09630585390</t>
  </si>
  <si>
    <t>450,000</t>
  </si>
  <si>
    <t>sweet pepper production, cabbage production, chinese cabbage production</t>
  </si>
  <si>
    <t>shared, community water system/ tubig sa Brgy. spring, river, stream, etc./ sapa</t>
  </si>
  <si>
    <t>ilumenada m. coñado_p3</t>
  </si>
  <si>
    <t>09308970972</t>
  </si>
  <si>
    <t>veg. vendor</t>
  </si>
  <si>
    <t>raddish production</t>
  </si>
  <si>
    <t>25,000</t>
  </si>
  <si>
    <t>renato tamayo nazario</t>
  </si>
  <si>
    <t>09096867694</t>
  </si>
  <si>
    <t>258,000</t>
  </si>
  <si>
    <t>20</t>
  </si>
  <si>
    <t>cabbage production, chinese cabbage production, sweet pepper production</t>
  </si>
  <si>
    <t>rashyl alluso velez</t>
  </si>
  <si>
    <t>09465206286</t>
  </si>
  <si>
    <t>Graduate course</t>
  </si>
  <si>
    <t xml:space="preserve">veg. farmer </t>
  </si>
  <si>
    <t>180,000</t>
  </si>
  <si>
    <t>sweet pepper production, chilli pepper production, cabbage production</t>
  </si>
  <si>
    <t>tubod</t>
  </si>
  <si>
    <t>norbert oriol elesorio</t>
  </si>
  <si>
    <t>140,000</t>
  </si>
  <si>
    <t>95</t>
  </si>
  <si>
    <t>jhon carlo cantay</t>
  </si>
  <si>
    <t>09465371634</t>
  </si>
  <si>
    <t>vga.farmer</t>
  </si>
  <si>
    <t>jerom ruiz cantay</t>
  </si>
  <si>
    <t>09070552723</t>
  </si>
  <si>
    <t>tomato production, cabbage production</t>
  </si>
  <si>
    <t>carmelita sucarez</t>
  </si>
  <si>
    <t>widowed</t>
  </si>
  <si>
    <t>veg.farming</t>
  </si>
  <si>
    <t>5,000</t>
  </si>
  <si>
    <t>75</t>
  </si>
  <si>
    <t>10</t>
  </si>
  <si>
    <t>engracio alcordo</t>
  </si>
  <si>
    <t>construction</t>
  </si>
  <si>
    <t>alfredo panchacala</t>
  </si>
  <si>
    <t>09510450148</t>
  </si>
  <si>
    <t>matrepona</t>
  </si>
  <si>
    <t>veg.farmee</t>
  </si>
  <si>
    <t>brgy official</t>
  </si>
  <si>
    <t>140,00</t>
  </si>
  <si>
    <t>arnold panchacala</t>
  </si>
  <si>
    <t>09709970903</t>
  </si>
  <si>
    <t>veg.farmer</t>
  </si>
  <si>
    <t>66,000</t>
  </si>
  <si>
    <t>6,000</t>
  </si>
  <si>
    <t>chines cabbage production</t>
  </si>
  <si>
    <t>pagpanukap</t>
  </si>
  <si>
    <t>gelyn gervacio</t>
  </si>
  <si>
    <t>09306664502</t>
  </si>
  <si>
    <t>farm laborer</t>
  </si>
  <si>
    <t>19,500</t>
  </si>
  <si>
    <t>chili pepper production, chinese cabbage production</t>
  </si>
  <si>
    <t>transplanting, harvesting</t>
  </si>
  <si>
    <t>8,000</t>
  </si>
  <si>
    <t>collect using rain water</t>
  </si>
  <si>
    <t>josephine metran</t>
  </si>
  <si>
    <t>09463451752</t>
  </si>
  <si>
    <t>baptist</t>
  </si>
  <si>
    <t>viand vendor</t>
  </si>
  <si>
    <t>85,000</t>
  </si>
  <si>
    <t>sally parami</t>
  </si>
  <si>
    <t>09098299359</t>
  </si>
  <si>
    <t>117,200</t>
  </si>
  <si>
    <t>plowing, harrowing</t>
  </si>
  <si>
    <t>67,200</t>
  </si>
  <si>
    <t>cesel relosa_p9</t>
  </si>
  <si>
    <t>093176719010</t>
  </si>
  <si>
    <t>tomato production</t>
  </si>
  <si>
    <t>94</t>
  </si>
  <si>
    <t>18,000</t>
  </si>
  <si>
    <t>ronie rojo</t>
  </si>
  <si>
    <t>09380061662</t>
  </si>
  <si>
    <t>ernesto hagonos_p3</t>
  </si>
  <si>
    <t>09485632805</t>
  </si>
  <si>
    <t>weeding, transplanting</t>
  </si>
  <si>
    <t>4,000</t>
  </si>
  <si>
    <t>shared, community water system/ tubig sa Brgy. rainwater/ tubig uwan</t>
  </si>
  <si>
    <t>calixtro k. rivera jr._p3</t>
  </si>
  <si>
    <t>09208845897</t>
  </si>
  <si>
    <t>46,000</t>
  </si>
  <si>
    <t>cabbage production, chinese cabbage</t>
  </si>
  <si>
    <t>97</t>
  </si>
  <si>
    <t>transplanting, cultivation</t>
  </si>
  <si>
    <t>manuhol ug magpakabo</t>
  </si>
  <si>
    <t>deopardo alcordo_p5</t>
  </si>
  <si>
    <t>09852867666</t>
  </si>
  <si>
    <t>50</t>
  </si>
  <si>
    <t>joel badil sr._p2</t>
  </si>
  <si>
    <t>09484499472</t>
  </si>
  <si>
    <t>520,000</t>
  </si>
  <si>
    <t>eggplant production, cabbage production, chinese cabbage production</t>
  </si>
  <si>
    <t>manuel a. omapas_p3</t>
  </si>
  <si>
    <t>09856204835</t>
  </si>
  <si>
    <t>born again</t>
  </si>
  <si>
    <t>36,000</t>
  </si>
  <si>
    <t>virgie gervacio</t>
  </si>
  <si>
    <t>09639111802</t>
  </si>
  <si>
    <t>spray
plotting
howling
weeding
planting
harvest</t>
  </si>
  <si>
    <t>harvest
planting
weeding</t>
  </si>
  <si>
    <t>10,000/ year</t>
  </si>
  <si>
    <t>carlos duran</t>
  </si>
  <si>
    <t>farm.laborer</t>
  </si>
  <si>
    <t>15,000</t>
  </si>
  <si>
    <t>spray
plowing
plotting
howling
basal
planting
harvest</t>
  </si>
  <si>
    <t>5,000/year</t>
  </si>
  <si>
    <t>communal irrigation/ daghan tag-iya sa tubig</t>
  </si>
  <si>
    <t>nathaniel constantino</t>
  </si>
  <si>
    <t>09635660363</t>
  </si>
  <si>
    <t>witness</t>
  </si>
  <si>
    <t>plowing
spray
plotting
howling
basal
planting
weeding
drenching
harvest</t>
  </si>
  <si>
    <t>harvest
weeding
karyada 
planting</t>
  </si>
  <si>
    <t>facundo baron jr</t>
  </si>
  <si>
    <t>harvest
weeding
planting
karyada</t>
  </si>
  <si>
    <t>rosita macunay</t>
  </si>
  <si>
    <t>afkmu</t>
  </si>
  <si>
    <t>weeding
planting
basal</t>
  </si>
  <si>
    <t>harvest
planting</t>
  </si>
  <si>
    <t>3,000/ year</t>
  </si>
  <si>
    <t>dexter raquel</t>
  </si>
  <si>
    <t>juanito canales</t>
  </si>
  <si>
    <t>09070434719</t>
  </si>
  <si>
    <t>bisaya/ waray</t>
  </si>
  <si>
    <t>emy quimpano</t>
  </si>
  <si>
    <t>09816354510</t>
  </si>
  <si>
    <t>junie diaz</t>
  </si>
  <si>
    <t>lolita espelita_p2</t>
  </si>
  <si>
    <t>09108002456</t>
  </si>
  <si>
    <t>separated</t>
  </si>
  <si>
    <t>38,000</t>
  </si>
  <si>
    <t>melvin nayre_p3</t>
  </si>
  <si>
    <t>09815953777</t>
  </si>
  <si>
    <t>transplanting</t>
  </si>
  <si>
    <t>jaime madanglog</t>
  </si>
  <si>
    <t>09518292598</t>
  </si>
  <si>
    <t>49,000</t>
  </si>
  <si>
    <t>crivilyn nazario</t>
  </si>
  <si>
    <t>09630598010</t>
  </si>
  <si>
    <t>80</t>
  </si>
  <si>
    <t>divina zamora</t>
  </si>
  <si>
    <t>09380356904</t>
  </si>
  <si>
    <t>48,000</t>
  </si>
  <si>
    <t>harvesting, cultivation, weeding</t>
  </si>
  <si>
    <t>42,000</t>
  </si>
  <si>
    <t>jovelito talan</t>
  </si>
  <si>
    <t>09709951995</t>
  </si>
  <si>
    <t>59,000</t>
  </si>
  <si>
    <t>weeding, cultivating, harvesting</t>
  </si>
  <si>
    <t>estrella diaz/badell</t>
  </si>
  <si>
    <t>09706878880</t>
  </si>
  <si>
    <t>sibuyas production</t>
  </si>
  <si>
    <t>25</t>
  </si>
  <si>
    <t>marivic zamora acebez</t>
  </si>
  <si>
    <t>09308901273</t>
  </si>
  <si>
    <t>chinese cabbage production, beans production, raddish production</t>
  </si>
  <si>
    <t>leonard visabella</t>
  </si>
  <si>
    <t>09105648381</t>
  </si>
  <si>
    <t>216,000</t>
  </si>
  <si>
    <t>chinesw cabbage</t>
  </si>
  <si>
    <t>juditha badel</t>
  </si>
  <si>
    <t>bernabe aguinaldo sr.</t>
  </si>
  <si>
    <t>09700225255</t>
  </si>
  <si>
    <t>maintenance</t>
  </si>
  <si>
    <t>carwash business</t>
  </si>
  <si>
    <t>emily a. mendoza_p6</t>
  </si>
  <si>
    <t>transplanting, weeding</t>
  </si>
  <si>
    <t>bernie zamora_p9</t>
  </si>
  <si>
    <t>34,000</t>
  </si>
  <si>
    <t>holing, basal application, transplanting, harvesting</t>
  </si>
  <si>
    <t>marcelo elorza_p6</t>
  </si>
  <si>
    <t>19,000</t>
  </si>
  <si>
    <t>chinese production</t>
  </si>
  <si>
    <t>96</t>
  </si>
  <si>
    <t>weeding, holing</t>
  </si>
  <si>
    <t>9,000</t>
  </si>
  <si>
    <t>abner nazario_p7</t>
  </si>
  <si>
    <t>lorelyn p. visabella</t>
  </si>
  <si>
    <t>09518225624</t>
  </si>
  <si>
    <t>veg farmer</t>
  </si>
  <si>
    <t>manicurist</t>
  </si>
  <si>
    <t>364,400</t>
  </si>
  <si>
    <t>eggplant production</t>
  </si>
  <si>
    <t>nikko ruiz cantay</t>
  </si>
  <si>
    <t>09075891407</t>
  </si>
  <si>
    <t>bernie panchacala</t>
  </si>
  <si>
    <t>09105197475</t>
  </si>
  <si>
    <t>mdea evangelist association</t>
  </si>
  <si>
    <t>motor repair</t>
  </si>
  <si>
    <t>fetch water from the spring</t>
  </si>
  <si>
    <t>benbino dela pena</t>
  </si>
  <si>
    <t>09125787436</t>
  </si>
  <si>
    <t>sweet pepper, chilli pepper production</t>
  </si>
  <si>
    <t>30,000 (1 year)</t>
  </si>
  <si>
    <t>roberto argomedo</t>
  </si>
  <si>
    <t>129,800</t>
  </si>
  <si>
    <t>1 year</t>
  </si>
  <si>
    <t>rosa matugas</t>
  </si>
  <si>
    <t>130,700</t>
  </si>
  <si>
    <t>cabbage, chinese cabbage, chili pepper production</t>
  </si>
  <si>
    <t>farm laborer, farm animal rent</t>
  </si>
  <si>
    <t>115,200/year</t>
  </si>
  <si>
    <t>dug well/ tabay rainwater/ tubig uwan</t>
  </si>
  <si>
    <t>fetch water from the artesian</t>
  </si>
  <si>
    <t>celso nayre</t>
  </si>
  <si>
    <t>daylyn columnas</t>
  </si>
  <si>
    <t>12,000/year</t>
  </si>
  <si>
    <t>gilda cabeserio</t>
  </si>
  <si>
    <t>09512681702</t>
  </si>
  <si>
    <t>mariano pacaldo</t>
  </si>
  <si>
    <t>09630719447</t>
  </si>
  <si>
    <t>cebuano</t>
  </si>
  <si>
    <t>roliza cervantez</t>
  </si>
  <si>
    <t>09700229108</t>
  </si>
  <si>
    <t>chinese cabbage production, beans production , chilli pepper production</t>
  </si>
  <si>
    <t>ID</t>
  </si>
  <si>
    <t>live in</t>
  </si>
  <si>
    <t>Income/Year</t>
  </si>
  <si>
    <t>On-Farm Activities (please specify)</t>
  </si>
  <si>
    <t>Parcel no.</t>
  </si>
  <si>
    <t>Area (ha)</t>
  </si>
  <si>
    <t>Land Type</t>
  </si>
  <si>
    <t>Land Type/Upland/ Bukid</t>
  </si>
  <si>
    <t>Land Type/Lowland irrigated/ patag nga naay irigasyon</t>
  </si>
  <si>
    <t>Land Type/Lowland rainfed/ patag nga nagsalig sa uwan</t>
  </si>
  <si>
    <t>Land Type/Sloping/bakilid</t>
  </si>
  <si>
    <t>Land Type/Others</t>
  </si>
  <si>
    <t>Crops Planted (please specify per (%))</t>
  </si>
  <si>
    <t>Form of Ownership</t>
  </si>
  <si>
    <t>Mode of acquisition</t>
  </si>
  <si>
    <t>Tenure</t>
  </si>
  <si>
    <t>Year of Acquisition</t>
  </si>
  <si>
    <t>Land Utilization</t>
  </si>
  <si>
    <t>Land Utilization/use for growing vegetable crops/ gamit para sa pagpatubo ug utanon</t>
  </si>
  <si>
    <t>Land Utilization/rice paddy/ gamit para tamnan ug humay</t>
  </si>
  <si>
    <t>Land Utilization/lease/ gipaabangan</t>
  </si>
  <si>
    <t>Land Utilization/fallowed</t>
  </si>
  <si>
    <t>Land Utilization/others</t>
  </si>
  <si>
    <t>Sloping/bakilid</t>
  </si>
  <si>
    <t>eggplant (100%), ombok (100%)</t>
  </si>
  <si>
    <t>conjugal</t>
  </si>
  <si>
    <t>inherited from parents</t>
  </si>
  <si>
    <t>certificate of land transfer</t>
  </si>
  <si>
    <t>use for growing vegetable crops/ gamit para sa pagpatubo ug utanon</t>
  </si>
  <si>
    <t>Lowland irrigated/ patag nga naay irigasyon</t>
  </si>
  <si>
    <t>cabbage (100%), chinese cabbage (100%)</t>
  </si>
  <si>
    <t>individual</t>
  </si>
  <si>
    <t>purchase/pinalit</t>
  </si>
  <si>
    <t>Owned with land title</t>
  </si>
  <si>
    <t>cabbage (85), chinese cabbage (15%)</t>
  </si>
  <si>
    <t>gift/hinatag</t>
  </si>
  <si>
    <t>Upland/ Bukid</t>
  </si>
  <si>
    <t>cabbage, chinese cabbage</t>
  </si>
  <si>
    <t>sweet pepper (70), tomato (30)</t>
  </si>
  <si>
    <t>partnership</t>
  </si>
  <si>
    <t>share of tenant</t>
  </si>
  <si>
    <t>share tenant</t>
  </si>
  <si>
    <t>cabbage, chinese cabbage (25%)</t>
  </si>
  <si>
    <t>financing scheme (financier will provide the land and inputs, our counterpart is labor) we will devide the gross</t>
  </si>
  <si>
    <t>financing scheme</t>
  </si>
  <si>
    <t>coconut (50%), veg. (50%)</t>
  </si>
  <si>
    <t>tomato (50), sweet pepper (50)</t>
  </si>
  <si>
    <t>cabbage (100)</t>
  </si>
  <si>
    <t>cabbage (40), chinese cabbage (30), sweet pepper (30)</t>
  </si>
  <si>
    <t>chinese cabbage (100)</t>
  </si>
  <si>
    <t>communal</t>
  </si>
  <si>
    <t>Lowland rainfed/ patag nga nagsalig sa uwan</t>
  </si>
  <si>
    <t>cabbage/ 100%
chinese cabbage/ 100%</t>
  </si>
  <si>
    <t>rent</t>
  </si>
  <si>
    <t>chinese cabbage 100%</t>
  </si>
  <si>
    <t>pepper 100%</t>
  </si>
  <si>
    <t>cabbage (70)</t>
  </si>
  <si>
    <t>sweet pepper (100), chilli pepper (100)</t>
  </si>
  <si>
    <t>cabbage (50), chinese cabbage (50)</t>
  </si>
  <si>
    <t>sweet pepper (70)</t>
  </si>
  <si>
    <t>sweet pepper (100)</t>
  </si>
  <si>
    <t>cabbage 100% 
chinese cabbage 100%</t>
  </si>
  <si>
    <t>eggplant 100%</t>
  </si>
  <si>
    <t>chinese cabbage 100%
cabbage 100%</t>
  </si>
  <si>
    <t>borrowed</t>
  </si>
  <si>
    <t>borrow</t>
  </si>
  <si>
    <t>sweet pepper (50)
chayote (50)</t>
  </si>
  <si>
    <t>tomato (100%)</t>
  </si>
  <si>
    <t>chinese cabbage (100), cabbage (100)</t>
  </si>
  <si>
    <t>from his mother</t>
  </si>
  <si>
    <t>chinese cabbage (50), beans (25), sweet pepper (25)</t>
  </si>
  <si>
    <t>tomato 100%</t>
  </si>
  <si>
    <t>cabbage 100%</t>
  </si>
  <si>
    <t>cabbage 100%
chinese cabbage 100%</t>
  </si>
  <si>
    <t>sweet pepper (25), cabbage (75)</t>
  </si>
  <si>
    <t>sa amo</t>
  </si>
  <si>
    <t>chinese cabbage 100% 
cabbage 100%</t>
  </si>
  <si>
    <t>farm worker/laborer</t>
  </si>
  <si>
    <t>tomato (100)</t>
  </si>
  <si>
    <t>sweet pepper (50), chinese cabbage (100), cabbage (50)</t>
  </si>
  <si>
    <t>raddish (88)</t>
  </si>
  <si>
    <t>use for growing vegetable crops/ gamit para sa pagpatubo ug utanon others</t>
  </si>
  <si>
    <t>sweet pepper (30), chilli pepper (40), cabbage (30)</t>
  </si>
  <si>
    <t>sweet pepper (50), chilli pepper (50)</t>
  </si>
  <si>
    <t>from in-laws</t>
  </si>
  <si>
    <t>tomato (50), chinese cabbage (50)</t>
  </si>
  <si>
    <t xml:space="preserve">cabbage (100) </t>
  </si>
  <si>
    <t>renting</t>
  </si>
  <si>
    <t>rented</t>
  </si>
  <si>
    <t>lend</t>
  </si>
  <si>
    <t>chinese cabbage (50)</t>
  </si>
  <si>
    <t>chinese cabbage (90), coconut trees (10)</t>
  </si>
  <si>
    <t>cabbage (86)</t>
  </si>
  <si>
    <t>chinese cabbage (85), coconut trees (15)</t>
  </si>
  <si>
    <t>cabbage (100), chinese cabbage (100)</t>
  </si>
  <si>
    <t>cabbage (95)</t>
  </si>
  <si>
    <t>cabbage (25), eggplant (50), chinese cabbage (25)</t>
  </si>
  <si>
    <t>chinese cabbage 50%</t>
  </si>
  <si>
    <t>leasehold</t>
  </si>
  <si>
    <t>cabbage 50%
chinese cabbage 50%</t>
  </si>
  <si>
    <t>beans 50%</t>
  </si>
  <si>
    <t>claimant cultivator</t>
  </si>
  <si>
    <t>use for growing vegetable crops/ gamit para sa pagpatubo ug utanon rice paddy/ gamit para tamnan ug humay</t>
  </si>
  <si>
    <t xml:space="preserve">chinese cabbage </t>
  </si>
  <si>
    <t>pawned</t>
  </si>
  <si>
    <t>sibuyas (100)</t>
  </si>
  <si>
    <t>chinese cabbage (60), beans (20), raddish (20)</t>
  </si>
  <si>
    <t>chinese cabbage (60), cabbage (40)</t>
  </si>
  <si>
    <t>chinese cabbage (98), coconut trees (2)</t>
  </si>
  <si>
    <t>eggplant (98%)</t>
  </si>
  <si>
    <t>cabbage (50%)</t>
  </si>
  <si>
    <t>Lowland irrigated/ patag nga naay irigasyon Lowland rainfed/ patag nga nagsalig sa uwan Sloping/bakilid</t>
  </si>
  <si>
    <t>chinese cabbage (100%)</t>
  </si>
  <si>
    <t>sweet pepper (30%), chili pepper (70%)</t>
  </si>
  <si>
    <t>government aid/ hinatag sa gobyerno</t>
  </si>
  <si>
    <t>chinese cabbage (100), beans (100), chilli pepper (100)</t>
  </si>
  <si>
    <t>inherited from in-law</t>
  </si>
  <si>
    <t>#of years Acquired</t>
  </si>
  <si>
    <t>Average # of hours per crops, hectare and activity (Own Labor)</t>
  </si>
  <si>
    <t>Activities</t>
  </si>
  <si>
    <t>Chinese Cabbage</t>
  </si>
  <si>
    <t>Cabbage</t>
  </si>
  <si>
    <t>Eggplant</t>
  </si>
  <si>
    <t>Sweetpepper</t>
  </si>
  <si>
    <t>Tomato</t>
  </si>
  <si>
    <t>Average  hours /ha</t>
  </si>
  <si>
    <t>female</t>
  </si>
  <si>
    <t>male</t>
  </si>
  <si>
    <t>famale</t>
  </si>
  <si>
    <t>Herbicide application</t>
  </si>
  <si>
    <t>Seedling propagation</t>
  </si>
  <si>
    <t>Land preparation</t>
  </si>
  <si>
    <t>Side dress application</t>
  </si>
  <si>
    <t>Planting</t>
  </si>
  <si>
    <t>Fertilizer application</t>
  </si>
  <si>
    <t>Trellising</t>
  </si>
  <si>
    <t>Weeding</t>
  </si>
  <si>
    <t>Pesticide application</t>
  </si>
  <si>
    <t>Harvesting and Post-harvest</t>
  </si>
  <si>
    <t>Do you know of any org. where you/any household member can join?</t>
  </si>
  <si>
    <t>Do you/any household member have an organization?</t>
  </si>
  <si>
    <t>If no, why not?</t>
  </si>
  <si>
    <t>Are you aware of any livelihood support/training/seminar?</t>
  </si>
  <si>
    <t>Have you attended attended/granted with any in the last 5 years?</t>
  </si>
  <si>
    <t>If no, why not</t>
  </si>
  <si>
    <t xml:space="preserve">If no, why not/No time/too busy </t>
  </si>
  <si>
    <t xml:space="preserve">If no, why not/Not available when the seminar was conducted </t>
  </si>
  <si>
    <t xml:space="preserve">If no, why not/House is far from the training site </t>
  </si>
  <si>
    <t xml:space="preserve">If no, why not/Do not see the need for one </t>
  </si>
  <si>
    <t>If no, why not/Can get the information without attending</t>
  </si>
  <si>
    <t>If no, why not/Others</t>
  </si>
  <si>
    <t>Are you aware of new production techniques and technologies in vegetable production?</t>
  </si>
  <si>
    <t>**How are decision-making and labor divisions in your household and farm?**</t>
  </si>
  <si>
    <t>Who decides the kind of food?</t>
  </si>
  <si>
    <t>Why?</t>
  </si>
  <si>
    <t>Who performs?</t>
  </si>
  <si>
    <t>Who decides in buying clothes?</t>
  </si>
  <si>
    <t>Who decides in seeking medical care?</t>
  </si>
  <si>
    <t>Who decides the education of children?</t>
  </si>
  <si>
    <t>Who decides in acquiring appliances?</t>
  </si>
  <si>
    <t>Who decides in acquiring of furniture/accessories?</t>
  </si>
  <si>
    <t>Who decides in acquiring farm inputs/animals?</t>
  </si>
  <si>
    <t>Who performs</t>
  </si>
  <si>
    <t>Who decides in availing of loans/credit?</t>
  </si>
  <si>
    <t>Who decides in spending income?</t>
  </si>
  <si>
    <t>Who decides in leisure activities?</t>
  </si>
  <si>
    <t>Who decides in cooking?</t>
  </si>
  <si>
    <t>Who decides in washing dishes?</t>
  </si>
  <si>
    <t>Who decides in washing of clothes</t>
  </si>
  <si>
    <t>Who decides in cleaning the house?</t>
  </si>
  <si>
    <t xml:space="preserve">Who decides in fetching water? </t>
  </si>
  <si>
    <t>Who decides in gathering firewood?</t>
  </si>
  <si>
    <t>Who decides in taking care of the children?</t>
  </si>
  <si>
    <t>Who decides in managing household finances?</t>
  </si>
  <si>
    <t>Who decides in buying food?</t>
  </si>
  <si>
    <t>Who decides in feeding the animals?</t>
  </si>
  <si>
    <t>Who decides in attending school meetings?</t>
  </si>
  <si>
    <t>Who decides what crop to plant?</t>
  </si>
  <si>
    <t>Who decides in buying farm supplies?</t>
  </si>
  <si>
    <t>Who decides who will do the seedling production?</t>
  </si>
  <si>
    <t>Who decides who will do the the plowing/land preparation?</t>
  </si>
  <si>
    <t>Who decides who will do the planting?</t>
  </si>
  <si>
    <t>Why</t>
  </si>
  <si>
    <t>Who decides who will do the trellising?</t>
  </si>
  <si>
    <t>Who decides who will do the mulching?</t>
  </si>
  <si>
    <t>Who will perform?</t>
  </si>
  <si>
    <t>Who decides who will do the irrigation?</t>
  </si>
  <si>
    <t>Who decides who will do the wedding?</t>
  </si>
  <si>
    <t>Who decide who will do the fertilizer application?</t>
  </si>
  <si>
    <t>Who decide who will pruning?</t>
  </si>
  <si>
    <t>Who decide who will do the pest management?</t>
  </si>
  <si>
    <t>Who decides who will do the disease management?</t>
  </si>
  <si>
    <t>Who decides who will do the harvesting?</t>
  </si>
  <si>
    <t>Who decides who will do the post- harvesting practice (sorting, grading, washing, packing)?</t>
  </si>
  <si>
    <t>Who decides which market outlet?</t>
  </si>
  <si>
    <t>Who decides the selling produce?</t>
  </si>
  <si>
    <t>Who decides the keeping of sales record?</t>
  </si>
  <si>
    <t>Who decides the keeping of farm record?</t>
  </si>
  <si>
    <t>Teaching the children how to farm, who decides?</t>
  </si>
  <si>
    <t>Managing the farm finances, who decides?</t>
  </si>
  <si>
    <t>Membership in organization, who decides?</t>
  </si>
  <si>
    <t>Who decides who will attend the trainings related to agriculture?</t>
  </si>
  <si>
    <t>Who decides who will attend meetings with extension agents?</t>
  </si>
  <si>
    <t>Attendance to community meetings and other activities, who decides?</t>
  </si>
  <si>
    <t>Who decides the adoption of vegetable production technologies?</t>
  </si>
  <si>
    <t>Others, specify?</t>
  </si>
  <si>
    <t>Knowledge: Below are statements about your farming practices. Please click to the column which corresponds to the phrase best describes your opinion.</t>
  </si>
  <si>
    <t>The women in your household , with knowledge and skills, in agriculture need to be empowered and encourage to make a significant contribution to vegetable production.</t>
  </si>
  <si>
    <t>It is unfair that women in your household in vegetable production have limited access to land and resource such as tool and fertilizers due to their gender.</t>
  </si>
  <si>
    <t>There is already a policy in the municipality that all farmers in vegetable production, regardless of gender, have equal involvement and participation in agricultural projects.</t>
  </si>
  <si>
    <t>Agriculture development programs in vegetable production should prioritize gender equality and aim to protect women in agriculture from discrimination and limited access to opportunity.</t>
  </si>
  <si>
    <t>Machinery and technology in vegetable farming should enable women in agriculture to contribute more significant to the sector be reducing manual labor and increasing productivity.</t>
  </si>
  <si>
    <t>Agricultural information and education programs in vegetable farming should provide examples and stories that highlights the contribution of women in agriculture, to further their participation and knowledge in the sector. </t>
  </si>
  <si>
    <t>Women living in rural areas need to gather knowledge about new agricultural technologies on vegetable faming to help develop their livelihoods and product quality.</t>
  </si>
  <si>
    <t>The participation of women in the household to agricultural organizations provides greater opportunities to make decisions in the sector and contribute to improving their livelihoods. </t>
  </si>
  <si>
    <t>Providing opportunities for women in the household to lead agricultural organizations reduce power imbalance and provides greater opportunities for them to showcase their skills and knowledge in community livelihoods.</t>
  </si>
  <si>
    <t>Allowing women and men to access agricultural services and inputs, such as irrigation and seeds, provides greater opportunities for livelihood improvement and gender equality in their sector. </t>
  </si>
  <si>
    <t>I feel that I have the necessary skills and knowledge in vegetable farming. </t>
  </si>
  <si>
    <t>I farm for livelihood instead of business.</t>
  </si>
  <si>
    <t>Organic fertilizes is needed  and should be used by all farmers to make the soil and plants healthy. </t>
  </si>
  <si>
    <t>Raised beds are better than those that are not.</t>
  </si>
  <si>
    <t>Plowing and harrowing do not lessen the attack of pests and diseases.</t>
  </si>
  <si>
    <t>Hybrid seeds will yield almost the same as recycled seeds.</t>
  </si>
  <si>
    <t>Planting materials other than seeds are difficult to manage.</t>
  </si>
  <si>
    <t>Higher- density plantings will always give higher yields.</t>
  </si>
  <si>
    <t>There are varieties that are resistant to some diseases.</t>
  </si>
  <si>
    <t>Its okay to skip a day in watering plants.</t>
  </si>
  <si>
    <t>Investing in irrigation is expensive.</t>
  </si>
  <si>
    <t>Watering the plants in the afternoon is better than doing in the morning.</t>
  </si>
  <si>
    <t>Increasing the amount of fertilizers increase the plant yield and its quality.</t>
  </si>
  <si>
    <t>Using fresh chicken dung is better than using the dried one. </t>
  </si>
  <si>
    <t>It is okay to double the amount of fertilizer to apply this week so that I can minimize or skip the application for next week.</t>
  </si>
  <si>
    <t>Organic fertilizer must only be applied through basal application.</t>
  </si>
  <si>
    <t>I use pesticides for pest control to increase my yield.</t>
  </si>
  <si>
    <t>Using pesticide spraying to control insects can harm my health.</t>
  </si>
  <si>
    <t>Since bottles and plastics used from pesticides are non-biodegradable, leaving them in the soil would not harm it. </t>
  </si>
  <si>
    <t>Washing and reusing the bottles from pesticides is safe and not harmful.</t>
  </si>
  <si>
    <t>I use chemicals for disease management to increase my yield.</t>
  </si>
  <si>
    <t>Using chemicals for disease management will not harm my health.</t>
  </si>
  <si>
    <t>Recycling and reusing bottles of chemicals is not harmful. </t>
  </si>
  <si>
    <t>Even after harvest,  the vegetables can still be contaminated.</t>
  </si>
  <si>
    <t>Is is okay to spray pesticides before harvesting the next day. </t>
  </si>
  <si>
    <t>The choice of packaging material after harvesting do not affect the quality of the produce.</t>
  </si>
  <si>
    <t>I try new techniques because it can improve my harvest.</t>
  </si>
  <si>
    <t>I do things that are considered risky.</t>
  </si>
  <si>
    <t>When something gets in the way of what I am trying to do, I keep on trying to accomplish what I want.</t>
  </si>
  <si>
    <t>When trying something difficult or challenging, I feel confident that I will succeed.</t>
  </si>
  <si>
    <t>When I don't know something, I don't mind asking for help.</t>
  </si>
  <si>
    <t>Pesticide drift poses a significant risk to nearby ecosystem and wildlife</t>
  </si>
  <si>
    <t>Overuse or misuse of pesticides can have adverse effects on human health</t>
  </si>
  <si>
    <t>Proper protective measures can mitigate health risks associated with pesticides</t>
  </si>
  <si>
    <t>Proper safety measures can minimize the health risks associated with agricultural inputs</t>
  </si>
  <si>
    <t xml:space="preserve">Yes </t>
  </si>
  <si>
    <t>Both equally</t>
  </si>
  <si>
    <t>to avoid misunderstanding</t>
  </si>
  <si>
    <t>we both do the cooking depending on who is available</t>
  </si>
  <si>
    <t>Women only</t>
  </si>
  <si>
    <t>my wife is good at choosing clothes</t>
  </si>
  <si>
    <t>we usually go to the city together</t>
  </si>
  <si>
    <t>it depends on who is not sick</t>
  </si>
  <si>
    <t>to avoid misunderstanding and blaming each other</t>
  </si>
  <si>
    <t>to avoid blaming each other</t>
  </si>
  <si>
    <t>because my is good at choosing furniture</t>
  </si>
  <si>
    <t>Men mostly</t>
  </si>
  <si>
    <t>only i know what is needed in the farm</t>
  </si>
  <si>
    <t>we usually go to the city together to buy farm inputs</t>
  </si>
  <si>
    <t>Men only</t>
  </si>
  <si>
    <t>i have consulted my wife, but i'm the one who signs the contract</t>
  </si>
  <si>
    <t>it is usually my wife, who is out for leisure activities</t>
  </si>
  <si>
    <t>depending on who is available</t>
  </si>
  <si>
    <t>we both do the laundry, so that my wife will not be too exhausted</t>
  </si>
  <si>
    <t>my wife usually left in the house, hence  she'll do the cleaning</t>
  </si>
  <si>
    <t>we do not fetch water</t>
  </si>
  <si>
    <t>we do not use firewood</t>
  </si>
  <si>
    <t>it is usually my wife who takes care of budgeting</t>
  </si>
  <si>
    <t>ww do not have farm animals</t>
  </si>
  <si>
    <t>i am busy in the farm</t>
  </si>
  <si>
    <t>because i know what crop to plant in specific season</t>
  </si>
  <si>
    <t>we usually go to the city together to buy farm supplies</t>
  </si>
  <si>
    <t>because i am the one who works in the farm</t>
  </si>
  <si>
    <t>because i am the works in the farm</t>
  </si>
  <si>
    <t>although my wife wants to help, taking care of our children is her priority</t>
  </si>
  <si>
    <t>i do all the farm activities as i am the one who works in the farm</t>
  </si>
  <si>
    <t>we do not do mulching</t>
  </si>
  <si>
    <t>sometimes my wife helps me decide when to harvest</t>
  </si>
  <si>
    <t>my wife helps me in harvesting whenever she is available</t>
  </si>
  <si>
    <t>my wife also helps me in packing the harvest</t>
  </si>
  <si>
    <t>my wife helps me decide to whom do we sell our produce</t>
  </si>
  <si>
    <t>it is really my wife who is doing the farm records</t>
  </si>
  <si>
    <t>i am busy in the farm, my wife manages the finances , she records everything</t>
  </si>
  <si>
    <t>my wife thinks it is important to track our sales and expenses</t>
  </si>
  <si>
    <t>keeping farm record is too much work for me</t>
  </si>
  <si>
    <t>it is me who teach our children how to do farm activities</t>
  </si>
  <si>
    <t>i'll bring the children in the farm whenever they are available</t>
  </si>
  <si>
    <t>i trust that my wife is good at managing our finances</t>
  </si>
  <si>
    <t>we both decide to join to increase our learning in veg. production</t>
  </si>
  <si>
    <t>we both attend trainings, meetings and other activities in the cooperative</t>
  </si>
  <si>
    <t>Women mostly</t>
  </si>
  <si>
    <t>most of the time, my wife is the one who meets with extension agents</t>
  </si>
  <si>
    <t>i attend pentakasi specially when the activities are laborious</t>
  </si>
  <si>
    <t>because i know what is needed in the farm and my capacity to perform</t>
  </si>
  <si>
    <t>Strongly Agree</t>
  </si>
  <si>
    <t>Strongly Disagree</t>
  </si>
  <si>
    <t>Agree</t>
  </si>
  <si>
    <t>Disagree</t>
  </si>
  <si>
    <t>no need</t>
  </si>
  <si>
    <t>only my wife knows how to cook</t>
  </si>
  <si>
    <t>we both decided what to buy to choose our own preference</t>
  </si>
  <si>
    <t>we both go to the City to buy clothes</t>
  </si>
  <si>
    <t>we both realize the importance of education</t>
  </si>
  <si>
    <t>to avoid misunderstanding and conflict</t>
  </si>
  <si>
    <t>we don not want to avail credit</t>
  </si>
  <si>
    <t>my wife do the budgeting, because i am focus in working in the farm</t>
  </si>
  <si>
    <t>i'm confident that my wife is good at handling our finances</t>
  </si>
  <si>
    <t>we both decided to go on leisure activities</t>
  </si>
  <si>
    <t>we both do the cooking, depending on who is available</t>
  </si>
  <si>
    <t>most of the time my wife does the cooking</t>
  </si>
  <si>
    <t>because i am busy in the farm</t>
  </si>
  <si>
    <t>Women Only</t>
  </si>
  <si>
    <t>the wood is heavy</t>
  </si>
  <si>
    <t>we help each other in taking care of our children</t>
  </si>
  <si>
    <t>my wife is good at budgeting our finances</t>
  </si>
  <si>
    <t>i'm the one who knows what to plant in specific time of the month</t>
  </si>
  <si>
    <t>i'm the one who knows and performs farming activities, my wife stays at home and she does not know anything about farming</t>
  </si>
  <si>
    <t>we both decided to teach the children in the farm, so that they will not be ignorant</t>
  </si>
  <si>
    <t>most of the time, i teach the children and my wife supports me</t>
  </si>
  <si>
    <t>i just tell my wife what needs to be purchased and then she will do the budgeting</t>
  </si>
  <si>
    <t>we are not part of any organization</t>
  </si>
  <si>
    <t>we both agreed to attend training</t>
  </si>
  <si>
    <t>takes turn in attending</t>
  </si>
  <si>
    <t>we both agree to attend</t>
  </si>
  <si>
    <t>because my wife is the one who holds our budget</t>
  </si>
  <si>
    <t>she's the one who holds the budget</t>
  </si>
  <si>
    <t>she knows what we need and what fits us</t>
  </si>
  <si>
    <t>she's the one who knows what fits us</t>
  </si>
  <si>
    <t>she's the one who knows what we feel</t>
  </si>
  <si>
    <t>she"s the one who knows what we feel</t>
  </si>
  <si>
    <t>to be fair</t>
  </si>
  <si>
    <t>to be fair for the both of us since it is our children</t>
  </si>
  <si>
    <t>i'll just agree what my wife wants to buy</t>
  </si>
  <si>
    <t>i'll just go with the flow on what she likes to buy</t>
  </si>
  <si>
    <t>i'll just agree what my wifes want to buy</t>
  </si>
  <si>
    <t>i'll just go with the flow om what my wife wants</t>
  </si>
  <si>
    <t>i'm the one who works in the farm</t>
  </si>
  <si>
    <t>i'm the one who knows what to use</t>
  </si>
  <si>
    <t>i'm the one who will pay for it</t>
  </si>
  <si>
    <t>i'm the one who plan it</t>
  </si>
  <si>
    <t>she's the one who buys our needs</t>
  </si>
  <si>
    <t>she holds the budget</t>
  </si>
  <si>
    <t>it is for our family</t>
  </si>
  <si>
    <t>it is our time to have a family bonding</t>
  </si>
  <si>
    <t>we always help each other</t>
  </si>
  <si>
    <t>depends on who is free</t>
  </si>
  <si>
    <t>i'm the one carrying the galloons of water</t>
  </si>
  <si>
    <t>i do not want to burden my wife</t>
  </si>
  <si>
    <t>i'm the one who knows what kind of wood to gather</t>
  </si>
  <si>
    <t>because it is heavy</t>
  </si>
  <si>
    <t>both of us knows what our children needs</t>
  </si>
  <si>
    <t>my wife don't like to feed animals</t>
  </si>
  <si>
    <t>my wife don't want to do it</t>
  </si>
  <si>
    <t>she is the only one who knows it</t>
  </si>
  <si>
    <t>i'm too busy in the farm</t>
  </si>
  <si>
    <t>it's my job and i'm the one who knows it</t>
  </si>
  <si>
    <t>it' my job and i'm the one who knows it</t>
  </si>
  <si>
    <t>it's my job</t>
  </si>
  <si>
    <t>we do not do trellising</t>
  </si>
  <si>
    <t>it's my job, i work in the farm</t>
  </si>
  <si>
    <t>it's my job, i'm the one who works in farming</t>
  </si>
  <si>
    <t>i know how to do it properly</t>
  </si>
  <si>
    <t>since i do the farming</t>
  </si>
  <si>
    <t>because i'm the one who knows the buyer</t>
  </si>
  <si>
    <t>she answers the call from buyer, but i decide where to sell</t>
  </si>
  <si>
    <t>i'm too tired to do it</t>
  </si>
  <si>
    <t>i'm focus on farming</t>
  </si>
  <si>
    <t>to be fair for the both of us</t>
  </si>
  <si>
    <t>we want our children to learn farming</t>
  </si>
  <si>
    <t>i'm the one who knows the needed things in the farm</t>
  </si>
  <si>
    <t>i'm the one who attends meetings specially about agriculture</t>
  </si>
  <si>
    <t>i just want to do it specially when it comes to agriculture</t>
  </si>
  <si>
    <t>i just want it</t>
  </si>
  <si>
    <t>i just want to know it</t>
  </si>
  <si>
    <t>i just want to do it</t>
  </si>
  <si>
    <t>i'm busy in the farm</t>
  </si>
  <si>
    <t>i'm the one who do the farming</t>
  </si>
  <si>
    <t>depends on who is vacant</t>
  </si>
  <si>
    <t>my husband just approved whatever i buy for the family</t>
  </si>
  <si>
    <t>it's me who usually go to the city</t>
  </si>
  <si>
    <t>i'm the one who usually go to the city</t>
  </si>
  <si>
    <t>to avoid conflict</t>
  </si>
  <si>
    <t>to avoid conflicts and misunderstanding</t>
  </si>
  <si>
    <t>so that we cam both choose want we want to buy</t>
  </si>
  <si>
    <t>because i loaned the money to buy furnitures</t>
  </si>
  <si>
    <t>it is my husbanda hobby</t>
  </si>
  <si>
    <t>to avoid comflict</t>
  </si>
  <si>
    <t>we both agree to find time for family bonding</t>
  </si>
  <si>
    <t>we want to be fair for each other</t>
  </si>
  <si>
    <t>depends on who is available</t>
  </si>
  <si>
    <t>my husbands usually go to the farm early</t>
  </si>
  <si>
    <t>because my husband usually go to the farm early</t>
  </si>
  <si>
    <t>because my husband is strong</t>
  </si>
  <si>
    <t>my children is close to me than my husband</t>
  </si>
  <si>
    <t>i'm the one handling the household finances</t>
  </si>
  <si>
    <t>most of the time , my children asks me to attend school meetings</t>
  </si>
  <si>
    <t>to avoid conflicts</t>
  </si>
  <si>
    <t>my husbands knows what is needed in the farm</t>
  </si>
  <si>
    <t>i buy the farm supplies, my husband is busy in the farm</t>
  </si>
  <si>
    <t>we help each other, to make the work faster</t>
  </si>
  <si>
    <t>we do not do plowing, but we do weeding the land to prepare for production</t>
  </si>
  <si>
    <t>we work together to lessen labor cost</t>
  </si>
  <si>
    <t>we do not practice mulching</t>
  </si>
  <si>
    <t>i would help my husband from time to time</t>
  </si>
  <si>
    <t>we work together to make the work faster and lessen labor cost</t>
  </si>
  <si>
    <t>i help my husband from time to time</t>
  </si>
  <si>
    <t>we do not do pruning</t>
  </si>
  <si>
    <t>the sprayer is heavy</t>
  </si>
  <si>
    <t>we both do the harvesting and decide when to harvest</t>
  </si>
  <si>
    <t>we both do the post harvest activity</t>
  </si>
  <si>
    <t>to lessen labor cost</t>
  </si>
  <si>
    <t>we must agree on where to sell our produce</t>
  </si>
  <si>
    <t>we mostly rely on traders</t>
  </si>
  <si>
    <t>we do not record sales</t>
  </si>
  <si>
    <t>we do not keep farm records</t>
  </si>
  <si>
    <t>we both decide to teach our children how to farm</t>
  </si>
  <si>
    <t>i'm the one handling the farm finances</t>
  </si>
  <si>
    <t>we both agree that i'll handle farm finances</t>
  </si>
  <si>
    <t>we both agree</t>
  </si>
  <si>
    <t>because my husband is a brgy. police</t>
  </si>
  <si>
    <t>No opinion</t>
  </si>
  <si>
    <t>for no one to depend on</t>
  </si>
  <si>
    <t>we have different wants upon choosing clothes</t>
  </si>
  <si>
    <t>she knows what medication needed</t>
  </si>
  <si>
    <t>I'm the one who was ordered by my wife</t>
  </si>
  <si>
    <t>to avoid arguments</t>
  </si>
  <si>
    <t>we love our child</t>
  </si>
  <si>
    <t>too heavy for my wife to carry</t>
  </si>
  <si>
    <t>she cannot carry since its too heavy</t>
  </si>
  <si>
    <t>to have the same wants</t>
  </si>
  <si>
    <t>can choose quickly</t>
  </si>
  <si>
    <t>because I'm the one who will look for money</t>
  </si>
  <si>
    <t>she is the one who will pay</t>
  </si>
  <si>
    <t>my wife do the the budgeting</t>
  </si>
  <si>
    <t>she's the one who do budgeting</t>
  </si>
  <si>
    <t>to avoid jealousy</t>
  </si>
  <si>
    <t>to have bond with the family</t>
  </si>
  <si>
    <t>depend who's vacant</t>
  </si>
  <si>
    <t>I was ordered by my wife</t>
  </si>
  <si>
    <t>depends on who's available</t>
  </si>
  <si>
    <t>it's her work</t>
  </si>
  <si>
    <t>helping each other</t>
  </si>
  <si>
    <t>because there's no clothes left</t>
  </si>
  <si>
    <t>it's a men's work</t>
  </si>
  <si>
    <t>too heavy for her</t>
  </si>
  <si>
    <t>it's difficult to do</t>
  </si>
  <si>
    <t>my daughter is closer to my wife</t>
  </si>
  <si>
    <t>i spend it on useless thing</t>
  </si>
  <si>
    <t>good in budgeting</t>
  </si>
  <si>
    <t>she stay at home</t>
  </si>
  <si>
    <t>I'm faster than my wife</t>
  </si>
  <si>
    <t>not applicable</t>
  </si>
  <si>
    <t>im the one who plan for the family</t>
  </si>
  <si>
    <t>i don't want my wife to go in the farm</t>
  </si>
  <si>
    <t>im the one who knows what are needed in the farm</t>
  </si>
  <si>
    <t>because she's busy at taking care of our child</t>
  </si>
  <si>
    <t>im the one who manage the farm</t>
  </si>
  <si>
    <t>im expert on doing seedlings production</t>
  </si>
  <si>
    <t>because it's my job</t>
  </si>
  <si>
    <t>it's part of my work in the farm</t>
  </si>
  <si>
    <t>because im the one who knows how to do it</t>
  </si>
  <si>
    <t>because i have more experience on farming</t>
  </si>
  <si>
    <t>it's a difficult work</t>
  </si>
  <si>
    <t>it's my responsibility</t>
  </si>
  <si>
    <t>because im always on the farm</t>
  </si>
  <si>
    <t>because im more experts in weeding</t>
  </si>
  <si>
    <t>because im the one who manage the farm</t>
  </si>
  <si>
    <t>it's part of my job</t>
  </si>
  <si>
    <t>because im expert on the farm</t>
  </si>
  <si>
    <t>because it's my responsibility</t>
  </si>
  <si>
    <t>its a heavy to do</t>
  </si>
  <si>
    <t>because it's a men's work</t>
  </si>
  <si>
    <t>because it's a difficult work</t>
  </si>
  <si>
    <t>because it's difficult to do</t>
  </si>
  <si>
    <t>no one will blame</t>
  </si>
  <si>
    <t>im the one who has the contact buyers</t>
  </si>
  <si>
    <t>im good at selling products</t>
  </si>
  <si>
    <t>im good on selling products</t>
  </si>
  <si>
    <t>she has more time</t>
  </si>
  <si>
    <t>she's more knowledgeable on keeping records</t>
  </si>
  <si>
    <t>because i don't have time</t>
  </si>
  <si>
    <t>she knows what to do</t>
  </si>
  <si>
    <t>because i have many experience on farming</t>
  </si>
  <si>
    <t>i have experience on farming</t>
  </si>
  <si>
    <t>because im the only interested</t>
  </si>
  <si>
    <t>to learn something new about farming</t>
  </si>
  <si>
    <t>so we both have learned</t>
  </si>
  <si>
    <t>because im interested</t>
  </si>
  <si>
    <t>to have more knowledge in farming</t>
  </si>
  <si>
    <t xml:space="preserve">No time/too busy </t>
  </si>
  <si>
    <t>i will just agree with my wife with whatever she wants to eat</t>
  </si>
  <si>
    <t>we both go to the city together</t>
  </si>
  <si>
    <t>our child is not yet in school</t>
  </si>
  <si>
    <t>we both agree that i will decide what appliances to purchase</t>
  </si>
  <si>
    <t>because i know what is a good appliance</t>
  </si>
  <si>
    <t>we both agree that i get to decide what furniture to purchase</t>
  </si>
  <si>
    <t>because i know what is a good furniture</t>
  </si>
  <si>
    <t>because only i know what is needed in the farm</t>
  </si>
  <si>
    <t>we both decide not to avail credit</t>
  </si>
  <si>
    <t>we must agree on this to avoid conflict</t>
  </si>
  <si>
    <t>we both agree, when we find time</t>
  </si>
  <si>
    <t>my wife is always at home, i am busy in the farm</t>
  </si>
  <si>
    <t>because my wife is always at home while i'm working in the farm</t>
  </si>
  <si>
    <t>Women Mostly</t>
  </si>
  <si>
    <t>because my wife is always at home, i am busy in the farm</t>
  </si>
  <si>
    <t>it is better to help each other, to make the work faster</t>
  </si>
  <si>
    <t>because i am the man in the family</t>
  </si>
  <si>
    <t>it's hard for my wife to gather firewoods because we have different strenght</t>
  </si>
  <si>
    <t>i am busy in the farm, my wife is always at home</t>
  </si>
  <si>
    <t>i always give the income to my wife, she is good at budgeting</t>
  </si>
  <si>
    <t>my wife does not feed the chickens because she's afraid of it</t>
  </si>
  <si>
    <t>because it is my obligation as a man to work in the farm</t>
  </si>
  <si>
    <t>i know what is needed in the farm</t>
  </si>
  <si>
    <t>because i know how to work in the farm</t>
  </si>
  <si>
    <t>my wife wants to help, but i felt sorry for her, farm activities is laborious</t>
  </si>
  <si>
    <t>it is my obligation as a man to work in the farm</t>
  </si>
  <si>
    <t>i do not do mulching</t>
  </si>
  <si>
    <t>because i know where to sell our produce</t>
  </si>
  <si>
    <t>i do not do recording, because i can already estimate the expenses and sales</t>
  </si>
  <si>
    <t>because i know what is needed in the farm</t>
  </si>
  <si>
    <t>i am already a member in the organization before we got married</t>
  </si>
  <si>
    <t>because i will do the work</t>
  </si>
  <si>
    <t xml:space="preserve">House is far from the training site  No time/too busy </t>
  </si>
  <si>
    <t>my wife just agree with me</t>
  </si>
  <si>
    <t>my wife's the one who usually go to the city</t>
  </si>
  <si>
    <t>i trust whatever my wife wants to buy for the family</t>
  </si>
  <si>
    <t>just go with whatever my wife wants to buy</t>
  </si>
  <si>
    <t>my wife is afraid of the risk to avail loan/ credit</t>
  </si>
  <si>
    <t>i usually give my wife all of our income</t>
  </si>
  <si>
    <t>i do not want to hold  the income because i might spend it to other things like liqour</t>
  </si>
  <si>
    <t>i am busy in the fam</t>
  </si>
  <si>
    <t>because i am too tired from working in the farm</t>
  </si>
  <si>
    <t>because she is left at home</t>
  </si>
  <si>
    <t>because my wife cannot handle gathering firewoods, the woods are too heavy</t>
  </si>
  <si>
    <t>because my wife left at home</t>
  </si>
  <si>
    <t>there are times that i cannot go home</t>
  </si>
  <si>
    <t>i'm okay with whatever my wife spends our income</t>
  </si>
  <si>
    <t>it's my wife who usually go to the city</t>
  </si>
  <si>
    <t>i'll just go with whatever my wife wants to buy</t>
  </si>
  <si>
    <t>my wife does not have work</t>
  </si>
  <si>
    <t>financier</t>
  </si>
  <si>
    <t>i'm the one who does the planning in production, my wife helps me sometimes in other farm activities</t>
  </si>
  <si>
    <t>my wife wants to help in planting</t>
  </si>
  <si>
    <t>i will not let my wife help me in irrigating because it's very hot in the farm</t>
  </si>
  <si>
    <t>i do not do pruning</t>
  </si>
  <si>
    <t>my wife cannot lift the sprayer as it is too heavy</t>
  </si>
  <si>
    <t>i would not attend if my wife would not approve of it</t>
  </si>
  <si>
    <t>to avoid misunderstandings</t>
  </si>
  <si>
    <t>my husband just rely on me</t>
  </si>
  <si>
    <t>we both agree to it</t>
  </si>
  <si>
    <t>to avoid arguing and conflicts</t>
  </si>
  <si>
    <t>because my husband does know where to buy</t>
  </si>
  <si>
    <t>to avoid quarelling</t>
  </si>
  <si>
    <t>my husband does not know where to buy</t>
  </si>
  <si>
    <t>because my husband is the one who manages production</t>
  </si>
  <si>
    <t>depends on who is not busy</t>
  </si>
  <si>
    <t>it needs to be the couple who would sign for the loan</t>
  </si>
  <si>
    <t>because our income are mostly needed in production</t>
  </si>
  <si>
    <t>my husband knows what to buy</t>
  </si>
  <si>
    <t>we agreed to assign the cooking to our kids</t>
  </si>
  <si>
    <t>because my husband is too tired from working in the farm</t>
  </si>
  <si>
    <t>because my husband is already tired from working in the farm</t>
  </si>
  <si>
    <t>we both decided to assign this task to our kids</t>
  </si>
  <si>
    <t>i cannot handle gathering firewoods specially that the road in which we gather the woods is too dangerous</t>
  </si>
  <si>
    <t>because i am a woman, most of the time my husband works in the farm</t>
  </si>
  <si>
    <t>my husband trusted me in managing household finances because i am good at budgeting</t>
  </si>
  <si>
    <t>because my husband is busy</t>
  </si>
  <si>
    <t>because my husband knows what to plant</t>
  </si>
  <si>
    <t>so that i can also help my husband</t>
  </si>
  <si>
    <t>because my husband knows what is needed in the farm</t>
  </si>
  <si>
    <t>my husband just gives me the list of things to buy, then i will go to the city to buy it</t>
  </si>
  <si>
    <t>i am not allowed to do it because it can cause relapse</t>
  </si>
  <si>
    <t>i help my husband in planting because i know how to plant and it is an easy job for me</t>
  </si>
  <si>
    <t>we help each other to finish the work faster</t>
  </si>
  <si>
    <t>my husband taught me how to fertigate the plants</t>
  </si>
  <si>
    <t>when my husband is busy on other things i will do the fertigation</t>
  </si>
  <si>
    <t>my husband knows how to do it, i cannot rely on myself to do it as i'll be fainting with just the smell of the chemicals</t>
  </si>
  <si>
    <t>my husband knows when is the perfect time to harvest</t>
  </si>
  <si>
    <t>i help my husband in harvesting as it is an easy task for me</t>
  </si>
  <si>
    <t>we must agree first, before we decide</t>
  </si>
  <si>
    <t>we do not do recording</t>
  </si>
  <si>
    <t>we both decided to teach our children in farm so that they can learn from us</t>
  </si>
  <si>
    <t>my husband knows what is needed in the farm</t>
  </si>
  <si>
    <t>my husband will just order me to buy what is needed in the farm</t>
  </si>
  <si>
    <t>because i cannot handle the work</t>
  </si>
  <si>
    <t>no access</t>
  </si>
  <si>
    <t>my wife do the cooking</t>
  </si>
  <si>
    <t>my wife always do the cooking</t>
  </si>
  <si>
    <t>because we have different wants upon choosing clothes</t>
  </si>
  <si>
    <t>because im the one who will carry all the clothes we bought</t>
  </si>
  <si>
    <t>depend who's available</t>
  </si>
  <si>
    <t>its our choice for the future of our child</t>
  </si>
  <si>
    <t>because im busy on the farm</t>
  </si>
  <si>
    <t>my wife do budgeting</t>
  </si>
  <si>
    <t>my wife is the one who do budgeting</t>
  </si>
  <si>
    <t>im the one who monitor the farm</t>
  </si>
  <si>
    <t>it's my wants to have farm inputs</t>
  </si>
  <si>
    <t>para utang man ang babae</t>
  </si>
  <si>
    <t>my wife stays at home</t>
  </si>
  <si>
    <t>because im busy on farm</t>
  </si>
  <si>
    <t>she is more expert on cleaning the house</t>
  </si>
  <si>
    <t>it's a men work</t>
  </si>
  <si>
    <t>my wife cannot carry a gallon of water</t>
  </si>
  <si>
    <t>im busy on farm</t>
  </si>
  <si>
    <t>because im the one who will look for money</t>
  </si>
  <si>
    <t>because my wife is the who do budgeting</t>
  </si>
  <si>
    <t>because it's my responsibility to feed them</t>
  </si>
  <si>
    <t>because im the one who look for money</t>
  </si>
  <si>
    <t>because my wife scared in carabao</t>
  </si>
  <si>
    <t>because it's my responsibility to take care our animals</t>
  </si>
  <si>
    <t>because im busy</t>
  </si>
  <si>
    <t>because its my work</t>
  </si>
  <si>
    <t>because im expert on seedlings production</t>
  </si>
  <si>
    <t>because it's part of my work</t>
  </si>
  <si>
    <t>because im good in land preparation on farm</t>
  </si>
  <si>
    <t>because i want planting to be done quickly</t>
  </si>
  <si>
    <t>because its a difficult work</t>
  </si>
  <si>
    <t>not practice</t>
  </si>
  <si>
    <t>because my wife is busy at home</t>
  </si>
  <si>
    <t>because im the one who knows how to do pruning</t>
  </si>
  <si>
    <t>by helping each other so that harvesting will be done quickly</t>
  </si>
  <si>
    <t>because im expert on packing the vegetables we harvest</t>
  </si>
  <si>
    <t>because my wife already has contact to buyer</t>
  </si>
  <si>
    <t>becuase my wife is expert on finding a buyer to our product</t>
  </si>
  <si>
    <t>because my wife is good on selling</t>
  </si>
  <si>
    <t>because my wife has more experience</t>
  </si>
  <si>
    <t>because my wife want to track all our sales</t>
  </si>
  <si>
    <t>because my wife knows how to do it</t>
  </si>
  <si>
    <t>depends who's available</t>
  </si>
  <si>
    <t>because my wife is the one who do budgeting</t>
  </si>
  <si>
    <t>because my wife does budgeting</t>
  </si>
  <si>
    <t>because im the one who's interested in joining organizations</t>
  </si>
  <si>
    <t>because i want to learn</t>
  </si>
  <si>
    <t>depends who's vacant</t>
  </si>
  <si>
    <t>im the one who always choose our food</t>
  </si>
  <si>
    <t>because im the mother</t>
  </si>
  <si>
    <t>because im the one who knows their wants</t>
  </si>
  <si>
    <t>because im the one who do budgeting</t>
  </si>
  <si>
    <t>because mother's knows best</t>
  </si>
  <si>
    <t>im the one who do budgeting</t>
  </si>
  <si>
    <t>my husband doesn't care</t>
  </si>
  <si>
    <t>my husband will look for money</t>
  </si>
  <si>
    <t>my husband likes to have appliances</t>
  </si>
  <si>
    <t>because my husband will carry the furniture we picked</t>
  </si>
  <si>
    <t>because he knows what is the inputs needed in the farm</t>
  </si>
  <si>
    <t>im the one who manage our budget</t>
  </si>
  <si>
    <t>only women are allowed to credit</t>
  </si>
  <si>
    <t>im the one who knows when to have a leisure time</t>
  </si>
  <si>
    <t>im the one who manage the money</t>
  </si>
  <si>
    <t>because its lady work</t>
  </si>
  <si>
    <t>becaus its a lady work</t>
  </si>
  <si>
    <t>its part of my responsibility as a wife</t>
  </si>
  <si>
    <t>its my work</t>
  </si>
  <si>
    <t>its my responsibility</t>
  </si>
  <si>
    <t>im the one who knows</t>
  </si>
  <si>
    <t>its a heavy work</t>
  </si>
  <si>
    <t>its a difficult work</t>
  </si>
  <si>
    <t>because im the one who always stay at home</t>
  </si>
  <si>
    <t>im the one who stay at home</t>
  </si>
  <si>
    <t>because im the one who manage the money</t>
  </si>
  <si>
    <t>im the one who knows what are needed in our house</t>
  </si>
  <si>
    <t>im the who always buy our food</t>
  </si>
  <si>
    <t>i know what my kids want</t>
  </si>
  <si>
    <t>my husband is the one who taking care our animals</t>
  </si>
  <si>
    <t>he's the one who taking care our animals</t>
  </si>
  <si>
    <t>because im not busy on the farm</t>
  </si>
  <si>
    <t>im not busy on the farm</t>
  </si>
  <si>
    <t>because my husband is the head of the family</t>
  </si>
  <si>
    <t>because he knows what is good to plant</t>
  </si>
  <si>
    <t>he knows what are lack in the farm</t>
  </si>
  <si>
    <t>im the one who manage our money</t>
  </si>
  <si>
    <t>it's his responsibility</t>
  </si>
  <si>
    <t>it's part of his work in the farm</t>
  </si>
  <si>
    <t>he is more expert in preparing the land</t>
  </si>
  <si>
    <t>my husband is good on it</t>
  </si>
  <si>
    <t>because we are partner</t>
  </si>
  <si>
    <t>his always in the farm</t>
  </si>
  <si>
    <t>his the one who manage the farm</t>
  </si>
  <si>
    <t>its his work on the farm</t>
  </si>
  <si>
    <t>he is expert on it</t>
  </si>
  <si>
    <t>it's men's work</t>
  </si>
  <si>
    <t>his the one who monitor the crops</t>
  </si>
  <si>
    <t>helping each other to lessen the labor cost</t>
  </si>
  <si>
    <t>the harvested crops are too heavy to carry</t>
  </si>
  <si>
    <t>im the who has a contact to buyer</t>
  </si>
  <si>
    <t>im good on keeping sales record</t>
  </si>
  <si>
    <t>my husband is busy on the farm</t>
  </si>
  <si>
    <t>im the one who has time to do it</t>
  </si>
  <si>
    <t>because i want to track the expenses on the farm</t>
  </si>
  <si>
    <t>he is more expert in the farm</t>
  </si>
  <si>
    <t>his knowledgeable about farming</t>
  </si>
  <si>
    <t>im the who do budgeting</t>
  </si>
  <si>
    <t>im not busy</t>
  </si>
  <si>
    <t>because we want to join</t>
  </si>
  <si>
    <t>to avail some support</t>
  </si>
  <si>
    <t>because we both want to learn</t>
  </si>
  <si>
    <t>we want to improve our farming</t>
  </si>
  <si>
    <t>because my husband is more interested</t>
  </si>
  <si>
    <t>because he wants to improve his skills on farming</t>
  </si>
  <si>
    <t>because im the one who is not busy</t>
  </si>
  <si>
    <t>because we want to know more about farming</t>
  </si>
  <si>
    <t>by helping each other</t>
  </si>
  <si>
    <t>single-person household</t>
  </si>
  <si>
    <t>para makabalo unsay gusto</t>
  </si>
  <si>
    <t>kay siya may tugyanan</t>
  </si>
  <si>
    <t>because my wife is the one who knows what medication needed</t>
  </si>
  <si>
    <t>because we're family</t>
  </si>
  <si>
    <t>because it's our child</t>
  </si>
  <si>
    <t xml:space="preserve">because we need to agree to avoid arguments </t>
  </si>
  <si>
    <t>because my wife wants me to come with her</t>
  </si>
  <si>
    <t>kay mangayo rakog kwarta sa ako asawa</t>
  </si>
  <si>
    <t>because mostly women are the only allowed</t>
  </si>
  <si>
    <t>so that we both know how we spend</t>
  </si>
  <si>
    <t>because my wife stays at home</t>
  </si>
  <si>
    <t>depends who's in the house</t>
  </si>
  <si>
    <t>kay kami ang magluto</t>
  </si>
  <si>
    <t xml:space="preserve">makalimot man ang asawa </t>
  </si>
  <si>
    <t>lain man ug usa ra</t>
  </si>
  <si>
    <t>because its our child</t>
  </si>
  <si>
    <t>because i spend money recklessly</t>
  </si>
  <si>
    <t>my wife is the one who is budgeting</t>
  </si>
  <si>
    <t>kay kami lang</t>
  </si>
  <si>
    <t xml:space="preserve">so that we can choose a food that is delicious </t>
  </si>
  <si>
    <t>because it's my animal</t>
  </si>
  <si>
    <t xml:space="preserve">depend who's vacant </t>
  </si>
  <si>
    <t>to manage the cost</t>
  </si>
  <si>
    <t>because im depending on my wife</t>
  </si>
  <si>
    <t>because my wife gave me some money</t>
  </si>
  <si>
    <t>because my wife is the one who is budgeting</t>
  </si>
  <si>
    <t>because im always in the farm</t>
  </si>
  <si>
    <t>because its a men's work</t>
  </si>
  <si>
    <t>because the one who knows the work</t>
  </si>
  <si>
    <t>because im experts in farming</t>
  </si>
  <si>
    <t>because it's my work</t>
  </si>
  <si>
    <t xml:space="preserve">because im the one who knows the work </t>
  </si>
  <si>
    <t>depends on who has a contact to buyer</t>
  </si>
  <si>
    <t>because it's women's work</t>
  </si>
  <si>
    <t>it's a women's work</t>
  </si>
  <si>
    <t>because i want to know our sales or profit</t>
  </si>
  <si>
    <t>because my wife is the one who knows it</t>
  </si>
  <si>
    <t>because we want to track the expenses on farm</t>
  </si>
  <si>
    <t xml:space="preserve">because I'm an expert on farming </t>
  </si>
  <si>
    <t xml:space="preserve">because im an expert on farming </t>
  </si>
  <si>
    <t>because my wife is busy</t>
  </si>
  <si>
    <t>so that we both learn</t>
  </si>
  <si>
    <t xml:space="preserve">because im interested </t>
  </si>
  <si>
    <t>because it's for our own good</t>
  </si>
  <si>
    <t>to improve farming</t>
  </si>
  <si>
    <t>para dali mangita</t>
  </si>
  <si>
    <t>because im the head of the family</t>
  </si>
  <si>
    <t>because my wife is the mother of the family</t>
  </si>
  <si>
    <t>to choose a beautiful clothes</t>
  </si>
  <si>
    <t>because im the one who knows what medication needed</t>
  </si>
  <si>
    <t>because im faster than my wife</t>
  </si>
  <si>
    <t>para makapili ug nindot</t>
  </si>
  <si>
    <t>aron makapili ug nindot</t>
  </si>
  <si>
    <t>kay ako nahibalo</t>
  </si>
  <si>
    <t>kay ako man magamit</t>
  </si>
  <si>
    <t>kay lahi-lahi ug giutangan</t>
  </si>
  <si>
    <t>kay kapuyan man ko</t>
  </si>
  <si>
    <t>kay siya may babae</t>
  </si>
  <si>
    <t>kay siya may inahan</t>
  </si>
  <si>
    <t>because it's a women's work</t>
  </si>
  <si>
    <t>because it's a mother obligation</t>
  </si>
  <si>
    <t>so that we both know what food we want</t>
  </si>
  <si>
    <t>because we have a child</t>
  </si>
  <si>
    <t>aron kung mobarato walay away</t>
  </si>
  <si>
    <t>because im the one who knows what is needed in the farm</t>
  </si>
  <si>
    <t>magsabot kinsay patrabuhon</t>
  </si>
  <si>
    <t>panlalaki nga tarbaho</t>
  </si>
  <si>
    <t>because im the one who knows the work</t>
  </si>
  <si>
    <t>kay wala nami kwarta</t>
  </si>
  <si>
    <t>aron makapili ug tarong nga trader</t>
  </si>
  <si>
    <t>because my wife has a contact to buyer</t>
  </si>
  <si>
    <t>magtinabangay ug baligya</t>
  </si>
  <si>
    <t>aron makabalo kung pila na ang kita</t>
  </si>
  <si>
    <t>because my wife is not busy</t>
  </si>
  <si>
    <t>to know the expenses on the farm</t>
  </si>
  <si>
    <t>depends on who has time</t>
  </si>
  <si>
    <t>to discipline</t>
  </si>
  <si>
    <t>because im the one who is expert on farming</t>
  </si>
  <si>
    <t>aron masabutan</t>
  </si>
  <si>
    <t>because im the one who manages the farm</t>
  </si>
  <si>
    <t>because im willing to learn</t>
  </si>
  <si>
    <t>never</t>
  </si>
  <si>
    <t>kay kami ang nag-uma</t>
  </si>
  <si>
    <t>ako may ganahan</t>
  </si>
  <si>
    <t>because my wife and daughters are choosy</t>
  </si>
  <si>
    <t>because my wife and daughters are only at home</t>
  </si>
  <si>
    <t>because they choose</t>
  </si>
  <si>
    <t>maybe they don't like it</t>
  </si>
  <si>
    <t>because we are the only ones who can always go to the proper</t>
  </si>
  <si>
    <t>because my wife is always at home</t>
  </si>
  <si>
    <t>because we might not like it, everyone has preferences</t>
  </si>
  <si>
    <t>might not know what to buy</t>
  </si>
  <si>
    <t>troublesome for me</t>
  </si>
  <si>
    <t>kay dili magpataka ug palit</t>
  </si>
  <si>
    <t>because they love to do so</t>
  </si>
  <si>
    <t>kay ila trabaho sa balay</t>
  </si>
  <si>
    <t>sila naa sa balay perme</t>
  </si>
  <si>
    <t>naa sa balay perme</t>
  </si>
  <si>
    <t>naa sila sa balay perme</t>
  </si>
  <si>
    <t>naa may gripo sa balay</t>
  </si>
  <si>
    <t>naa man sila sa balay perme</t>
  </si>
  <si>
    <t>dili sila kamao</t>
  </si>
  <si>
    <t>heavy work</t>
  </si>
  <si>
    <t>naa ra sila sa balay</t>
  </si>
  <si>
    <t>wala silay trabaho kaayo</t>
  </si>
  <si>
    <t>i am always in the field</t>
  </si>
  <si>
    <t>sila ang nagbudget</t>
  </si>
  <si>
    <t>pabor man sa akoa wife</t>
  </si>
  <si>
    <t>they don't know</t>
  </si>
  <si>
    <t xml:space="preserve">some of the activities were heavy, especially lifting sacks of harvested vegetable </t>
  </si>
  <si>
    <t>ako'y nakabalo kinsay baligyaan</t>
  </si>
  <si>
    <t>ako ang naa sa farm</t>
  </si>
  <si>
    <t>kay basin mawala kung ako maghipos</t>
  </si>
  <si>
    <t>kay naa siya sa balay perme</t>
  </si>
  <si>
    <t>kung ako basin mawala</t>
  </si>
  <si>
    <t>kay siya naa man sa balay perme</t>
  </si>
  <si>
    <t>kay ako man ang mag-uma</t>
  </si>
  <si>
    <t>kay ako man ang naa sa uma</t>
  </si>
  <si>
    <t>mag-agad kung maayo</t>
  </si>
  <si>
    <t>aron madugangan ang ako kahibalo</t>
  </si>
  <si>
    <t>aron madugangan ako kahibalo</t>
  </si>
  <si>
    <t>kay naa man ko perme sa uma</t>
  </si>
  <si>
    <t>kay naa man ko sa uma perme</t>
  </si>
  <si>
    <t>kay ako mag nakabalo sa uma</t>
  </si>
  <si>
    <t>kay ako may nakabalo sa uma</t>
  </si>
  <si>
    <t>busy</t>
  </si>
  <si>
    <t>para way away</t>
  </si>
  <si>
    <t>pareha man me mo kaon</t>
  </si>
  <si>
    <t>kay ako may khibaw</t>
  </si>
  <si>
    <t>ako may available</t>
  </si>
  <si>
    <t>ako may kasabot</t>
  </si>
  <si>
    <t>ako may available pirme</t>
  </si>
  <si>
    <t>kay ako may kahibaw</t>
  </si>
  <si>
    <t>ako ray khibaw</t>
  </si>
  <si>
    <t>siya may ganahan</t>
  </si>
  <si>
    <t>ako nakhibaw sa maayo paliton</t>
  </si>
  <si>
    <t>ako nakhibaw unsay paliton</t>
  </si>
  <si>
    <t>siya kahibaw unsay kinahanglan</t>
  </si>
  <si>
    <t>siya naka hibaw sa maayo paliton</t>
  </si>
  <si>
    <t>siya ganahan</t>
  </si>
  <si>
    <t>siya may ganahan mo utang</t>
  </si>
  <si>
    <t>siya may mag budget</t>
  </si>
  <si>
    <t>kami na duha magpalit</t>
  </si>
  <si>
    <t>siya may ganahan mag laag laag</t>
  </si>
  <si>
    <t>kami kahibaw mo luto</t>
  </si>
  <si>
    <t>ako may babae</t>
  </si>
  <si>
    <t>ako mana trabaho</t>
  </si>
  <si>
    <t>ako mang trabaho</t>
  </si>
  <si>
    <t>ako man trabaho</t>
  </si>
  <si>
    <t>ako man naa sa balay</t>
  </si>
  <si>
    <t>tabangay man me</t>
  </si>
  <si>
    <t>tabangan nako siya</t>
  </si>
  <si>
    <t>tabangay me duha</t>
  </si>
  <si>
    <t>tabangan nako para dali ra</t>
  </si>
  <si>
    <t>tabangan ko niya</t>
  </si>
  <si>
    <t>siya maoy mag budget</t>
  </si>
  <si>
    <t>siya khibaw mo budget</t>
  </si>
  <si>
    <t>pareha raman me ug ganahan</t>
  </si>
  <si>
    <t>siya may naka hibaw</t>
  </si>
  <si>
    <t>siya may lalaki</t>
  </si>
  <si>
    <t>ako may ganahan mo meeting</t>
  </si>
  <si>
    <t>sabot ug unsay maayo</t>
  </si>
  <si>
    <t>tabangan namo</t>
  </si>
  <si>
    <t>siya may nakhibaw</t>
  </si>
  <si>
    <t>uban me magpalit</t>
  </si>
  <si>
    <t>para dali ra mahuman</t>
  </si>
  <si>
    <t>eya mana trabaho</t>
  </si>
  <si>
    <t>tabangan jud namo ang tanom</t>
  </si>
  <si>
    <t>siya may nakahibaw</t>
  </si>
  <si>
    <t>siya may maayo</t>
  </si>
  <si>
    <t>siya may maayo ana</t>
  </si>
  <si>
    <t>siya may khibaw sa gamit</t>
  </si>
  <si>
    <t>khibaw man ming duha</t>
  </si>
  <si>
    <t>tabangay para dali ra</t>
  </si>
  <si>
    <t>tabangay me</t>
  </si>
  <si>
    <t>khibaw man me duha</t>
  </si>
  <si>
    <t>khibaw man ko</t>
  </si>
  <si>
    <t>kay khibaw man me</t>
  </si>
  <si>
    <t>tabangay ra ghapon me</t>
  </si>
  <si>
    <t>kay khibaw man ko</t>
  </si>
  <si>
    <t>sayon raman na</t>
  </si>
  <si>
    <t>ako may naka ila sa uban byahedor</t>
  </si>
  <si>
    <t>tabangay pra dali ra</t>
  </si>
  <si>
    <t>kay para dali ra</t>
  </si>
  <si>
    <t>ako may naka hibaw</t>
  </si>
  <si>
    <t>ako may nakahibaw</t>
  </si>
  <si>
    <t>ako may kihabaw</t>
  </si>
  <si>
    <t>ako khibaw sa among duha</t>
  </si>
  <si>
    <t>khibaw man me</t>
  </si>
  <si>
    <t>kami man duha khibaw</t>
  </si>
  <si>
    <t>sabotan niya way away</t>
  </si>
  <si>
    <t>ako may ganahn</t>
  </si>
  <si>
    <t>ganahan bsta maayo</t>
  </si>
  <si>
    <t>ako may ganahan mo apil apil</t>
  </si>
  <si>
    <t>ako siya dad.on</t>
  </si>
  <si>
    <t>para kami khibaw duha</t>
  </si>
  <si>
    <t>para khibaw me</t>
  </si>
  <si>
    <t>para khibaw me duha</t>
  </si>
  <si>
    <t>para naa me kahibaw.an</t>
  </si>
  <si>
    <t>para maka hibaw me duha</t>
  </si>
  <si>
    <t>kami duha para way away</t>
  </si>
  <si>
    <t>ako may kahibaw</t>
  </si>
  <si>
    <t>para way lalis</t>
  </si>
  <si>
    <t>uban me para makapili</t>
  </si>
  <si>
    <t>para sa kaayuhan</t>
  </si>
  <si>
    <t>kami na duha</t>
  </si>
  <si>
    <t>para sa kaayuhan sa anak</t>
  </si>
  <si>
    <t>para magkasabot</t>
  </si>
  <si>
    <t>uban me para magkasabot</t>
  </si>
  <si>
    <t>saboton ug unsay maayo</t>
  </si>
  <si>
    <t>uban mag palit</t>
  </si>
  <si>
    <t>magkasabot unsay maayo paliton</t>
  </si>
  <si>
    <t>uban me ug palit para way away</t>
  </si>
  <si>
    <t>sabotan namong duha</t>
  </si>
  <si>
    <t>sabotan ug unsay gastohan</t>
  </si>
  <si>
    <t>para sad way away</t>
  </si>
  <si>
    <t>kay ako may babae</t>
  </si>
  <si>
    <t>kay ako man babae</t>
  </si>
  <si>
    <t>ako may lalaki</t>
  </si>
  <si>
    <t>kay ako manang trabaho</t>
  </si>
  <si>
    <t>kay amo man responsibilidad</t>
  </si>
  <si>
    <t>siya mag budget</t>
  </si>
  <si>
    <t>siya may nakahibaw mo budget</t>
  </si>
  <si>
    <t>uban nami para way away</t>
  </si>
  <si>
    <t>kay siya may lalaki</t>
  </si>
  <si>
    <t>kinsay available</t>
  </si>
  <si>
    <t>siya nakahibaw unsay maayo itanom</t>
  </si>
  <si>
    <t>siya raman nakahibaw</t>
  </si>
  <si>
    <t>para sabotan unsay maayo</t>
  </si>
  <si>
    <t>para maka pili me</t>
  </si>
  <si>
    <t>siya nakahibaw</t>
  </si>
  <si>
    <t>siya may khibaw ana</t>
  </si>
  <si>
    <t>sabotan namo</t>
  </si>
  <si>
    <t>tabangay nami</t>
  </si>
  <si>
    <t>siya may nakahibaw unsaon pagtaod</t>
  </si>
  <si>
    <t>tabangay nami sa guna</t>
  </si>
  <si>
    <t>para madali rang trabaho</t>
  </si>
  <si>
    <t>para mahuman dayon</t>
  </si>
  <si>
    <t>siya rana khibaw</t>
  </si>
  <si>
    <t>siya ray nakahibaw</t>
  </si>
  <si>
    <t>siya ray nakahibaw ana</t>
  </si>
  <si>
    <t>para masabotan namo</t>
  </si>
  <si>
    <t>mahuman dayon</t>
  </si>
  <si>
    <t>para unsay maayo</t>
  </si>
  <si>
    <t>kami man nakahibaw</t>
  </si>
  <si>
    <t>Para patas</t>
  </si>
  <si>
    <t>Para dali</t>
  </si>
  <si>
    <t>Kabalo mn siya</t>
  </si>
  <si>
    <t>Para dali ra</t>
  </si>
  <si>
    <t>Ako may lalaki</t>
  </si>
  <si>
    <t>Kung kinsay available</t>
  </si>
  <si>
    <t>Para kami makabalo</t>
  </si>
  <si>
    <t>Para pareho makabalo</t>
  </si>
  <si>
    <t>Kay perme available</t>
  </si>
  <si>
    <t>Para naay idea pareho</t>
  </si>
  <si>
    <t>Siya may nakabalo</t>
  </si>
  <si>
    <t>Siya may laki</t>
  </si>
  <si>
    <t>akoy nakahibaw</t>
  </si>
  <si>
    <t>ako raman usa</t>
  </si>
  <si>
    <t>ako raman nakahibaw</t>
  </si>
  <si>
    <t>Ako ra isa</t>
  </si>
  <si>
    <t>Ako raman usa</t>
  </si>
  <si>
    <t>Ako ray nakabalo</t>
  </si>
  <si>
    <t>Kabalo man ko</t>
  </si>
  <si>
    <t>Ako ray kabalo</t>
  </si>
  <si>
    <t>Ako raman isa</t>
  </si>
  <si>
    <t>Ako raman</t>
  </si>
  <si>
    <t>Ako ra usa</t>
  </si>
  <si>
    <t>Kay kabalo man ko</t>
  </si>
  <si>
    <t>Ako man bae</t>
  </si>
  <si>
    <t>Ako ra man</t>
  </si>
  <si>
    <t>Ako may bae</t>
  </si>
  <si>
    <t>Ako ra man usa</t>
  </si>
  <si>
    <t>Ako ra</t>
  </si>
  <si>
    <t>Kaya ra</t>
  </si>
  <si>
    <t>Kabalo ko</t>
  </si>
  <si>
    <t>Kaya raman</t>
  </si>
  <si>
    <t>kay ako raman nag uma</t>
  </si>
  <si>
    <t>ako ray nakahibaw</t>
  </si>
  <si>
    <t>kay ako raman usa</t>
  </si>
  <si>
    <t>way lain ako ra usa</t>
  </si>
  <si>
    <t>kay ako nakahibaw</t>
  </si>
  <si>
    <t>ako raman khibaw</t>
  </si>
  <si>
    <t>ako raman usa nag uma</t>
  </si>
  <si>
    <t>ako ray naka hibaw</t>
  </si>
  <si>
    <t>ako may nakahibaw kinsay mo dala</t>
  </si>
  <si>
    <t>kay ako ray nakahibaw kinsay padal.on</t>
  </si>
  <si>
    <t>ako ray makahibaw</t>
  </si>
  <si>
    <t>ako raman nag uma</t>
  </si>
  <si>
    <t>ako ray nakahibaw unsay paliton sa uma</t>
  </si>
  <si>
    <t>ako raman ug ganahan ko</t>
  </si>
  <si>
    <t>kay ako may mo apil</t>
  </si>
  <si>
    <t>ako raman available</t>
  </si>
  <si>
    <t>ako ray available</t>
  </si>
  <si>
    <t>kung unsa iya dala mukaon raman mi</t>
  </si>
  <si>
    <t>syay muadto sa syudad</t>
  </si>
  <si>
    <t>akoy nakahibaw unsay mo fit</t>
  </si>
  <si>
    <t>tinabangay lang iya man ko ubanan</t>
  </si>
  <si>
    <t>akoy nakahibaw kung unsay gipamati</t>
  </si>
  <si>
    <t>tabangay lang</t>
  </si>
  <si>
    <t>because it's necessary</t>
  </si>
  <si>
    <t>kami lang duha</t>
  </si>
  <si>
    <t>syay may nangita ug kwarta</t>
  </si>
  <si>
    <t>kung unsay iya ganahan mao nato</t>
  </si>
  <si>
    <t>akoy hilig</t>
  </si>
  <si>
    <t>ganahan lang ko</t>
  </si>
  <si>
    <t>sya may nakahibaw</t>
  </si>
  <si>
    <t>iya trabaho man</t>
  </si>
  <si>
    <t>para way mahay</t>
  </si>
  <si>
    <t>syay mugamit sa loan</t>
  </si>
  <si>
    <t>syay nangita ug kwarta</t>
  </si>
  <si>
    <t>syay ga budget</t>
  </si>
  <si>
    <t>para fair</t>
  </si>
  <si>
    <t>nindot man jud nang kamo duha</t>
  </si>
  <si>
    <t>akoy naa sa balay</t>
  </si>
  <si>
    <t>hilig sya muluto</t>
  </si>
  <si>
    <t>ako trabaho man</t>
  </si>
  <si>
    <t>he's tired from work</t>
  </si>
  <si>
    <t>kay ako lang kaay naa raman ko sa balay</t>
  </si>
  <si>
    <t>siya kay syay ga budget</t>
  </si>
  <si>
    <t>syay nakahibaw</t>
  </si>
  <si>
    <t>akoy nakahibaw unsay angay paliton</t>
  </si>
  <si>
    <t>ako lang</t>
  </si>
  <si>
    <t>busy naman sya</t>
  </si>
  <si>
    <t>iya man trabaho</t>
  </si>
  <si>
    <t>syay nakahibaw man</t>
  </si>
  <si>
    <t>sya may nakahibaw unsay angay paliton</t>
  </si>
  <si>
    <t>syay nakahinaw unsay kuwang ug paliton</t>
  </si>
  <si>
    <t>it's his job</t>
  </si>
  <si>
    <t>syay nakatigo</t>
  </si>
  <si>
    <t>sya may katigo ana</t>
  </si>
  <si>
    <t>sya jud basta ing ana</t>
  </si>
  <si>
    <t>syay naa sa uma</t>
  </si>
  <si>
    <t>siya lang</t>
  </si>
  <si>
    <t>sya lang kay iya trabaho</t>
  </si>
  <si>
    <t>it's his job anyway</t>
  </si>
  <si>
    <t>sya may nakahibaw gud</t>
  </si>
  <si>
    <t>syay nakasabot ana gud</t>
  </si>
  <si>
    <t>syay nakahibaw ana</t>
  </si>
  <si>
    <t>he's the onw who knows it</t>
  </si>
  <si>
    <t>sya may kaantigo</t>
  </si>
  <si>
    <t>sya ray kaantigo</t>
  </si>
  <si>
    <t>syay ga gunit sa budget</t>
  </si>
  <si>
    <t>syay magdala sa kwarta</t>
  </si>
  <si>
    <t>diko hilig</t>
  </si>
  <si>
    <t>busy ko sa balay</t>
  </si>
  <si>
    <t>kung kinsay free lang</t>
  </si>
  <si>
    <t>kung kinsay free namo</t>
  </si>
  <si>
    <t>para fair ug kung busy ang usa</t>
  </si>
  <si>
    <t>kami lang</t>
  </si>
  <si>
    <t>kami lang jud</t>
  </si>
  <si>
    <t>siya may kahibaw</t>
  </si>
  <si>
    <t>iya man trabaho na</t>
  </si>
  <si>
    <t>no response</t>
  </si>
  <si>
    <t>to be fair for the both sides</t>
  </si>
  <si>
    <t>because he's already tured from working</t>
  </si>
  <si>
    <t>so that no one</t>
  </si>
  <si>
    <t>because he's busy</t>
  </si>
  <si>
    <t>busy na sya sa uma</t>
  </si>
  <si>
    <t>busy na siya sa uma</t>
  </si>
  <si>
    <t>para makapili ug dli magmahay</t>
  </si>
  <si>
    <t>para way mahayay</t>
  </si>
  <si>
    <t>kung dili ganahan ang usa pwede ra ma storyaan</t>
  </si>
  <si>
    <t>sya na</t>
  </si>
  <si>
    <t>sya may kahibaw unsay paliton</t>
  </si>
  <si>
    <t>support ra sya nako</t>
  </si>
  <si>
    <t>kung makaangay siya ok raman</t>
  </si>
  <si>
    <t>akoy ga budget</t>
  </si>
  <si>
    <t>akoy gagunit sa kwarta</t>
  </si>
  <si>
    <t>mo okay raman sya kung unsa ako gusto</t>
  </si>
  <si>
    <t>he's focus more on farming</t>
  </si>
  <si>
    <t>ako may taga bantay sa mga bata</t>
  </si>
  <si>
    <t>ako may ga budget</t>
  </si>
  <si>
    <t>kay ako lang</t>
  </si>
  <si>
    <t>busy naman siya</t>
  </si>
  <si>
    <t>iya naman gud na</t>
  </si>
  <si>
    <t>syay hilig ana</t>
  </si>
  <si>
    <t>kung unsay maangayan</t>
  </si>
  <si>
    <t>usahay tabangay lang mi</t>
  </si>
  <si>
    <t>sya may kahibaw</t>
  </si>
  <si>
    <t>syay kahibaw kung unsay angay paliton</t>
  </si>
  <si>
    <t>tabangay ra mi</t>
  </si>
  <si>
    <t>tinabangay lang</t>
  </si>
  <si>
    <t>mo tabang tabang rako</t>
  </si>
  <si>
    <t>mutabang ko kung free pud ko</t>
  </si>
  <si>
    <t>kahibaw mi kung kinahanglan na ba buhaton</t>
  </si>
  <si>
    <t>sya na kay bug at naman ang tanke</t>
  </si>
  <si>
    <t>kami duha tinabangay</t>
  </si>
  <si>
    <t>sya lang</t>
  </si>
  <si>
    <t>kami duha</t>
  </si>
  <si>
    <t>busy naman pud ko sa balay ug bata</t>
  </si>
  <si>
    <t>usahay mo tabang man pud ko</t>
  </si>
  <si>
    <t>syay permi naa sa uma</t>
  </si>
  <si>
    <t>iya na trabaho</t>
  </si>
  <si>
    <t>iya naman na</t>
  </si>
  <si>
    <t>kapuyan naman siya</t>
  </si>
  <si>
    <t>kapoyan na sya gikan uma</t>
  </si>
  <si>
    <t>makalimot na sya</t>
  </si>
  <si>
    <t>kapuyan na</t>
  </si>
  <si>
    <t>syay sweto man</t>
  </si>
  <si>
    <t>sya may mo attend</t>
  </si>
  <si>
    <t>busy kos balay ug mga bata</t>
  </si>
  <si>
    <t>siya moy mo attend</t>
  </si>
  <si>
    <t>busy nako</t>
  </si>
  <si>
    <t>syay moy mo attend</t>
  </si>
  <si>
    <t>syay mo attend</t>
  </si>
  <si>
    <t>busy nako sa balay ug mga bata</t>
  </si>
  <si>
    <t>siya may ga trabaho</t>
  </si>
  <si>
    <t>iya trabaho</t>
  </si>
  <si>
    <t>they are just waiting for my decision</t>
  </si>
  <si>
    <t>kung unsay ako paliton mo okay raman sila</t>
  </si>
  <si>
    <t>ako may jud ang tig palit</t>
  </si>
  <si>
    <t>i'm the one who only knew</t>
  </si>
  <si>
    <t>ako lang jud</t>
  </si>
  <si>
    <t>busy man sya</t>
  </si>
  <si>
    <t>ako may hilig</t>
  </si>
  <si>
    <t>di man siya ganahan ana ako may hilig</t>
  </si>
  <si>
    <t>akoy hilig ana jud</t>
  </si>
  <si>
    <t>dili siya hilig</t>
  </si>
  <si>
    <t>kami duha para way mahay</t>
  </si>
  <si>
    <t>i'm the one who buget our expenses</t>
  </si>
  <si>
    <t>he's not fond of going somewhere</t>
  </si>
  <si>
    <t>ako may bae</t>
  </si>
  <si>
    <t>ako na trabaho</t>
  </si>
  <si>
    <t>ako man jud na</t>
  </si>
  <si>
    <t>he's busy</t>
  </si>
  <si>
    <t>i'm the one who budget</t>
  </si>
  <si>
    <t>i'm the one who holds our money</t>
  </si>
  <si>
    <t>it's just me</t>
  </si>
  <si>
    <t>kung unsa ako paliton mukaon raman sila</t>
  </si>
  <si>
    <t>di man siya hilig ana</t>
  </si>
  <si>
    <t>kapoyan na sya</t>
  </si>
  <si>
    <t>mo okay ra sya kung unsa ako ganahan na itanom</t>
  </si>
  <si>
    <t>i'm the one who buys our farm supplies</t>
  </si>
  <si>
    <t>akoy nakahibaw unsay kuwang</t>
  </si>
  <si>
    <t>kami duha para dali ra</t>
  </si>
  <si>
    <t>kami man jud duha</t>
  </si>
  <si>
    <t>kami man jud na duha</t>
  </si>
  <si>
    <t>kay mag uma man ko</t>
  </si>
  <si>
    <t>amo man jud na</t>
  </si>
  <si>
    <t>kasabot man ko kung unsa nay buhaton</t>
  </si>
  <si>
    <t>trabaho man</t>
  </si>
  <si>
    <t>trabaho man gud</t>
  </si>
  <si>
    <t>akoy nakahibaw man</t>
  </si>
  <si>
    <t>ako man jud</t>
  </si>
  <si>
    <t>tabangay</t>
  </si>
  <si>
    <t>we just help each other</t>
  </si>
  <si>
    <t>kapuyon man siya ana</t>
  </si>
  <si>
    <t>di sya hilig man</t>
  </si>
  <si>
    <t>kapuyan na siya</t>
  </si>
  <si>
    <t>mas nindot man jud ug kami duha</t>
  </si>
  <si>
    <t>amo na trabaho</t>
  </si>
  <si>
    <t>i'm the one who holds our budget</t>
  </si>
  <si>
    <t>di siya hilig ana</t>
  </si>
  <si>
    <t>akoy ganahan</t>
  </si>
  <si>
    <t>ako may para attend</t>
  </si>
  <si>
    <t>kapuyan siya</t>
  </si>
  <si>
    <t>di siya hilig</t>
  </si>
  <si>
    <t>because my wife does cooking</t>
  </si>
  <si>
    <t>it's natural in the family</t>
  </si>
  <si>
    <t>because my wife is the one who always goes to city</t>
  </si>
  <si>
    <t>we will both find medication</t>
  </si>
  <si>
    <t>because it's my obligation</t>
  </si>
  <si>
    <t>kinahanglan magsabot</t>
  </si>
  <si>
    <t>kinahanglan magsabot para sa pamilya</t>
  </si>
  <si>
    <t>we need to agree</t>
  </si>
  <si>
    <t>we should agree</t>
  </si>
  <si>
    <t>because im the one who works in the farm</t>
  </si>
  <si>
    <t>im the one who works in the farm</t>
  </si>
  <si>
    <t>because my wife is the one who will process the requirements</t>
  </si>
  <si>
    <t>because I don't like it</t>
  </si>
  <si>
    <t>I don't like hanging</t>
  </si>
  <si>
    <t>because it's her work</t>
  </si>
  <si>
    <t>it's her responsibility</t>
  </si>
  <si>
    <t>dili maayu kung usa ra ang mag atiman</t>
  </si>
  <si>
    <t>dili maayu ug usa ra</t>
  </si>
  <si>
    <t>so that we both know what food they like</t>
  </si>
  <si>
    <t>because shes the mother</t>
  </si>
  <si>
    <t>because im the one who knows what to do in farm</t>
  </si>
  <si>
    <t>because im the one who monitors the farm</t>
  </si>
  <si>
    <t>because im the one who knows how to it</t>
  </si>
  <si>
    <t>because im experts on it</t>
  </si>
  <si>
    <t>because i have a contact to buyer</t>
  </si>
  <si>
    <t>to track the income</t>
  </si>
  <si>
    <t>to track the expenses on the farm</t>
  </si>
  <si>
    <t>because im expert on farming</t>
  </si>
  <si>
    <t>because I'm an expert on farming</t>
  </si>
  <si>
    <t>because it's about livelihood</t>
  </si>
  <si>
    <t>to learn from them</t>
  </si>
  <si>
    <t>because im the one who works</t>
  </si>
  <si>
    <t>because we know what food our kids like</t>
  </si>
  <si>
    <t>because my wife will do the laundry</t>
  </si>
  <si>
    <t>because i know what medication needed</t>
  </si>
  <si>
    <t>because I know what medication needed</t>
  </si>
  <si>
    <t>para naay nahibaloan amo anak</t>
  </si>
  <si>
    <t>because i know what needed to be bought</t>
  </si>
  <si>
    <t>no one will carry the furniture we bought</t>
  </si>
  <si>
    <t>so that we both know</t>
  </si>
  <si>
    <t>no one wil blame</t>
  </si>
  <si>
    <t>to have a peaceful family</t>
  </si>
  <si>
    <t>walay subayay</t>
  </si>
  <si>
    <t>im busy</t>
  </si>
  <si>
    <t>because she stays at home</t>
  </si>
  <si>
    <t>because it's a heavy work</t>
  </si>
  <si>
    <t>kay naa sa lasang</t>
  </si>
  <si>
    <t>to make our child has discipline</t>
  </si>
  <si>
    <t>because it's my wife work</t>
  </si>
  <si>
    <t>so that we have a peaceful life</t>
  </si>
  <si>
    <t>because my wife cannot carry a 1 sack of rice</t>
  </si>
  <si>
    <t>because it's mine</t>
  </si>
  <si>
    <t>because my wife has no work</t>
  </si>
  <si>
    <t>because im the one who plans for the family</t>
  </si>
  <si>
    <t>because i know what is the usage of it</t>
  </si>
  <si>
    <t>because im the one who knows</t>
  </si>
  <si>
    <t>so that we have money</t>
  </si>
  <si>
    <t>because im the one who will look for a buyer</t>
  </si>
  <si>
    <t>so that I can learn</t>
  </si>
  <si>
    <t>so that i can learn</t>
  </si>
  <si>
    <t>because i want to</t>
  </si>
  <si>
    <t>so that i know the activities in our community</t>
  </si>
  <si>
    <t>mao may dali makabalo</t>
  </si>
  <si>
    <t>romeo rivera metran</t>
  </si>
  <si>
    <t>kami man magpalit</t>
  </si>
  <si>
    <t>my wife is the one who will buy clothes</t>
  </si>
  <si>
    <t>because my wife is the one who will buy clothes</t>
  </si>
  <si>
    <t>depends on who's vacant</t>
  </si>
  <si>
    <t>because it's our obligation</t>
  </si>
  <si>
    <t>it's our obligation</t>
  </si>
  <si>
    <t>because my wife is the one who wants to have appliances</t>
  </si>
  <si>
    <t>kay mag amot-amot man me</t>
  </si>
  <si>
    <t>because my wife wants to have furniture</t>
  </si>
  <si>
    <t>my wife does budgeting</t>
  </si>
  <si>
    <t>im the one who knows what needed in the farm</t>
  </si>
  <si>
    <t xml:space="preserve">because women are the only allowed to credit </t>
  </si>
  <si>
    <t>iyahay me ug gasto</t>
  </si>
  <si>
    <t>iyahay ug gasto</t>
  </si>
  <si>
    <t>because my wife wants to explore</t>
  </si>
  <si>
    <t>because my wife has many wants</t>
  </si>
  <si>
    <t>because my wife doesn't know how to cook</t>
  </si>
  <si>
    <t>Men Only</t>
  </si>
  <si>
    <t>because we have nothing to wear</t>
  </si>
  <si>
    <t>because my wife wanted our house always clean</t>
  </si>
  <si>
    <t>because my wife wants to</t>
  </si>
  <si>
    <t xml:space="preserve">it's our obligation </t>
  </si>
  <si>
    <t>because we have different plans</t>
  </si>
  <si>
    <t>because we have different sources income</t>
  </si>
  <si>
    <t>we have different sources of income</t>
  </si>
  <si>
    <t>because my wife is the one who is updated</t>
  </si>
  <si>
    <t>because im the one who knows what crop to plant</t>
  </si>
  <si>
    <t>because i work in the farm</t>
  </si>
  <si>
    <t>because I'm the one who knows the work</t>
  </si>
  <si>
    <t>it's my work</t>
  </si>
  <si>
    <t>it's part of my work</t>
  </si>
  <si>
    <t>kay kahibalo ko kinsa tagaan</t>
  </si>
  <si>
    <t>to monitor if how much already the income</t>
  </si>
  <si>
    <t>because im the one who knows it</t>
  </si>
  <si>
    <t>im the one who monitors the farm</t>
  </si>
  <si>
    <t>because i want to learn from them</t>
  </si>
  <si>
    <t>because my wife is busy with her work</t>
  </si>
  <si>
    <t>because I want to</t>
  </si>
  <si>
    <t>kami khibaw duha mo luto</t>
  </si>
  <si>
    <t>kami na duha mamalit</t>
  </si>
  <si>
    <t>para masabotan</t>
  </si>
  <si>
    <t>uban nami para maka pili</t>
  </si>
  <si>
    <t>ako ray nakahibaw sa paliton</t>
  </si>
  <si>
    <t>uban nako niya mamalit</t>
  </si>
  <si>
    <t>ako ray mangutang</t>
  </si>
  <si>
    <t>siya may khibaw</t>
  </si>
  <si>
    <t>uban nami duha</t>
  </si>
  <si>
    <t>sabotan</t>
  </si>
  <si>
    <t>kami na mang laag</t>
  </si>
  <si>
    <t>kinsay available mao magluto</t>
  </si>
  <si>
    <t>kami tabangay</t>
  </si>
  <si>
    <t>sabotan para way away</t>
  </si>
  <si>
    <t>siya may available</t>
  </si>
  <si>
    <t>siya naa sa balay</t>
  </si>
  <si>
    <t>kami na duha para way away</t>
  </si>
  <si>
    <t>kami kay para magkasabot</t>
  </si>
  <si>
    <t>uban nami duha/ tabangay</t>
  </si>
  <si>
    <t>puli puli lang me</t>
  </si>
  <si>
    <t>ako may khibaw</t>
  </si>
  <si>
    <t>ako may nag uma</t>
  </si>
  <si>
    <t>may lalaki</t>
  </si>
  <si>
    <t>ako manang trabaho</t>
  </si>
  <si>
    <t>ako man lalaki</t>
  </si>
  <si>
    <t>ako mana responsibilidad</t>
  </si>
  <si>
    <t>ako mag budget</t>
  </si>
  <si>
    <t>ako man desisiyon</t>
  </si>
  <si>
    <t>ganahan lang</t>
  </si>
  <si>
    <t xml:space="preserve">No time/too busy  Not available when the seminar was conducted </t>
  </si>
  <si>
    <t>uban nami ug palit</t>
  </si>
  <si>
    <t>uban nami ug adto city</t>
  </si>
  <si>
    <t>siya ramay khibaw</t>
  </si>
  <si>
    <t>mo uban rako</t>
  </si>
  <si>
    <t>ako may nakahibaw mo pili</t>
  </si>
  <si>
    <t>uban nami duha magpalit</t>
  </si>
  <si>
    <t>siya may nakahibaw say maayo</t>
  </si>
  <si>
    <t>ubanan sad nako siya palit</t>
  </si>
  <si>
    <t>uban nami palit sad</t>
  </si>
  <si>
    <t>kami ma duha para way away</t>
  </si>
  <si>
    <t>para magkasinabot</t>
  </si>
  <si>
    <t>babae man sila</t>
  </si>
  <si>
    <t>siya may babae</t>
  </si>
  <si>
    <t>trabaho man namo</t>
  </si>
  <si>
    <t>kami may lalaki</t>
  </si>
  <si>
    <t>kami man lalaki</t>
  </si>
  <si>
    <t>amo manang trabaho</t>
  </si>
  <si>
    <t>siya may naa sa balay</t>
  </si>
  <si>
    <t>siya may bilin sa balay</t>
  </si>
  <si>
    <t>siya may nakahibaw unsa maayo</t>
  </si>
  <si>
    <t>siya ray khibaw ana</t>
  </si>
  <si>
    <t>siya lalaki</t>
  </si>
  <si>
    <t>ako may nakahibaw unsay paliton</t>
  </si>
  <si>
    <t>ako ray nakahibaw kinsay mo dala</t>
  </si>
  <si>
    <t>ako may mangita</t>
  </si>
  <si>
    <t>ako rasad mangita</t>
  </si>
  <si>
    <t>ako may nakahibalo</t>
  </si>
  <si>
    <t>kinsay available mo apil</t>
  </si>
  <si>
    <t>kami duha kinsay available</t>
  </si>
  <si>
    <t>ako may nanguma</t>
  </si>
  <si>
    <t>ako may available magpalit</t>
  </si>
  <si>
    <t>ako ramay nakahibaw sa ako anak</t>
  </si>
  <si>
    <t>ako may naa sa balay</t>
  </si>
  <si>
    <t>kami na duha mag pili</t>
  </si>
  <si>
    <t>kami na duha mag budget</t>
  </si>
  <si>
    <t>ako may ganahan ug laag</t>
  </si>
  <si>
    <t>ako nakahibaw</t>
  </si>
  <si>
    <t>ako naa sa balay</t>
  </si>
  <si>
    <t>siya gyud na</t>
  </si>
  <si>
    <t>Iya man trabaho</t>
  </si>
  <si>
    <t>Siya may naas balay</t>
  </si>
  <si>
    <t>Siya man bae</t>
  </si>
  <si>
    <t>Iya mana trabaho</t>
  </si>
  <si>
    <t>Kabalo man siya</t>
  </si>
  <si>
    <t>Para patas ra</t>
  </si>
  <si>
    <t>Sayon raman nga trabaho</t>
  </si>
  <si>
    <t>Siya man available</t>
  </si>
  <si>
    <t>Kabalo naman</t>
  </si>
  <si>
    <t>Kasabot naman unsaon</t>
  </si>
  <si>
    <t>Mao man nakabalo</t>
  </si>
  <si>
    <t>Mao raman naa</t>
  </si>
  <si>
    <t>Available man</t>
  </si>
  <si>
    <t>Kabalo naman sa buhaton</t>
  </si>
  <si>
    <t>Mao may naa</t>
  </si>
  <si>
    <t>Mao may available</t>
  </si>
  <si>
    <t>Permi man naa</t>
  </si>
  <si>
    <t>Kasabot man sa buhaton</t>
  </si>
  <si>
    <t>Mao man naa</t>
  </si>
  <si>
    <t>Naa man permi</t>
  </si>
  <si>
    <t>Kabalo man buhaton</t>
  </si>
  <si>
    <t>Siya raman naa</t>
  </si>
  <si>
    <t>Kasabot naman</t>
  </si>
  <si>
    <t>Kamao man</t>
  </si>
  <si>
    <t>Nakabalo naman</t>
  </si>
  <si>
    <t>Mao man trabaho</t>
  </si>
  <si>
    <t>Available man permi</t>
  </si>
  <si>
    <t>Kamao naman</t>
  </si>
  <si>
    <t>Naanad naman</t>
  </si>
  <si>
    <t>Mao may permi naa</t>
  </si>
  <si>
    <t>Mao may nakabalo</t>
  </si>
  <si>
    <t>para sabotan</t>
  </si>
  <si>
    <t>siya may magluto</t>
  </si>
  <si>
    <t>kami na duha mo adto</t>
  </si>
  <si>
    <t>kami mag sabot</t>
  </si>
  <si>
    <t>para makapili me sa maayo</t>
  </si>
  <si>
    <t>kami mag pili ug unsay maayo</t>
  </si>
  <si>
    <t>kami duha magpili</t>
  </si>
  <si>
    <t>mag tabangay nami</t>
  </si>
  <si>
    <t>kami mag sabot sa budget</t>
  </si>
  <si>
    <t>siya may ganahan mo laag</t>
  </si>
  <si>
    <t>uban rasad ko</t>
  </si>
  <si>
    <t>nakahibaw man sad siya</t>
  </si>
  <si>
    <t>siya ray mag budget</t>
  </si>
  <si>
    <t>ako may nakahibaw unsay ipakaon</t>
  </si>
  <si>
    <t>ako khibaw unsay mga kinahanglan sa uma</t>
  </si>
  <si>
    <t>ako ray magpalit</t>
  </si>
  <si>
    <t>tabangay naman</t>
  </si>
  <si>
    <t>tabangan nako niya</t>
  </si>
  <si>
    <t>ako may naa sa uma</t>
  </si>
  <si>
    <t>ako rasad naa sa uma</t>
  </si>
  <si>
    <t>tabangay nami para dali</t>
  </si>
  <si>
    <t>ako kay lalaki</t>
  </si>
  <si>
    <t>tabang na siya nako</t>
  </si>
  <si>
    <t>ako nay mangita mo kompra</t>
  </si>
  <si>
    <t>ako may nakahibaw sa mo dala</t>
  </si>
  <si>
    <t>khibaw man siya</t>
  </si>
  <si>
    <t>ako nay mag lista</t>
  </si>
  <si>
    <t>ako mag budget sa pang uma</t>
  </si>
  <si>
    <t>kami duha para patas</t>
  </si>
  <si>
    <t>kami na duha para makahibaw</t>
  </si>
  <si>
    <t>aki may available</t>
  </si>
  <si>
    <t>ako available</t>
  </si>
  <si>
    <t>because im the one who does budgeting</t>
  </si>
  <si>
    <t>because my wife is the one who will choose clothes</t>
  </si>
  <si>
    <t>depends who is sick</t>
  </si>
  <si>
    <t>depend who's sick</t>
  </si>
  <si>
    <t>aron magkasabot</t>
  </si>
  <si>
    <t>kay nag-antos nami sa kalisod</t>
  </si>
  <si>
    <t>iyahay ug diskarte</t>
  </si>
  <si>
    <t>to have fun</t>
  </si>
  <si>
    <t>because it's her responsibility</t>
  </si>
  <si>
    <t>because it's my wife's responsibility</t>
  </si>
  <si>
    <t>so that we both know how we spend our money</t>
  </si>
  <si>
    <t>because it's my pet</t>
  </si>
  <si>
    <t>not</t>
  </si>
  <si>
    <t>because im the one who has a contact to buyer</t>
  </si>
  <si>
    <t>because my wife is the secretary</t>
  </si>
  <si>
    <t>i want to learn</t>
  </si>
  <si>
    <t>so that i will learn</t>
  </si>
  <si>
    <t>because im the one who will look for food</t>
  </si>
  <si>
    <t>because my wife is always shopping online</t>
  </si>
  <si>
    <t>because my wife knows our like</t>
  </si>
  <si>
    <t>because my wife knows what medication needed</t>
  </si>
  <si>
    <t>because i can drive motorcycle</t>
  </si>
  <si>
    <t>because i can drive and send our child to school</t>
  </si>
  <si>
    <t>because it's my hobby</t>
  </si>
  <si>
    <t>depends if we can afford</t>
  </si>
  <si>
    <t>because im the one who will use it</t>
  </si>
  <si>
    <t>so we can budget our money</t>
  </si>
  <si>
    <t>me and my wife are availed credits</t>
  </si>
  <si>
    <t>so that we both know what we spend</t>
  </si>
  <si>
    <t>we both like exploring</t>
  </si>
  <si>
    <t>so that we both know how we spend the money</t>
  </si>
  <si>
    <t>because my wife knows what food we want</t>
  </si>
  <si>
    <t>my wife knows what food we want</t>
  </si>
  <si>
    <t>we both plan what crop to be plant</t>
  </si>
  <si>
    <t>so that we know how we spend our money</t>
  </si>
  <si>
    <t>im the one who knows what is needed in the farm</t>
  </si>
  <si>
    <t>im the one who knows how to do the work</t>
  </si>
  <si>
    <t>im the one who knows how to do it</t>
  </si>
  <si>
    <t>its my job</t>
  </si>
  <si>
    <t>no one will blame if the buyer will not pay us</t>
  </si>
  <si>
    <t>because I'm busy</t>
  </si>
  <si>
    <t>to manage the expenses</t>
  </si>
  <si>
    <t>so that our child will know how to do farming</t>
  </si>
  <si>
    <t>because im an expert on farming</t>
  </si>
  <si>
    <t>i wanna learn</t>
  </si>
  <si>
    <t>dili magsilbi ug usa ra</t>
  </si>
  <si>
    <t>magplano if naay kwarta</t>
  </si>
  <si>
    <t>kami may mag gasto</t>
  </si>
  <si>
    <t>dili mag buot2</t>
  </si>
  <si>
    <t>poli-poli lang</t>
  </si>
  <si>
    <t>magkuyog rami duha</t>
  </si>
  <si>
    <t>because i stay at home</t>
  </si>
  <si>
    <t>ako may kasagaran naas balay</t>
  </si>
  <si>
    <t>so that our children have discipline</t>
  </si>
  <si>
    <t>because we're the one who does budgeting</t>
  </si>
  <si>
    <t>we both plan for what crops to be planted</t>
  </si>
  <si>
    <t>kay kami ang nag budget</t>
  </si>
  <si>
    <t>kami ang nagbudget</t>
  </si>
  <si>
    <t>aron way basolay nga iya ra decision ang nasunod</t>
  </si>
  <si>
    <t>it's my husband who works</t>
  </si>
  <si>
    <t>because im the one who records about sales</t>
  </si>
  <si>
    <t>because im the one who will record about farming</t>
  </si>
  <si>
    <t>we should both manage farm finances to avoid arguments</t>
  </si>
  <si>
    <t>we should ask permission</t>
  </si>
  <si>
    <t>we both learn</t>
  </si>
  <si>
    <t xml:space="preserve">we both learn </t>
  </si>
  <si>
    <t xml:space="preserve">we both  learn </t>
  </si>
  <si>
    <t>always be together</t>
  </si>
  <si>
    <t>always together</t>
  </si>
  <si>
    <t>syay nag budget</t>
  </si>
  <si>
    <t>she's the one holding the money</t>
  </si>
  <si>
    <t>we both pick our own clothes</t>
  </si>
  <si>
    <t>para walay lalis kung dili ganahan ang usa</t>
  </si>
  <si>
    <t>siyay nakahibaw</t>
  </si>
  <si>
    <t>i'm too busy in field (uma)</t>
  </si>
  <si>
    <t>siya may mag asikaso sa mga bata</t>
  </si>
  <si>
    <t xml:space="preserve">para way lalis </t>
  </si>
  <si>
    <t>ako may nakahibaw unsay angay paliton</t>
  </si>
  <si>
    <t>she's the one holding our money</t>
  </si>
  <si>
    <t>because she's the one who budget</t>
  </si>
  <si>
    <t>sya may ganahan</t>
  </si>
  <si>
    <t>mo okay rako kung unsa iya ganahan</t>
  </si>
  <si>
    <t>she's the one who knows what to cook</t>
  </si>
  <si>
    <t>siyay naa sa balay</t>
  </si>
  <si>
    <t>syay naa sa balay</t>
  </si>
  <si>
    <t>kapoy naman gikan uma</t>
  </si>
  <si>
    <t>sya ray naa sa balay</t>
  </si>
  <si>
    <t>iya man jud na kay busy naman ko</t>
  </si>
  <si>
    <t>siya kay naa man sya sa balay</t>
  </si>
  <si>
    <t>she's the one who budget</t>
  </si>
  <si>
    <t>busy naman ko</t>
  </si>
  <si>
    <t>kami lamg duha</t>
  </si>
  <si>
    <t>kung kinsay bakante namo duha</t>
  </si>
  <si>
    <t>ako may naay alamag</t>
  </si>
  <si>
    <t>akoy nakahibaw kung unsay angay itanom</t>
  </si>
  <si>
    <t xml:space="preserve">ako may kahibaw </t>
  </si>
  <si>
    <t>akoy nakahibaw unsay paliton</t>
  </si>
  <si>
    <t>akoy may ga uma</t>
  </si>
  <si>
    <t>that's my job</t>
  </si>
  <si>
    <t>i'm the one who knows how to do it</t>
  </si>
  <si>
    <t>that's part of my job</t>
  </si>
  <si>
    <t>kapuyan naman ko</t>
  </si>
  <si>
    <t>i'm too busy on farm</t>
  </si>
  <si>
    <t>too tired too keep farm records</t>
  </si>
  <si>
    <t>too busy</t>
  </si>
  <si>
    <t>i'm the one who knows how to farm</t>
  </si>
  <si>
    <t>i'm the one who knows</t>
  </si>
  <si>
    <t>kapoyan nako</t>
  </si>
  <si>
    <t>ako may ga uma namo</t>
  </si>
  <si>
    <t xml:space="preserve">akoy ganahan </t>
  </si>
  <si>
    <t>akoy permi suguon mo attend</t>
  </si>
  <si>
    <t>busy na sya sa balay ug sa mga bata</t>
  </si>
  <si>
    <t>akoy ga uma</t>
  </si>
  <si>
    <t>akoy nagtrabaho man</t>
  </si>
  <si>
    <t>aron di mag away</t>
  </si>
  <si>
    <t>sabotan man namo</t>
  </si>
  <si>
    <t>uban nami</t>
  </si>
  <si>
    <t>sabot para sa anak</t>
  </si>
  <si>
    <t>ako may nakahibaw say maayo paliton</t>
  </si>
  <si>
    <t>kami na duha mamili sa paliton</t>
  </si>
  <si>
    <t>siya nay khibaw ana</t>
  </si>
  <si>
    <t>ubanan sad nako siya</t>
  </si>
  <si>
    <t>uban sad me magpalit</t>
  </si>
  <si>
    <t>siya nay available</t>
  </si>
  <si>
    <t>sabot me</t>
  </si>
  <si>
    <t>kuyog nami ug ma dayun</t>
  </si>
  <si>
    <t>puli puli ug kinsay available</t>
  </si>
  <si>
    <t>siya kaay naa man siya sa balay</t>
  </si>
  <si>
    <t>kami sad mag budget para way away</t>
  </si>
  <si>
    <t>ako sad nakahibaw</t>
  </si>
  <si>
    <t>ako say nakahibaw</t>
  </si>
  <si>
    <t>ako may nakahibaw sa sukod ug timpla</t>
  </si>
  <si>
    <t>ako may nakahibaw ug unsa adlawa harveson</t>
  </si>
  <si>
    <t>ako kay daghan ko ug kaila</t>
  </si>
  <si>
    <t>ako may desisiyon para kaayohan</t>
  </si>
  <si>
    <t>ako may khibaw unsay maayoo</t>
  </si>
  <si>
    <t>lahi lahi me ug ganahan</t>
  </si>
  <si>
    <t>kami duha na mamalit</t>
  </si>
  <si>
    <t>sabotan namo duha</t>
  </si>
  <si>
    <t>kami na duha uban</t>
  </si>
  <si>
    <t>sabotan para sa kaayuhan sa anak</t>
  </si>
  <si>
    <t>kami na duha kay ginikananan naman</t>
  </si>
  <si>
    <t>kami na duha mamili say maayo</t>
  </si>
  <si>
    <t>siya na kay siya may nakahibaw</t>
  </si>
  <si>
    <t>ako nay mamalit</t>
  </si>
  <si>
    <t>sabotan ang budget</t>
  </si>
  <si>
    <t>kami magsabot unsay maayo</t>
  </si>
  <si>
    <t>uban nami ug magkasabot na</t>
  </si>
  <si>
    <t>siya may khibaw mo luto</t>
  </si>
  <si>
    <t>say may naa sa balay</t>
  </si>
  <si>
    <t>ako nang trabaho</t>
  </si>
  <si>
    <t>sa lalaki najud na</t>
  </si>
  <si>
    <t>ako nang trabaho kay bug.at</t>
  </si>
  <si>
    <t>siya ma mag budget para sa balay</t>
  </si>
  <si>
    <t>kami duha magsabot</t>
  </si>
  <si>
    <t>siya kay kasabot man siya</t>
  </si>
  <si>
    <t>ubanan nako siya usahay</t>
  </si>
  <si>
    <t>sabotan namo ug unsay among itanom para way away</t>
  </si>
  <si>
    <t>tabangay nami duha</t>
  </si>
  <si>
    <t>sabotan para naay budget</t>
  </si>
  <si>
    <t>ako kay ako may khibaw</t>
  </si>
  <si>
    <t>ako kay ako man ang naa sa uma</t>
  </si>
  <si>
    <t>ako kay amo khibaw mo daro</t>
  </si>
  <si>
    <t>ako kay amo may nag uma</t>
  </si>
  <si>
    <t>ako may nasa uma</t>
  </si>
  <si>
    <t>ako kay ako may nakahibaw</t>
  </si>
  <si>
    <t>ako may khibaw sa timpla</t>
  </si>
  <si>
    <t>ako may lalaki niya ako naa sa uma</t>
  </si>
  <si>
    <t>ako may nakahibaw ana</t>
  </si>
  <si>
    <t>ako naa sa uma</t>
  </si>
  <si>
    <t>ako khibaw kinsay mo dala</t>
  </si>
  <si>
    <t>ako kay ako my nakahibaw</t>
  </si>
  <si>
    <t>siya may khibaw mo lista</t>
  </si>
  <si>
    <t>kami ma duha kay para magkasabot</t>
  </si>
  <si>
    <t>ako manang responsibilidad</t>
  </si>
  <si>
    <t>ako may khibaw unsay dapat budget sa uma</t>
  </si>
  <si>
    <t>ako ray mag budget</t>
  </si>
  <si>
    <t>ako khibaw unsay maayo ana</t>
  </si>
  <si>
    <t>ako may ganahan/ depende</t>
  </si>
  <si>
    <t>ako may mag uuma</t>
  </si>
  <si>
    <t>kay para makasabot ko</t>
  </si>
  <si>
    <t>kinsay availableo</t>
  </si>
  <si>
    <t>ako may khibaw sa umap</t>
  </si>
  <si>
    <t>kami kay lahi lahi meg gusto</t>
  </si>
  <si>
    <t>uban nami mamalit</t>
  </si>
  <si>
    <t>para magkasabot unsay maayo</t>
  </si>
  <si>
    <t>uban nami para unsay maayo</t>
  </si>
  <si>
    <t>sabotan unsay maayo sa mga bata</t>
  </si>
  <si>
    <t>magkasabot na aw maayo</t>
  </si>
  <si>
    <t>uban nami magpalit</t>
  </si>
  <si>
    <t>kami duha uban nami palit</t>
  </si>
  <si>
    <t>ako may mag uma akoy nakahibaw unsay paliton</t>
  </si>
  <si>
    <t>uban siya nako mamalit</t>
  </si>
  <si>
    <t>sabotan kay para way away</t>
  </si>
  <si>
    <t>kami na duha ug magkasinabot</t>
  </si>
  <si>
    <t>magsabot para way away</t>
  </si>
  <si>
    <t>para ma budget na namo</t>
  </si>
  <si>
    <t>magkasinabot me aw maayo</t>
  </si>
  <si>
    <t>uban nami tanan mang laag</t>
  </si>
  <si>
    <t>siya may khibaw ug naa sa balay</t>
  </si>
  <si>
    <t>siya available mo laba</t>
  </si>
  <si>
    <t>siya kay available man siya</t>
  </si>
  <si>
    <t>ako na kay lalaki man ko</t>
  </si>
  <si>
    <t>kay tabangay nami</t>
  </si>
  <si>
    <t>kinsay available namong duha</t>
  </si>
  <si>
    <t>ako may khibaw unsay angay ipa kaon</t>
  </si>
  <si>
    <t>ako may lalaki trabaho nako</t>
  </si>
  <si>
    <t>siya kay di man busy</t>
  </si>
  <si>
    <t>sabot me unsay maayo</t>
  </si>
  <si>
    <t>tabangay ug di siya busy</t>
  </si>
  <si>
    <t>ako may khibaw asa paliton</t>
  </si>
  <si>
    <t>ako may mag uma</t>
  </si>
  <si>
    <t>ako may lalaki ako mag guna</t>
  </si>
  <si>
    <t>trabaho mana sa lalaki</t>
  </si>
  <si>
    <t>ako say nakahibaw ana</t>
  </si>
  <si>
    <t>ako may naka ila sa mga byahidor</t>
  </si>
  <si>
    <t>ako may kaila nila</t>
  </si>
  <si>
    <t>siya kay khibaw man siya mo lista</t>
  </si>
  <si>
    <t>siya ako pasuwaton</t>
  </si>
  <si>
    <t>ako may mag budget sa pang uma</t>
  </si>
  <si>
    <t>ako maoy mag disisyon say maayo</t>
  </si>
  <si>
    <t>ako may ganahan unsay maayo</t>
  </si>
  <si>
    <t>kinsa available ang di busy</t>
  </si>
  <si>
    <t>lisud ug mag buot</t>
  </si>
  <si>
    <t>akoy muadto sa syudad</t>
  </si>
  <si>
    <t>dili ko katigo unsay angay</t>
  </si>
  <si>
    <t>siya may kahibaw sa gibati</t>
  </si>
  <si>
    <t>kapoyan naman ko</t>
  </si>
  <si>
    <t>siya jud na kay dili man ko</t>
  </si>
  <si>
    <t>masuko kung usa ra ang mag desisyon</t>
  </si>
  <si>
    <t>ako may ga budget ug para fair</t>
  </si>
  <si>
    <t>diko hilig ana</t>
  </si>
  <si>
    <t>sya ra may ganahan</t>
  </si>
  <si>
    <t>akoy kahibaw kung unsay kinahanglon</t>
  </si>
  <si>
    <t>kinahanglan man ug perma nako</t>
  </si>
  <si>
    <t>di man ko ganahan muoban</t>
  </si>
  <si>
    <t>akoy ga budget kay gastador siya</t>
  </si>
  <si>
    <t>diko ganahan muoban</t>
  </si>
  <si>
    <t>kung kinsay free</t>
  </si>
  <si>
    <t>kung tapulan ang usa mulihok ang usa</t>
  </si>
  <si>
    <t>depende sa ganahan</t>
  </si>
  <si>
    <t>kung dli tapulan ang usa maoy mulihok</t>
  </si>
  <si>
    <t>kung kinsay free kay dili man pud sya pwede mahago</t>
  </si>
  <si>
    <t>sa makauna lang</t>
  </si>
  <si>
    <t>kung kinsa ganahan ang mubuhat</t>
  </si>
  <si>
    <t>akoy nakabalo</t>
  </si>
  <si>
    <t>kabalo ko unsay angay pangitaon</t>
  </si>
  <si>
    <t xml:space="preserve">kapuyan naman ko </t>
  </si>
  <si>
    <t>kapuyan na gikan uma</t>
  </si>
  <si>
    <t>akoy kahibaw unsay angay buhaton</t>
  </si>
  <si>
    <t>kay akoy budget</t>
  </si>
  <si>
    <t>akoy nag gunit sa kwarta</t>
  </si>
  <si>
    <t>kay dili ko ganahan</t>
  </si>
  <si>
    <t>mauwaw ko diko ganahan muadto</t>
  </si>
  <si>
    <t>mauwaw ko</t>
  </si>
  <si>
    <t>ako may mo trabaho</t>
  </si>
  <si>
    <t>ako may mutrabaho</t>
  </si>
  <si>
    <t>akoy naas uma</t>
  </si>
  <si>
    <t>akoy ga trabaho</t>
  </si>
  <si>
    <t>ako mani trabaho</t>
  </si>
  <si>
    <t>akoy naa sa uma</t>
  </si>
  <si>
    <t>ako trabaho</t>
  </si>
  <si>
    <t xml:space="preserve">hatagan kung kinsay ganahan </t>
  </si>
  <si>
    <t>dili ko kabalo</t>
  </si>
  <si>
    <t>diko kabalo</t>
  </si>
  <si>
    <t>siya kay kapuyan nako ug dili ko kabalo</t>
  </si>
  <si>
    <t>ako may katigo</t>
  </si>
  <si>
    <t>ako man ga uma so akoy nakatigo</t>
  </si>
  <si>
    <t>akoy ga gunit sa kwarta</t>
  </si>
  <si>
    <t>dili ko willing mo join</t>
  </si>
  <si>
    <t>busy na sa uma</t>
  </si>
  <si>
    <t>busy na</t>
  </si>
  <si>
    <t>kapoy na gikan uma</t>
  </si>
  <si>
    <t>busy sa uma</t>
  </si>
  <si>
    <t>mahadlok mo try kay lahi na sa naandan</t>
  </si>
  <si>
    <t xml:space="preserve">Not available when the seminar was conducted </t>
  </si>
  <si>
    <t>Wife died</t>
  </si>
  <si>
    <t>concepcion lopez</t>
  </si>
  <si>
    <t>akoy asawa</t>
  </si>
  <si>
    <t>gusto ko</t>
  </si>
  <si>
    <t>mas maayo if naa mi duha</t>
  </si>
  <si>
    <t>inahan man ko</t>
  </si>
  <si>
    <t>akoy gabantay nila</t>
  </si>
  <si>
    <t>para di magmahay</t>
  </si>
  <si>
    <t>syay ganahan mamalit</t>
  </si>
  <si>
    <t>to be fair and walay mahayay</t>
  </si>
  <si>
    <t>syay ganahan</t>
  </si>
  <si>
    <t>to be fair ug maayo manang kami duha</t>
  </si>
  <si>
    <t>lisud ug sya ra usa</t>
  </si>
  <si>
    <t>para walay magmahay</t>
  </si>
  <si>
    <t>mas maayo kung kami duha</t>
  </si>
  <si>
    <t>para way lalis ug walay mahay</t>
  </si>
  <si>
    <t>mas nindot ug kami duha</t>
  </si>
  <si>
    <t>magtinabangay man mi</t>
  </si>
  <si>
    <t xml:space="preserve">kung kinsay free namo duha </t>
  </si>
  <si>
    <t>kung kinsa lang ang availabld</t>
  </si>
  <si>
    <t>kung kinsay ganahan mubuhat ug kinsay free</t>
  </si>
  <si>
    <t>ako ni trabaho</t>
  </si>
  <si>
    <t>para fair ug mas maayo nang kami duha</t>
  </si>
  <si>
    <t>akoy kasabot unsay ganahan nila</t>
  </si>
  <si>
    <t>muadto man syag uma</t>
  </si>
  <si>
    <t>kami man duha ang kahibaw unsay angay</t>
  </si>
  <si>
    <t>kami man duha ga trabaho</t>
  </si>
  <si>
    <t>tinabangay ming duha</t>
  </si>
  <si>
    <t>kami duha nakahibaw</t>
  </si>
  <si>
    <t>kami duha ga uma</t>
  </si>
  <si>
    <t>tinabangay lang mi</t>
  </si>
  <si>
    <t>tinabangay</t>
  </si>
  <si>
    <t>kami may kahibaw duha</t>
  </si>
  <si>
    <t>amo man jud ni trabaho duha</t>
  </si>
  <si>
    <t>kami man duha ang ga uma</t>
  </si>
  <si>
    <t>kami nakahibaw duha</t>
  </si>
  <si>
    <t>mas maayo man ug kami duha</t>
  </si>
  <si>
    <t>kami duha kahibaw man</t>
  </si>
  <si>
    <t>para safe</t>
  </si>
  <si>
    <t>kalimtanon man sya</t>
  </si>
  <si>
    <t>mas safe kung ako</t>
  </si>
  <si>
    <t>kami may kahibaw</t>
  </si>
  <si>
    <t>ako man iya pa attenon</t>
  </si>
  <si>
    <t>siyay hilig</t>
  </si>
  <si>
    <t>di sya hilig mo attend</t>
  </si>
  <si>
    <t>akoy pa attenon</t>
  </si>
  <si>
    <t>ako ray ganahan mo attend</t>
  </si>
  <si>
    <t>kami duha ga trabaho man</t>
  </si>
  <si>
    <t>siya may khibaw sa among gusto</t>
  </si>
  <si>
    <t>siya ray mamalit</t>
  </si>
  <si>
    <t>magkasabot na</t>
  </si>
  <si>
    <t>kami sabot para sa anak</t>
  </si>
  <si>
    <t>kami ginikanan</t>
  </si>
  <si>
    <t>sabot par way away</t>
  </si>
  <si>
    <t>kami mamali magpalit</t>
  </si>
  <si>
    <t>sabot unsay angay paliton</t>
  </si>
  <si>
    <t>ako magbudget sa pang uma</t>
  </si>
  <si>
    <t>ako may mamalit khibaw ko</t>
  </si>
  <si>
    <t>depende kinsay available</t>
  </si>
  <si>
    <t>sabotan unsay maayo</t>
  </si>
  <si>
    <t>kami na duha bsta magkasabot na</t>
  </si>
  <si>
    <t>kinsay naa sa balay</t>
  </si>
  <si>
    <t>kami duha tabangay</t>
  </si>
  <si>
    <t>sabot para way away</t>
  </si>
  <si>
    <t>kinsa available</t>
  </si>
  <si>
    <t>sabot kay kami duha khibaw say maayo</t>
  </si>
  <si>
    <t>kami duha tabangay nami</t>
  </si>
  <si>
    <t>kami duha kay khibaw man me</t>
  </si>
  <si>
    <t>kami kay khibaw man me</t>
  </si>
  <si>
    <t>ako may khibaw mo daro</t>
  </si>
  <si>
    <t>kami duha khibaw man me</t>
  </si>
  <si>
    <t>ako may nakahibaw sa timpla</t>
  </si>
  <si>
    <t>kami na duha khibaw man me</t>
  </si>
  <si>
    <t>ako kaila nga mo kompra</t>
  </si>
  <si>
    <t>ako lang mang contact</t>
  </si>
  <si>
    <t>ako man jud mag uma</t>
  </si>
  <si>
    <t>kinsay ganahan or available gud</t>
  </si>
  <si>
    <t>ako may dapat mo attend</t>
  </si>
  <si>
    <t>kami duha para naa khibaw.an</t>
  </si>
  <si>
    <t>para makahibaw me duha</t>
  </si>
  <si>
    <t>siya khibaw sa among gusto</t>
  </si>
  <si>
    <t>sabotan namo para sa mga bata</t>
  </si>
  <si>
    <t>kami duha kay ginikanan man me</t>
  </si>
  <si>
    <t>sabot para ma budget</t>
  </si>
  <si>
    <t>uban namo mamili</t>
  </si>
  <si>
    <t>sabot namong duha para ma budget</t>
  </si>
  <si>
    <t>kami duha mamili unsay paliton</t>
  </si>
  <si>
    <t>kami duha para ma budget namo</t>
  </si>
  <si>
    <t>sabotan sa nam</t>
  </si>
  <si>
    <t>siya available</t>
  </si>
  <si>
    <t>ako na kay ako may lalaki</t>
  </si>
  <si>
    <t>ako say available</t>
  </si>
  <si>
    <t>puli puli nami</t>
  </si>
  <si>
    <t>siya magbudget sa para sa balay</t>
  </si>
  <si>
    <t>kami na duha ug unsay disisyon niya</t>
  </si>
  <si>
    <t>siya may nakahibaw unsa angay paliton</t>
  </si>
  <si>
    <t>ako may khibaw unsa dapat para sa uma</t>
  </si>
  <si>
    <t>ako may khibaw sa timpla ug pila kilo</t>
  </si>
  <si>
    <t>ako mana trabaho ako say lalaki</t>
  </si>
  <si>
    <t>ako may khibaw sa mo kompra</t>
  </si>
  <si>
    <t>siya may mo lista kay khibaw man siya</t>
  </si>
  <si>
    <t>ako kay ako may nag uma</t>
  </si>
  <si>
    <t>kay  unsay maayo ana</t>
  </si>
  <si>
    <t>ako may ganahn mo apil ug maayo lang</t>
  </si>
  <si>
    <t>para magkasabot me</t>
  </si>
  <si>
    <t>sabota kay para way away</t>
  </si>
  <si>
    <t>kay kami may ginikanan</t>
  </si>
  <si>
    <t>uban nami mamalit para makapili</t>
  </si>
  <si>
    <t>kay para way away</t>
  </si>
  <si>
    <t>sabot kay para ma budget</t>
  </si>
  <si>
    <t>sabot pata ma budget namo</t>
  </si>
  <si>
    <t>uban nami may para ma budget namo</t>
  </si>
  <si>
    <t>para unsa plano</t>
  </si>
  <si>
    <t>siya mag budget sa balay</t>
  </si>
  <si>
    <t>siyaay nakahibaw</t>
  </si>
  <si>
    <t>ako may khibaw unsa ipa kaon</t>
  </si>
  <si>
    <t>uban na para ma budget namo</t>
  </si>
  <si>
    <t>ako may khibaw ug daro</t>
  </si>
  <si>
    <t>sabot kay khibaw man me</t>
  </si>
  <si>
    <t>kami man duha nag uma</t>
  </si>
  <si>
    <t>ako my lalaki</t>
  </si>
  <si>
    <t>khibaw man me ug harvesunon na</t>
  </si>
  <si>
    <t>kami may naa sa uma</t>
  </si>
  <si>
    <t>siya may naa kaila</t>
  </si>
  <si>
    <t>khibaw man siya kinsay mo kompra</t>
  </si>
  <si>
    <t>ako man jud nag uma</t>
  </si>
  <si>
    <t>sabotan unsay angay sa pang uma</t>
  </si>
  <si>
    <t>para makahibaw unsay maayo</t>
  </si>
  <si>
    <t>para naay masabtan me duha</t>
  </si>
  <si>
    <t>para makasabot me duha</t>
  </si>
  <si>
    <t>para naa me masabtan sad</t>
  </si>
  <si>
    <t>para makasabot sad</t>
  </si>
  <si>
    <t>para makahibaw sad me</t>
  </si>
  <si>
    <t>lahi lahi me ug gusto</t>
  </si>
  <si>
    <t>uban nami mamalit para maka pili</t>
  </si>
  <si>
    <t>kay para magkasabot</t>
  </si>
  <si>
    <t>para unsay maayo sa anak</t>
  </si>
  <si>
    <t>para maka pili unsay maayo</t>
  </si>
  <si>
    <t>para maka pili ug unsay maayo</t>
  </si>
  <si>
    <t>ako may khibaw sa uma</t>
  </si>
  <si>
    <t>ako may khibaw unsay angay paliton</t>
  </si>
  <si>
    <t>kami duha mamili</t>
  </si>
  <si>
    <t>sabot unsay plano</t>
  </si>
  <si>
    <t>kami na uban duha ug ako anak</t>
  </si>
  <si>
    <t>ako lalaki</t>
  </si>
  <si>
    <t>ako may khibaw mangahoy</t>
  </si>
  <si>
    <t>siya may mag budget para sa balay</t>
  </si>
  <si>
    <t>siya may khibaw sa budget sa balay</t>
  </si>
  <si>
    <t>ako nakahibaw unsa paliton</t>
  </si>
  <si>
    <t>ako may nakhibaw</t>
  </si>
  <si>
    <t>ako may naka ila sa mo palit</t>
  </si>
  <si>
    <t>ako may nakahibaw sa pang uma</t>
  </si>
  <si>
    <t>ako sad available</t>
  </si>
  <si>
    <t>ako may ganahan ug mo apil ko</t>
  </si>
  <si>
    <t>ako may ganahan ug maayo sad</t>
  </si>
  <si>
    <t>para naakoy masabtan nga maayo</t>
  </si>
  <si>
    <t>para naa koy bagong nahibaw.an</t>
  </si>
  <si>
    <t>kung unsay ganahan nako mo okay ra sila</t>
  </si>
  <si>
    <t>muoyan ra man sila</t>
  </si>
  <si>
    <t>para walay mag bagotbut</t>
  </si>
  <si>
    <t>mas maayo ug kami duha</t>
  </si>
  <si>
    <t>sympre kay amo mana bata</t>
  </si>
  <si>
    <t>dapat kami duha para kung dili ganahan ang usa dili mag bagutbot</t>
  </si>
  <si>
    <t>siya may mag buot</t>
  </si>
  <si>
    <t>whoever is available</t>
  </si>
  <si>
    <t>mo uyon ra sya nako</t>
  </si>
  <si>
    <t xml:space="preserve">ako may ganahan </t>
  </si>
  <si>
    <t>kung unsay desisyon nako mo oo ra sya</t>
  </si>
  <si>
    <t>kung kinsay free namong duha</t>
  </si>
  <si>
    <t>tinabangay lang mi duha</t>
  </si>
  <si>
    <t xml:space="preserve">kung kinsay free namong duha </t>
  </si>
  <si>
    <t>tabangay ug para fair pud</t>
  </si>
  <si>
    <t>kay amo mana duha mga bata ug para fair pud</t>
  </si>
  <si>
    <t>wala syay paki na ana</t>
  </si>
  <si>
    <t>wa sya kahibaw kung unsay mga kinahanglan or kuwang sa balay</t>
  </si>
  <si>
    <t>mo okay ra sila kung unsa ako paliton</t>
  </si>
  <si>
    <t>magtinabangay rami</t>
  </si>
  <si>
    <t>siya moy ganahan</t>
  </si>
  <si>
    <t>akoy available kay busy na siya</t>
  </si>
  <si>
    <t>kahibaw mi unsay angay na itanom</t>
  </si>
  <si>
    <t>kami may ga uma</t>
  </si>
  <si>
    <t xml:space="preserve">puli puli mi or kung kinsay free </t>
  </si>
  <si>
    <t>kami man duha ga uma</t>
  </si>
  <si>
    <t>kami may ga trabaho</t>
  </si>
  <si>
    <t>tabangay lang mi</t>
  </si>
  <si>
    <t>tinabangay mi</t>
  </si>
  <si>
    <t>mao man amo trabaho</t>
  </si>
  <si>
    <t>trabaho mana namo</t>
  </si>
  <si>
    <t>kami man ga uma</t>
  </si>
  <si>
    <t>kami man ang ga trabaho</t>
  </si>
  <si>
    <t>amo mana trabaho</t>
  </si>
  <si>
    <t>kami kahibaw</t>
  </si>
  <si>
    <t>di sya ganahan</t>
  </si>
  <si>
    <t>kalimtanon sya</t>
  </si>
  <si>
    <t>mas aafe pag sa ako</t>
  </si>
  <si>
    <t>kami duha katigo</t>
  </si>
  <si>
    <t>busy na siya</t>
  </si>
  <si>
    <t>depende unsay angayan</t>
  </si>
  <si>
    <t>kung kinsay available namo</t>
  </si>
  <si>
    <t>kami duha para fair</t>
  </si>
  <si>
    <t>kung kinsay ganahan</t>
  </si>
  <si>
    <t>gemma loberas sincero</t>
  </si>
  <si>
    <t>because im the one who works for the family</t>
  </si>
  <si>
    <t>mutabang</t>
  </si>
  <si>
    <t xml:space="preserve">because my son is the one who works in the farm </t>
  </si>
  <si>
    <t>my son is the one who knows what is needed in the farm</t>
  </si>
  <si>
    <t>kay ako man ang mangutang</t>
  </si>
  <si>
    <t xml:space="preserve">because im the one who does budgeting </t>
  </si>
  <si>
    <t>depends who wants to have fun</t>
  </si>
  <si>
    <t xml:space="preserve">depends who wants to have fun </t>
  </si>
  <si>
    <t>because im the one who stays at home</t>
  </si>
  <si>
    <t>because my son works on the farm</t>
  </si>
  <si>
    <t xml:space="preserve">because my son is the one who will get firewood </t>
  </si>
  <si>
    <t>because my daughter stays on the house</t>
  </si>
  <si>
    <t>my daughter does budgeting</t>
  </si>
  <si>
    <t xml:space="preserve">because it's my responsibility </t>
  </si>
  <si>
    <t xml:space="preserve">it's my responsibility </t>
  </si>
  <si>
    <t>ang amo sir ang magbuot</t>
  </si>
  <si>
    <t>My son is the one who will work on the farm</t>
  </si>
  <si>
    <t>my son knows the work</t>
  </si>
  <si>
    <t>because my son is the one who works on the farm</t>
  </si>
  <si>
    <t>my son knows how to do the work</t>
  </si>
  <si>
    <t>because i also manage the farm</t>
  </si>
  <si>
    <t>im the one who will guide them</t>
  </si>
  <si>
    <t>my son also monitors the farm</t>
  </si>
  <si>
    <t>because my son knows the work</t>
  </si>
  <si>
    <t>my son also manages the farm</t>
  </si>
  <si>
    <t>they will also ask for guidance</t>
  </si>
  <si>
    <t>because im the one who manages the sales</t>
  </si>
  <si>
    <t>because im the one who will guide them</t>
  </si>
  <si>
    <t>depends if im not busy</t>
  </si>
  <si>
    <t xml:space="preserve">my son is interested </t>
  </si>
  <si>
    <t xml:space="preserve">my son is willing to learn </t>
  </si>
  <si>
    <t xml:space="preserve">because my son is the one who manage the farm </t>
  </si>
  <si>
    <t>kay siya may pabor</t>
  </si>
  <si>
    <t>kami ray magsabot</t>
  </si>
  <si>
    <t>para masukod kung unsay gusto</t>
  </si>
  <si>
    <t>we will talk if it is good</t>
  </si>
  <si>
    <t>my husband is the one who will go to buy</t>
  </si>
  <si>
    <t>we will talk about it</t>
  </si>
  <si>
    <t>to make sure we can choose a good quality of appliances</t>
  </si>
  <si>
    <t>to make sure we can choose a good quality of furniture</t>
  </si>
  <si>
    <t>because my husband is the one who knows</t>
  </si>
  <si>
    <t>because my husband is the one who will pay</t>
  </si>
  <si>
    <t>both of us avail credits</t>
  </si>
  <si>
    <t>because we do budgeting</t>
  </si>
  <si>
    <t>because im the one who stays in the house</t>
  </si>
  <si>
    <t>because it's difficult work</t>
  </si>
  <si>
    <t>my husband does budgeting</t>
  </si>
  <si>
    <t>I know what food they want</t>
  </si>
  <si>
    <t>because im not busy</t>
  </si>
  <si>
    <t>my husband is the one who manages the farm</t>
  </si>
  <si>
    <t>because my husband is the one who plans for the family</t>
  </si>
  <si>
    <t>wala kaayu manukap</t>
  </si>
  <si>
    <t>wala man kaayu manukap</t>
  </si>
  <si>
    <t>because it's my husband works</t>
  </si>
  <si>
    <t>because it's my husband's responsibility</t>
  </si>
  <si>
    <t>because it's my husband's job</t>
  </si>
  <si>
    <t>because my husband is the one who will look for a buyer</t>
  </si>
  <si>
    <t>my husband has contact to buyer</t>
  </si>
  <si>
    <t>it's my husband's responsibility</t>
  </si>
  <si>
    <t>to track the sales</t>
  </si>
  <si>
    <t>to track the expenses on farming</t>
  </si>
  <si>
    <t>to train our children on farming</t>
  </si>
  <si>
    <t>because my husband is an expert on the farm</t>
  </si>
  <si>
    <t>because my husband wants to join any organizations</t>
  </si>
  <si>
    <t>it's my husband wants</t>
  </si>
  <si>
    <t>to learn</t>
  </si>
  <si>
    <t>to learn from them about farming</t>
  </si>
  <si>
    <t>because my husband wants to learn</t>
  </si>
  <si>
    <t>ako bana ang hilig mag attend</t>
  </si>
  <si>
    <t>hilig niya</t>
  </si>
  <si>
    <t>im the one who will choose for their food</t>
  </si>
  <si>
    <t>mukaon ra sila ug unsay naa</t>
  </si>
  <si>
    <t>my husband doesn't know how to choose clothes</t>
  </si>
  <si>
    <t>because i know what is good to them</t>
  </si>
  <si>
    <t>im the one who knows the medication</t>
  </si>
  <si>
    <t>my husband is the one who will find the medication</t>
  </si>
  <si>
    <t>kinahanglan kami magsabot</t>
  </si>
  <si>
    <t>kinahanglan kami ang magsabot</t>
  </si>
  <si>
    <t>depends who wants appliances</t>
  </si>
  <si>
    <t>because my husband is the one who will carry the appliances</t>
  </si>
  <si>
    <t>depends who wants to have furniture</t>
  </si>
  <si>
    <t>we will both choose</t>
  </si>
  <si>
    <t>my husband is the one who knows what is needed in the farm</t>
  </si>
  <si>
    <t>so that we both know that we have a credit</t>
  </si>
  <si>
    <t>we both avail credits</t>
  </si>
  <si>
    <t>we both plan what is the right thing to do</t>
  </si>
  <si>
    <t>because we want to explore</t>
  </si>
  <si>
    <t>im the one who stays in the house</t>
  </si>
  <si>
    <t>because it's our children</t>
  </si>
  <si>
    <t>because i know the food they like</t>
  </si>
  <si>
    <t>im the one who will plan what crops to be planted</t>
  </si>
  <si>
    <t>my husband will work</t>
  </si>
  <si>
    <t>because my husband knows how to do the work</t>
  </si>
  <si>
    <t>it depends who has a contact to buyer</t>
  </si>
  <si>
    <t>because my husband tends to forget</t>
  </si>
  <si>
    <t>because im always on the house</t>
  </si>
  <si>
    <t>because im the one who is updated</t>
  </si>
  <si>
    <t>because we want to know the activities in community</t>
  </si>
  <si>
    <t>kay kami ang nag uma</t>
  </si>
  <si>
    <t>kami ang nag uma</t>
  </si>
  <si>
    <t>magtinabangay para fair</t>
  </si>
  <si>
    <t>mag iyahay ra</t>
  </si>
  <si>
    <t>para kung naay ganahan maoy paliton ra</t>
  </si>
  <si>
    <t>Amas maayo ug kaming duha</t>
  </si>
  <si>
    <t>tinabangay ra</t>
  </si>
  <si>
    <t>amo man gud na anak</t>
  </si>
  <si>
    <t>para way magmahay</t>
  </si>
  <si>
    <t>mas maayo ig kami duha</t>
  </si>
  <si>
    <t>Mag tinabangay ming duha</t>
  </si>
  <si>
    <t>akoy nakahibaw kung unsay wala</t>
  </si>
  <si>
    <t>mo okay raman sya as long as nakahibaw sya</t>
  </si>
  <si>
    <t>akoy nag gunit sa amo kwarta</t>
  </si>
  <si>
    <t>iyahay ra</t>
  </si>
  <si>
    <t>kung asa sya ganahan adto sya tas ako pud</t>
  </si>
  <si>
    <t>ako man jud na trabaho</t>
  </si>
  <si>
    <t>busy man siya sa uma</t>
  </si>
  <si>
    <t>busy siya sa uma</t>
  </si>
  <si>
    <t>ako may gagunit sa kwarta</t>
  </si>
  <si>
    <t>mo okay raman sya kung unsa ako paliton</t>
  </si>
  <si>
    <t>mo okay ra sya kung unsa ako gusto</t>
  </si>
  <si>
    <t>akoy nakahibaw unsay kinahanglan</t>
  </si>
  <si>
    <t>akoy may nakahibaw</t>
  </si>
  <si>
    <t>magtinabangay nami</t>
  </si>
  <si>
    <t>mag agad nako</t>
  </si>
  <si>
    <t>amo mani trabaho</t>
  </si>
  <si>
    <t>bug'at naman gud ang mga tanke</t>
  </si>
  <si>
    <t>sya na kay bug'at naman</t>
  </si>
  <si>
    <t>ako may nakahibaw kung unsa nay buhaton</t>
  </si>
  <si>
    <t>mag agad ra sya nako</t>
  </si>
  <si>
    <t>amo man trabaho so tabangay raming duha</t>
  </si>
  <si>
    <t>amo man jud ni trabaho</t>
  </si>
  <si>
    <t>makalimot ma siya</t>
  </si>
  <si>
    <t>kapuyon naman siya</t>
  </si>
  <si>
    <t>kami man duha kantigo</t>
  </si>
  <si>
    <t>kung kinsay available namong duha</t>
  </si>
  <si>
    <t>kung kinsa ray available namo</t>
  </si>
  <si>
    <t xml:space="preserve">para fair </t>
  </si>
  <si>
    <t>kung kinsay free namo maoy mo attend</t>
  </si>
  <si>
    <t>mas nindot ug kaming duha</t>
  </si>
  <si>
    <t>kung kinsay ganahan lang</t>
  </si>
  <si>
    <t>kay kami man duha ga uma</t>
  </si>
  <si>
    <t>kami ga trabaho</t>
  </si>
  <si>
    <t>I am the one who cook</t>
  </si>
  <si>
    <t>i am the one who cook</t>
  </si>
  <si>
    <t>kay para makadecide ang tanan unsay ila ganahan</t>
  </si>
  <si>
    <t>because my husband is unable to walk</t>
  </si>
  <si>
    <t>because i am the one who buy</t>
  </si>
  <si>
    <t>kay ganahan ko magpaeskwela sa akoa anak</t>
  </si>
  <si>
    <t>kay ganahab ko magpaeskwela sa akoa mga anak</t>
  </si>
  <si>
    <t>kay akoa man kwarta</t>
  </si>
  <si>
    <t>kay ako man ang mo bayad</t>
  </si>
  <si>
    <t>kay ako man ang magbudget</t>
  </si>
  <si>
    <t>kay ako man tanan trabaho</t>
  </si>
  <si>
    <t>kay daghan man koy trabaho</t>
  </si>
  <si>
    <t>kay bug-at man</t>
  </si>
  <si>
    <t>kay ako man ang inahan</t>
  </si>
  <si>
    <t>kay ako tanan trabaho</t>
  </si>
  <si>
    <t>kay motabang man ko ug tanom</t>
  </si>
  <si>
    <t>kay magpasuhol ra man ko</t>
  </si>
  <si>
    <t>kay tabangan man ko sa akoa anak</t>
  </si>
  <si>
    <t>kay akoa man anak ang mag-spray</t>
  </si>
  <si>
    <t>kay ako man anak ang mag-spray</t>
  </si>
  <si>
    <t>kay amo man tabangan pamilya inig harvest</t>
  </si>
  <si>
    <t>kay amo man tabangan ug limpyo</t>
  </si>
  <si>
    <t>kay ako man ang magbaligya</t>
  </si>
  <si>
    <t>kay ako ma  ang magbudget</t>
  </si>
  <si>
    <t>kay ako raman ang mag-uma</t>
  </si>
  <si>
    <t>to avoid problem</t>
  </si>
  <si>
    <t>we are the one who does budgeting</t>
  </si>
  <si>
    <t>kami ang moadt ug city</t>
  </si>
  <si>
    <t>kami man ang naglihok</t>
  </si>
  <si>
    <t>kami duha ang mangita</t>
  </si>
  <si>
    <t>we will always talk about it</t>
  </si>
  <si>
    <t>to know if we have enough funds for their education</t>
  </si>
  <si>
    <t>we need to consult each other</t>
  </si>
  <si>
    <t>so that we can choose good appliances</t>
  </si>
  <si>
    <t>consult to each other</t>
  </si>
  <si>
    <t>to choose good furniture</t>
  </si>
  <si>
    <t>consult each other</t>
  </si>
  <si>
    <t>dili gyud me magbuwag</t>
  </si>
  <si>
    <t>we are the one who will pay</t>
  </si>
  <si>
    <t>because my wife wants insurance</t>
  </si>
  <si>
    <t>ask if we have money left</t>
  </si>
  <si>
    <t>depends if we have money</t>
  </si>
  <si>
    <t>because my wife knows</t>
  </si>
  <si>
    <t>because it's my wife responsibility</t>
  </si>
  <si>
    <t>because my wife is the one who will cook</t>
  </si>
  <si>
    <t>because we both know the food they want</t>
  </si>
  <si>
    <t>kami ang magpalit</t>
  </si>
  <si>
    <t>because my wife will give some advice</t>
  </si>
  <si>
    <t>i have a contact to buyer</t>
  </si>
  <si>
    <t>because my wife has more time</t>
  </si>
  <si>
    <t>to make my children will not be lazy</t>
  </si>
  <si>
    <t>to trained them</t>
  </si>
  <si>
    <t>we're the one who does budgeting</t>
  </si>
  <si>
    <t>because i want to join</t>
  </si>
  <si>
    <t>it's my want to join</t>
  </si>
  <si>
    <t>ako moy hilig</t>
  </si>
  <si>
    <t>because im farming</t>
  </si>
  <si>
    <t>we have different wants</t>
  </si>
  <si>
    <t>iyahay ug decision</t>
  </si>
  <si>
    <t>we both know what medication needed</t>
  </si>
  <si>
    <t>im faster than my wife</t>
  </si>
  <si>
    <t>to pick a good quality of appliances</t>
  </si>
  <si>
    <t>to pick a good furniture</t>
  </si>
  <si>
    <t>pabaga lang sa nawng</t>
  </si>
  <si>
    <t>it's depends</t>
  </si>
  <si>
    <t>my wife is the one who wants to explore</t>
  </si>
  <si>
    <t>dili man ko hilig</t>
  </si>
  <si>
    <t>because my wife stay at home</t>
  </si>
  <si>
    <t>because im the who knows</t>
  </si>
  <si>
    <t>im the one who manages our money</t>
  </si>
  <si>
    <t>my wife is gastador</t>
  </si>
  <si>
    <t>we have different wants upon choosing food</t>
  </si>
  <si>
    <t>so no one will blame</t>
  </si>
  <si>
    <t>we should talk about what crops to plant</t>
  </si>
  <si>
    <t>because i know what to do in farm</t>
  </si>
  <si>
    <t>im the one who will look for a buyer</t>
  </si>
  <si>
    <t>im the one who will keep a record of sales</t>
  </si>
  <si>
    <t>im the one who will keep a farm records</t>
  </si>
  <si>
    <t>because im experts on farming</t>
  </si>
  <si>
    <t>because im the one who does farming</t>
  </si>
  <si>
    <t>because i know the food they want</t>
  </si>
  <si>
    <t>i know the food they want</t>
  </si>
  <si>
    <t>because we both know what medication needed</t>
  </si>
  <si>
    <t>because my husband is faster than me</t>
  </si>
  <si>
    <t>it's good that our children will go to school</t>
  </si>
  <si>
    <t>we both choose the appliances thats good</t>
  </si>
  <si>
    <t>because my husband is the one who knows what is needed in the farm</t>
  </si>
  <si>
    <t>we both should know</t>
  </si>
  <si>
    <t>so we should both aware</t>
  </si>
  <si>
    <t>we should both aware</t>
  </si>
  <si>
    <t>we are aware how we spend our income</t>
  </si>
  <si>
    <t>to have fun with the family</t>
  </si>
  <si>
    <t>to bond with the family</t>
  </si>
  <si>
    <t>we should talk about it</t>
  </si>
  <si>
    <t>because im the one who manages the money</t>
  </si>
  <si>
    <t>because my husband is the one who monitors the farm</t>
  </si>
  <si>
    <t>we should consult each other</t>
  </si>
  <si>
    <t>my husband has a contact with the buyer</t>
  </si>
  <si>
    <t>its my husband's responsibility</t>
  </si>
  <si>
    <t>so that we both know the sales of our crops</t>
  </si>
  <si>
    <t>to know the activities in the farm</t>
  </si>
  <si>
    <t>my husband found it difficult</t>
  </si>
  <si>
    <t>to make our children know how to do farming</t>
  </si>
  <si>
    <t>my husband is an expert on farming</t>
  </si>
  <si>
    <t>were the ones who manage the finance</t>
  </si>
  <si>
    <t>because my husband is the one who works in the farm</t>
  </si>
  <si>
    <t>to have progress in farming</t>
  </si>
  <si>
    <t>mag sabot para fair</t>
  </si>
  <si>
    <t>pra way mahayay</t>
  </si>
  <si>
    <t>kahibaw kung unsay ganahan</t>
  </si>
  <si>
    <t>kung kinsay free silay mamalit or muadto sa syudad</t>
  </si>
  <si>
    <t>ma smaayo kung kami duha</t>
  </si>
  <si>
    <t>ako ray ganahan</t>
  </si>
  <si>
    <t>akoy mupalit</t>
  </si>
  <si>
    <t>ako ramay ganahan</t>
  </si>
  <si>
    <t>sila may mo trabaho</t>
  </si>
  <si>
    <t>kung kinsa ray free</t>
  </si>
  <si>
    <t xml:space="preserve">tinabangau lang </t>
  </si>
  <si>
    <t xml:space="preserve">ang umagad namo moy mang hagad </t>
  </si>
  <si>
    <t>sila man gud ang manglibre</t>
  </si>
  <si>
    <t>kung free ko</t>
  </si>
  <si>
    <t>kay ako may ila suguon</t>
  </si>
  <si>
    <t>sila may nakahibaw unsay angay itanom</t>
  </si>
  <si>
    <t>sila may ga uma</t>
  </si>
  <si>
    <t xml:space="preserve">sila ray nakahibaw </t>
  </si>
  <si>
    <t>ila mana trabaho</t>
  </si>
  <si>
    <t>silay kaantigo</t>
  </si>
  <si>
    <t>silay ga uma</t>
  </si>
  <si>
    <t>sila may ga trabaho</t>
  </si>
  <si>
    <t>mot applicable</t>
  </si>
  <si>
    <t>magtinabangay rana sila</t>
  </si>
  <si>
    <t>silay ga trabaho</t>
  </si>
  <si>
    <t>ila trabaho</t>
  </si>
  <si>
    <t>ako ila saligan</t>
  </si>
  <si>
    <t>sila may kahibaw</t>
  </si>
  <si>
    <t>silay magtinabangay ana</t>
  </si>
  <si>
    <t>sila may sweto</t>
  </si>
  <si>
    <t>sila lang</t>
  </si>
  <si>
    <t>sila may ganahan</t>
  </si>
  <si>
    <t>sila may kaantigo</t>
  </si>
  <si>
    <t>sila may kahibaw unsay angay paliton</t>
  </si>
  <si>
    <t>kung kinsa lang ang free namo</t>
  </si>
  <si>
    <t>silay ganahan</t>
  </si>
  <si>
    <t>sila man ang nagtrabaho</t>
  </si>
  <si>
    <t>kay sya may naa sa kusina</t>
  </si>
  <si>
    <t>dalhon mi niya sa palitanan pero depende rapud sa amo gusto</t>
  </si>
  <si>
    <t>para walay mahay</t>
  </si>
  <si>
    <t>amoa sabotan</t>
  </si>
  <si>
    <t>mas maayo ug kami duha magsabot</t>
  </si>
  <si>
    <t>sabotan rana namo</t>
  </si>
  <si>
    <t>kami kay amo mana bata tinabangay lang</t>
  </si>
  <si>
    <t>para walay lalis</t>
  </si>
  <si>
    <t>kay iya mana trabaho</t>
  </si>
  <si>
    <t>siya may naa sa uma</t>
  </si>
  <si>
    <t>sabotan kay mabalik raman gihapon sa uma ang income</t>
  </si>
  <si>
    <t>sabotan rana namo duha</t>
  </si>
  <si>
    <t>sabotan ra gihapon na namo</t>
  </si>
  <si>
    <t>para walay mahay ug lalis</t>
  </si>
  <si>
    <t>kay sya ra naa sa balay</t>
  </si>
  <si>
    <t>kay siya ra naa diri sa balay</t>
  </si>
  <si>
    <t>siya man jud na trabaho basta sa balay</t>
  </si>
  <si>
    <t>iya man jud na trabaho basta sa balay</t>
  </si>
  <si>
    <t>kay naa ra siya sa balay</t>
  </si>
  <si>
    <t>iya rana ipasugo nako</t>
  </si>
  <si>
    <t>busy naman gud ko sa uma</t>
  </si>
  <si>
    <t>para sabotan kung unsa ang gastohan</t>
  </si>
  <si>
    <t>kay para mana sa amo bata</t>
  </si>
  <si>
    <t>mag puli-puli lang kung kinsay available</t>
  </si>
  <si>
    <t>sabotan ra namo</t>
  </si>
  <si>
    <t>magsabot man mi</t>
  </si>
  <si>
    <t>kay pareha mi nakahibaw unsay angay paliton</t>
  </si>
  <si>
    <t>sa makalugar ug adto sa siyudad</t>
  </si>
  <si>
    <t>ako may incharge sa uma</t>
  </si>
  <si>
    <t>ako may ga trabaho</t>
  </si>
  <si>
    <t>akoy incharge sa uma</t>
  </si>
  <si>
    <t>sabotan kung asa ibaligya para maka income ug dako</t>
  </si>
  <si>
    <t>tinabangay nami</t>
  </si>
  <si>
    <t>kay mag banos banos mig record</t>
  </si>
  <si>
    <t>kami duha man ang mag record</t>
  </si>
  <si>
    <t>mag banos banos raman mi</t>
  </si>
  <si>
    <t>banos banos rami</t>
  </si>
  <si>
    <t>siya ga uma</t>
  </si>
  <si>
    <t>siya may kaantigo</t>
  </si>
  <si>
    <t>siya man ang ga uma</t>
  </si>
  <si>
    <t>siyay kahibaw unsay angay paliton</t>
  </si>
  <si>
    <t>sabotan namonkung unsay mga benefits ang ma derived sa ana na organization</t>
  </si>
  <si>
    <t>to add knowledge about farming</t>
  </si>
  <si>
    <t>to add more knowledge on farming</t>
  </si>
  <si>
    <t>sabotan namonh duha</t>
  </si>
  <si>
    <t>kami duha king kinsay available namo</t>
  </si>
  <si>
    <t>kay syay ga uma man</t>
  </si>
  <si>
    <t>siya may nakahibaw unsay angay buhaton</t>
  </si>
  <si>
    <t>kami duha or kung busy ang usa</t>
  </si>
  <si>
    <t>puli puli lang mi</t>
  </si>
  <si>
    <t>di man ko kaadtog syudad</t>
  </si>
  <si>
    <t>tinabangay rami</t>
  </si>
  <si>
    <t>kay ako man nangita</t>
  </si>
  <si>
    <t>akoy nangita ug kwarta</t>
  </si>
  <si>
    <t>ako man gud ang nag trabaho</t>
  </si>
  <si>
    <t>akoy nangita</t>
  </si>
  <si>
    <t>akoy ga budget sa amo kwarta</t>
  </si>
  <si>
    <t>siya ra may nahibilin sa balay</t>
  </si>
  <si>
    <t>busy naman ko sa uma</t>
  </si>
  <si>
    <t>iya mana trabaho kay naa sya sa balay</t>
  </si>
  <si>
    <t>syay naa sabalay</t>
  </si>
  <si>
    <t>not qpplicable</t>
  </si>
  <si>
    <t>sya may naa sa balay</t>
  </si>
  <si>
    <t>siya may ga bantay sa bata</t>
  </si>
  <si>
    <t>mas maayo nang kami duha magsabot</t>
  </si>
  <si>
    <t>kung kinsay available</t>
  </si>
  <si>
    <t>sabot ra</t>
  </si>
  <si>
    <t>kung kinsa ray available</t>
  </si>
  <si>
    <t>akoy ga trabaho man</t>
  </si>
  <si>
    <t xml:space="preserve">akoy incharge </t>
  </si>
  <si>
    <t>akoy katigo</t>
  </si>
  <si>
    <t>akoy kaantigo</t>
  </si>
  <si>
    <t>ako may nag trabaho</t>
  </si>
  <si>
    <t>akoy nag uma</t>
  </si>
  <si>
    <t>akoy kahibaw</t>
  </si>
  <si>
    <t xml:space="preserve">ako trabaho </t>
  </si>
  <si>
    <t>akoy nag trabaho</t>
  </si>
  <si>
    <t>kay ako ga trabaho</t>
  </si>
  <si>
    <t>ako may sweto</t>
  </si>
  <si>
    <t>akoy may kahibaw ug nag trabaho</t>
  </si>
  <si>
    <t>akoy sweto</t>
  </si>
  <si>
    <t>akoy nag trabaho man</t>
  </si>
  <si>
    <t>akoy lang</t>
  </si>
  <si>
    <t>ako may mo attend</t>
  </si>
  <si>
    <t>busy naman siya sa balay ug sa bata</t>
  </si>
  <si>
    <t>kay akoy mo attend</t>
  </si>
  <si>
    <t>im the one who holds the budget</t>
  </si>
  <si>
    <t>ako ray makaadtog syudad</t>
  </si>
  <si>
    <t>magsabotay rami daan</t>
  </si>
  <si>
    <t>kay naa man siya sa balay</t>
  </si>
  <si>
    <t>para way basulay</t>
  </si>
  <si>
    <t>para fair ug walay basulay</t>
  </si>
  <si>
    <t>sabotan para walay reklamo</t>
  </si>
  <si>
    <t>para walay basulay</t>
  </si>
  <si>
    <t>para fair ug tabangay lang</t>
  </si>
  <si>
    <t>para way awah</t>
  </si>
  <si>
    <t>tabangay lang mi duha</t>
  </si>
  <si>
    <t>tabagay rami duha</t>
  </si>
  <si>
    <t>tabangay mi</t>
  </si>
  <si>
    <t>syay permi sa balay</t>
  </si>
  <si>
    <t>ako kay bug'at baya</t>
  </si>
  <si>
    <t>para di sya mabughat</t>
  </si>
  <si>
    <t>bug'at baya</t>
  </si>
  <si>
    <t>para walay reklamo</t>
  </si>
  <si>
    <t>para walay mahayay</t>
  </si>
  <si>
    <t>walay lain mugawas sa balay</t>
  </si>
  <si>
    <t>magsabotay ming duha</t>
  </si>
  <si>
    <t>ako man jud ni trabaho</t>
  </si>
  <si>
    <t>akoy nakahibaw asa ibaligya</t>
  </si>
  <si>
    <t>akoy sweto man</t>
  </si>
  <si>
    <t>akoy kamao</t>
  </si>
  <si>
    <t>ako may ga uma</t>
  </si>
  <si>
    <t>kung kinsay ganahan or available</t>
  </si>
  <si>
    <t>busy na siya sa balay ug mga bata</t>
  </si>
  <si>
    <t>akoy available</t>
  </si>
  <si>
    <t>because we're the ones who wear clothes</t>
  </si>
  <si>
    <t>because im quicker than my wife</t>
  </si>
  <si>
    <t>because we want to have appliances</t>
  </si>
  <si>
    <t>so we can pick a good quality of appliances</t>
  </si>
  <si>
    <t>to choose a beautiful furniture</t>
  </si>
  <si>
    <t>because we want to</t>
  </si>
  <si>
    <t>im the who knows</t>
  </si>
  <si>
    <t>because im the one who will pay the credit</t>
  </si>
  <si>
    <t>only women are allowed</t>
  </si>
  <si>
    <t>wala lang</t>
  </si>
  <si>
    <t>it's my wife's responsibility</t>
  </si>
  <si>
    <t>my wife does the cooking</t>
  </si>
  <si>
    <t>it's my wife's work</t>
  </si>
  <si>
    <t>para matarong ug hugas</t>
  </si>
  <si>
    <t>to make it clean well</t>
  </si>
  <si>
    <t>because I know the work</t>
  </si>
  <si>
    <t>bug-at nga tarbaho</t>
  </si>
  <si>
    <t>because my wife knows what we want</t>
  </si>
  <si>
    <t>because im the one who takes care of our animals</t>
  </si>
  <si>
    <t>because im the one who knows what is needed in farm</t>
  </si>
  <si>
    <t>because i know what to buy</t>
  </si>
  <si>
    <t>because I'm always in the farm</t>
  </si>
  <si>
    <t>because im an expert on trellising</t>
  </si>
  <si>
    <t>because im the one who knows to do it</t>
  </si>
  <si>
    <t>im good on it</t>
  </si>
  <si>
    <t>because im an expert on it</t>
  </si>
  <si>
    <t>anad nako sa pagbaligya</t>
  </si>
  <si>
    <t>to know our sales for the year</t>
  </si>
  <si>
    <t>to know our expenses on farming</t>
  </si>
  <si>
    <t>we will both manage the finances in farm</t>
  </si>
  <si>
    <t>but my wife does budgeting</t>
  </si>
  <si>
    <t>naay benefits</t>
  </si>
  <si>
    <t>i wanna learn from them</t>
  </si>
  <si>
    <t>im the one who does farming</t>
  </si>
  <si>
    <t>trabaho rako</t>
  </si>
  <si>
    <t>sya may muadtog syudad</t>
  </si>
  <si>
    <t>siya puy nakahibaw</t>
  </si>
  <si>
    <t>kay siya may sweto</t>
  </si>
  <si>
    <t>kay ganahan siya</t>
  </si>
  <si>
    <t>siya man puy naa sa balay</t>
  </si>
  <si>
    <t>kay ganahan man siya</t>
  </si>
  <si>
    <t>sya may mupili</t>
  </si>
  <si>
    <t>mag sabotay mi</t>
  </si>
  <si>
    <t>mag sabot mi</t>
  </si>
  <si>
    <t>dili pede ug siya ra usa</t>
  </si>
  <si>
    <t>kinahanglan man ako perma</t>
  </si>
  <si>
    <t>mag agad rako</t>
  </si>
  <si>
    <t>monokay ra ko kung unsa iya gusto</t>
  </si>
  <si>
    <t>syay kahibaw</t>
  </si>
  <si>
    <t>tianabangay rami</t>
  </si>
  <si>
    <t>mag sabot sabot</t>
  </si>
  <si>
    <t>kay bug'at naman</t>
  </si>
  <si>
    <t>silay kahibaw kung unsay wala</t>
  </si>
  <si>
    <t>bug at man</t>
  </si>
  <si>
    <t>tabangay rami</t>
  </si>
  <si>
    <t>sabotan ra</t>
  </si>
  <si>
    <t>kung kinsa lang ang makalugar</t>
  </si>
  <si>
    <t>kung unsay iya gusto</t>
  </si>
  <si>
    <t>ako man ang ga trabaho</t>
  </si>
  <si>
    <t>siyay nakahibaw sa kuwang</t>
  </si>
  <si>
    <t>siya may sweto</t>
  </si>
  <si>
    <t>makalimot naman ko</t>
  </si>
  <si>
    <t>busy nman ko</t>
  </si>
  <si>
    <t>makalimot nako</t>
  </si>
  <si>
    <t>single household person</t>
  </si>
  <si>
    <t>ako man jud basta trabahuon sa balay</t>
  </si>
  <si>
    <t>akoy kahibaw basta ing ana</t>
  </si>
  <si>
    <t>tinabangay kay para raman pud sa amo anak</t>
  </si>
  <si>
    <t>kung kinsa ray free namo</t>
  </si>
  <si>
    <t>busy man pud siya sa uma</t>
  </si>
  <si>
    <t>akoy mo trabaho</t>
  </si>
  <si>
    <t>ako mana trabahuon</t>
  </si>
  <si>
    <t>tinabangay lang gud</t>
  </si>
  <si>
    <t>sabotan namo unsya angay itanom</t>
  </si>
  <si>
    <t>sabotan unsay kinahanglan</t>
  </si>
  <si>
    <t>kami duha kahibaw</t>
  </si>
  <si>
    <t>kami duha ga trabaho</t>
  </si>
  <si>
    <t>kami man ang ga uma</t>
  </si>
  <si>
    <t>amo trabaho man</t>
  </si>
  <si>
    <t>kami ga uma</t>
  </si>
  <si>
    <t>kami sweto</t>
  </si>
  <si>
    <t>kami kaantigo</t>
  </si>
  <si>
    <t>siya na kay bug at ang tanke</t>
  </si>
  <si>
    <t>kami man duha kahibaw</t>
  </si>
  <si>
    <t>bug-at naman na</t>
  </si>
  <si>
    <t>kmai duha kahibaw</t>
  </si>
  <si>
    <t>basta naay medisina siya na lang jud na</t>
  </si>
  <si>
    <t>kami duha sweto</t>
  </si>
  <si>
    <t>kami duha ang kahibaw</t>
  </si>
  <si>
    <t>kami duha kaantigo</t>
  </si>
  <si>
    <t>akoy kasaligan</t>
  </si>
  <si>
    <t>kami man ang kahibaw</t>
  </si>
  <si>
    <t>akoy naggunit sa amo budget</t>
  </si>
  <si>
    <t>kung kinsay available lang</t>
  </si>
  <si>
    <t>Akung kinsay ganahan lang</t>
  </si>
  <si>
    <t>sabotan lang</t>
  </si>
  <si>
    <t>kung unsay gusto ug makauyon</t>
  </si>
  <si>
    <t>siyay tigluto man</t>
  </si>
  <si>
    <t>akoy mamili unsay klase na sinina</t>
  </si>
  <si>
    <t>magsabot rami</t>
  </si>
  <si>
    <t>way mahayay</t>
  </si>
  <si>
    <t>siya may ganahan ug utang</t>
  </si>
  <si>
    <t>siya ra may ganahan</t>
  </si>
  <si>
    <t>mag sabot rami</t>
  </si>
  <si>
    <t>para dili magmahay</t>
  </si>
  <si>
    <t>busy nako sa uma</t>
  </si>
  <si>
    <t>sya ra gihapon kay naa sa balay</t>
  </si>
  <si>
    <t>siya may ga budget</t>
  </si>
  <si>
    <t>siyay nag gunit sa budget man</t>
  </si>
  <si>
    <t>ganahan ko</t>
  </si>
  <si>
    <t>sya naa sa balay</t>
  </si>
  <si>
    <t>magsabot mi</t>
  </si>
  <si>
    <t>akoy nakahibaw unsay kailangan</t>
  </si>
  <si>
    <t>ako naman na trabaho</t>
  </si>
  <si>
    <t>akoy kahibaw man</t>
  </si>
  <si>
    <t>ako man ga trabaho</t>
  </si>
  <si>
    <t>mag sabot sabot nami ana asa angay ibaligya</t>
  </si>
  <si>
    <t>siya naa kay kapuyan namn ko</t>
  </si>
  <si>
    <t>diko ganahan</t>
  </si>
  <si>
    <t>iya na na trabaho</t>
  </si>
  <si>
    <t>tabangay ming duha</t>
  </si>
  <si>
    <t>mag sabot sabot mi</t>
  </si>
  <si>
    <t>sabot sabot lang</t>
  </si>
  <si>
    <t>kung kinsay ganahan namo</t>
  </si>
  <si>
    <t>sabot lang gihapon</t>
  </si>
  <si>
    <t>kung kinsa ray ganahan gud</t>
  </si>
  <si>
    <t>sabotan na namong duha</t>
  </si>
  <si>
    <t>bernabe aguinaldo sr</t>
  </si>
  <si>
    <t>sabot sabotan lang</t>
  </si>
  <si>
    <t>puli puli lang</t>
  </si>
  <si>
    <t>sabotan kay manghatag raman pud amo mga anak ug sinina</t>
  </si>
  <si>
    <t>akoy hilig man</t>
  </si>
  <si>
    <t>lahi lahi mig loan</t>
  </si>
  <si>
    <t>kami duha sabotan</t>
  </si>
  <si>
    <t>kami para walay lalis</t>
  </si>
  <si>
    <t>sa ganahan lang gud</t>
  </si>
  <si>
    <t>sabotay ra</t>
  </si>
  <si>
    <t>tinabangay kay kami nlang duha</t>
  </si>
  <si>
    <t>not applicanble</t>
  </si>
  <si>
    <t>not applivable</t>
  </si>
  <si>
    <t>kami duha ang mag sabotay</t>
  </si>
  <si>
    <t>busy sya sa balay</t>
  </si>
  <si>
    <t>ako ray naa sa uma</t>
  </si>
  <si>
    <t>naa ra sya balay</t>
  </si>
  <si>
    <t>sabotan kung kinsa namo ibaligya</t>
  </si>
  <si>
    <t>kay kami duha sweto man</t>
  </si>
  <si>
    <t>kami kahibaw man</t>
  </si>
  <si>
    <t>kami duha para way gubot</t>
  </si>
  <si>
    <t>ako ra may mo attend</t>
  </si>
  <si>
    <t>dili man siya</t>
  </si>
  <si>
    <t>estrella badel</t>
  </si>
  <si>
    <t>amo sabutan para way away</t>
  </si>
  <si>
    <t>amo sabutan kinsa ang motrabaho</t>
  </si>
  <si>
    <t>naa may schedule nga mo trabaho</t>
  </si>
  <si>
    <t>kay amo sabutan kinsa ang molihok</t>
  </si>
  <si>
    <t>amo sabutan kinsa ang molihok</t>
  </si>
  <si>
    <t>amo sabotan kinsa ang mo trabaho</t>
  </si>
  <si>
    <t>amo sabotan kinsa ang motrabaho</t>
  </si>
  <si>
    <t>kay puro man laki ang ako anak ug bug-at nga trabaho</t>
  </si>
  <si>
    <t>kay kung kinsa ang makalugar</t>
  </si>
  <si>
    <t>kay magbanos banos man me ug bantay</t>
  </si>
  <si>
    <t>kay naa may tagsa tagsa ganahan nga kan on</t>
  </si>
  <si>
    <t>kay ganahan man ko mo luto</t>
  </si>
  <si>
    <t>kung kinsay masuguan</t>
  </si>
  <si>
    <t>kung kinsa ang libre</t>
  </si>
  <si>
    <t>kinsay libre</t>
  </si>
  <si>
    <t>amo sabotan para way lalis</t>
  </si>
  <si>
    <t>amo man sabutan</t>
  </si>
  <si>
    <t>amo sabutan</t>
  </si>
  <si>
    <t>puro man laki akoa anak</t>
  </si>
  <si>
    <t>kay kami man tanan mo trabaho</t>
  </si>
  <si>
    <t>sabotan kinsa ang motrabaho</t>
  </si>
  <si>
    <t>kay naa may babae ug lalaki nga mo trabaho</t>
  </si>
  <si>
    <t>kay puro laki akoa anak</t>
  </si>
  <si>
    <t>kay makahilo</t>
  </si>
  <si>
    <t xml:space="preserve">sabotan namo </t>
  </si>
  <si>
    <t>kay manguha man me ug laki ug bae</t>
  </si>
  <si>
    <t>kay manguha man me ug laki ug bae sa pagharvest</t>
  </si>
  <si>
    <t>amo sabotan para way basulay</t>
  </si>
  <si>
    <t>sabotan para way lalis</t>
  </si>
  <si>
    <t>sabotan para parehas me asa pangitaon</t>
  </si>
  <si>
    <t>para makit-an namo asa pangitaon</t>
  </si>
  <si>
    <t>para dali ra pangitaon</t>
  </si>
  <si>
    <t>parehas man me mag-uma</t>
  </si>
  <si>
    <t>kung kinsa ganahan sa mga anak mag uma</t>
  </si>
  <si>
    <t>kung ganahan ba nga moapil</t>
  </si>
  <si>
    <t>para makakat-on ug bag-o nga pamaagi sa pag uma</t>
  </si>
  <si>
    <t>sabotan namo para way lalis</t>
  </si>
  <si>
    <t>kung kinsa naay lugar</t>
  </si>
  <si>
    <t>sabotan namo kung angayan ba</t>
  </si>
  <si>
    <t>kay naa man ako kaipon perme sa balay</t>
  </si>
  <si>
    <t>kay ako man ang nagtrabaho sa uma</t>
  </si>
  <si>
    <t>naa man sa uma ang hayop</t>
  </si>
  <si>
    <t>kay ako man ang nakabalo sa uma</t>
  </si>
  <si>
    <t>kay ako man ang nakabalo pila ako kuhaon</t>
  </si>
  <si>
    <t>kay ako man ang magpatrabaho pila akoa kuhaon</t>
  </si>
  <si>
    <t>kay ako man ang nakabalo kinsay baligyaan</t>
  </si>
  <si>
    <t>kay ako man ang nakabalo kinsa ang baligyaan</t>
  </si>
  <si>
    <t>kay ako man ang nakabalo pila ang nabaligya gikan sa uma</t>
  </si>
  <si>
    <t>kay ako ra man ang mo attend</t>
  </si>
  <si>
    <t>kay ako man ang nakabalo sa pag uma</t>
  </si>
  <si>
    <t>kay ako ra man ang nakabalo sa pag uma</t>
  </si>
  <si>
    <t>kay ako ra man ang perme mo attend kung naay meeting</t>
  </si>
  <si>
    <t>kay ako raman ang mo attend kung naay meeting</t>
  </si>
  <si>
    <t>magbanos-banos kinsa makapabor</t>
  </si>
  <si>
    <t>kay sila man ganahan</t>
  </si>
  <si>
    <t>kay kasabot man ako asawa unsay ganahan namo</t>
  </si>
  <si>
    <t>kay daghan man ako asawa ug kaila</t>
  </si>
  <si>
    <t>kay daghan man ako asawa kaila</t>
  </si>
  <si>
    <t>kay planohon namo</t>
  </si>
  <si>
    <t>planohon namo</t>
  </si>
  <si>
    <t>kay busy man ko kanunay</t>
  </si>
  <si>
    <t>kay ako asawa man ang naggunit sa kwarta</t>
  </si>
  <si>
    <t>kay dili man ko ganahan</t>
  </si>
  <si>
    <t>magpuli puli man</t>
  </si>
  <si>
    <t>kay ganahan man ko magluto</t>
  </si>
  <si>
    <t>kay malangan ko sa uma</t>
  </si>
  <si>
    <t>trabaho sa akoa asawa</t>
  </si>
  <si>
    <t>kay dili pwede mo alsa ug bug-at ako asawa</t>
  </si>
  <si>
    <t>kay siya man ang babae</t>
  </si>
  <si>
    <t>parehas man me mo bantay sa bata</t>
  </si>
  <si>
    <t>kay lisod magpataka ug gasto</t>
  </si>
  <si>
    <t>kay daghan man ug bawal</t>
  </si>
  <si>
    <t>magpuli-puli me</t>
  </si>
  <si>
    <t>magpuli puli me kinsay dili busy</t>
  </si>
  <si>
    <t>kay naa man ko sa uma</t>
  </si>
  <si>
    <t>kay viajedor man ko</t>
  </si>
  <si>
    <t>kay ako man asawa ang tagahipos</t>
  </si>
  <si>
    <t>ako man asawa ang tagahipos</t>
  </si>
  <si>
    <t>kay ako man ang mag uma</t>
  </si>
  <si>
    <t>ako man asawa naggunit sa kwarta</t>
  </si>
  <si>
    <t>kay ako man ang moattend ug meeting labina pang uma</t>
  </si>
  <si>
    <t>kay ako man ang mo attend labi na ug pang uma</t>
  </si>
  <si>
    <t>ako man ang mo attend</t>
  </si>
  <si>
    <t>kung kinsa ang naay lugar</t>
  </si>
  <si>
    <t>Others</t>
  </si>
  <si>
    <t>because i am always in the field</t>
  </si>
  <si>
    <t>kay kung unsay ganahan</t>
  </si>
  <si>
    <t>kay para masigo sa usag usa</t>
  </si>
  <si>
    <t>sabotan namo unsay maayo</t>
  </si>
  <si>
    <t>sabotan namo ug planohon</t>
  </si>
  <si>
    <t>saboton namo ug planohon</t>
  </si>
  <si>
    <t>sabotan namo para mabudget</t>
  </si>
  <si>
    <t>sabotan namo para maplano</t>
  </si>
  <si>
    <t>kay naa man ang ako asawa perme sa balay</t>
  </si>
  <si>
    <t>kay bug-at man nga trabaho</t>
  </si>
  <si>
    <t>kinsay naay lugar</t>
  </si>
  <si>
    <t>kay naa ra man ako asawa perme sa balay</t>
  </si>
  <si>
    <t>sabotan namo para ma budget</t>
  </si>
  <si>
    <t>kay naa man ako asawa perme sa balay</t>
  </si>
  <si>
    <t>kay naa man perme sa balay akoa asawa</t>
  </si>
  <si>
    <t>magpuli puli me</t>
  </si>
  <si>
    <t>kay ako may nakasabot sa pag uma</t>
  </si>
  <si>
    <t>sabotan kinsay baligyaan</t>
  </si>
  <si>
    <t xml:space="preserve">sabotan kinsay baligyaan </t>
  </si>
  <si>
    <t>sabotan kung mahal ba ang palit</t>
  </si>
  <si>
    <t>kay ako man asawa ang magmanage sa mga record</t>
  </si>
  <si>
    <t>kay ako man asawa ang taga manage</t>
  </si>
  <si>
    <t>kay kung kinsay libre namo duha</t>
  </si>
  <si>
    <t>kay kung kinsa ang libre namo duha</t>
  </si>
  <si>
    <t>kay ako man ang makadali dali ug lihok</t>
  </si>
  <si>
    <t>kay ako ma  ang maka dalidali ug lihok</t>
  </si>
  <si>
    <t>kay busy man ko</t>
  </si>
  <si>
    <t>kay akk man ang makadali dali ug lihok</t>
  </si>
  <si>
    <t>kay kami man ang ginikanan ug para walay gubot</t>
  </si>
  <si>
    <t xml:space="preserve">kay busy man ko </t>
  </si>
  <si>
    <t>kay naa ra man ako asawa sa balay</t>
  </si>
  <si>
    <t>kay ako man makadali dali ug lakaw</t>
  </si>
  <si>
    <t>kay ako man ang makadali dali ug lakaw</t>
  </si>
  <si>
    <t xml:space="preserve">kay mosugo ra mi sa amoa mga anak </t>
  </si>
  <si>
    <t>kay mosugo ra mi sa amoa mga anak</t>
  </si>
  <si>
    <t>kay naa ra man ako asawa permi sa balay</t>
  </si>
  <si>
    <t>kay naa raman permi ako asawa sa balay</t>
  </si>
  <si>
    <t>sally parami_p6</t>
  </si>
  <si>
    <t>taod taod na nga wala ka attend ug seminar</t>
  </si>
  <si>
    <t>bio organic</t>
  </si>
  <si>
    <t>kay mas maayo nga sabutan para okay ug mabuhat gyud nga maayo ang resulta ug nindot ang buot</t>
  </si>
  <si>
    <t>kay ako man asawa ang magluto</t>
  </si>
  <si>
    <t>kay ako asawa man ang magluto</t>
  </si>
  <si>
    <t>magsabot para dili maglalis</t>
  </si>
  <si>
    <t>kay naa man ko kasagaran sa balay</t>
  </si>
  <si>
    <t>kay ako man ang naa perme sa balay</t>
  </si>
  <si>
    <t>kay ako n ang magbudget ug nahibalo unsay adlaw adlaw nga gamit</t>
  </si>
  <si>
    <t>kay tua man sa uma ang mga hayop</t>
  </si>
  <si>
    <t>kay busy sa uma ang akoa bana</t>
  </si>
  <si>
    <t>kay busy sa uma ang akong bana</t>
  </si>
  <si>
    <t>kay ako bana man ang mo trabaho ug unsay dapat buhaton sa uma</t>
  </si>
  <si>
    <t>magsabot me para way lalis</t>
  </si>
  <si>
    <t>kay ako man ang naa sa balay ug magmanage</t>
  </si>
  <si>
    <t>kay para way lalis ug patas</t>
  </si>
  <si>
    <t>para way lalis ug patas</t>
  </si>
  <si>
    <t>busy man sa uma ako bana</t>
  </si>
  <si>
    <t>busy man ako bana sa uma</t>
  </si>
  <si>
    <t>kay busy man ako bana sa uma</t>
  </si>
  <si>
    <t>kay ako bana may nakasabot ug ayo sa uma</t>
  </si>
  <si>
    <t>kay ako bana ma  ang nakabalo ug ayo sa uma</t>
  </si>
  <si>
    <t>ronie rojo_p3</t>
  </si>
  <si>
    <t>kay walay seminar nga miabot</t>
  </si>
  <si>
    <t>sabotan kay para walay away</t>
  </si>
  <si>
    <t>kay ako may nakabalo</t>
  </si>
  <si>
    <t>puli puli sa makalugar namo</t>
  </si>
  <si>
    <t>kay ako ang nakabalo sa uma</t>
  </si>
  <si>
    <t>kay ako ang nakabalo kinsay baligyaan</t>
  </si>
  <si>
    <t>kay ako nakabalo kinsay baligyaan</t>
  </si>
  <si>
    <t>kay busy man ako asawa sa pagbantay sa kambal</t>
  </si>
  <si>
    <t>josephine metran_p2</t>
  </si>
  <si>
    <t>only household person and my husband was in manila for several years</t>
  </si>
  <si>
    <t>gelyn gervacio_p7</t>
  </si>
  <si>
    <t>tungod kay wala koy nabaloan nga naay training or seminar</t>
  </si>
  <si>
    <t>only household person</t>
  </si>
  <si>
    <t>kami may available</t>
  </si>
  <si>
    <t>sabotan para sa kaayuhan</t>
  </si>
  <si>
    <t>kami na duha para hapsay</t>
  </si>
  <si>
    <t>sabotan para sa anak</t>
  </si>
  <si>
    <t>kami man ginikanan</t>
  </si>
  <si>
    <t>kami duha mamalit para makapili</t>
  </si>
  <si>
    <t>siya nakahibaw sa balay</t>
  </si>
  <si>
    <t>siya nalang mamalit</t>
  </si>
  <si>
    <t>saboton para way away</t>
  </si>
  <si>
    <t>uban nami duha para way away</t>
  </si>
  <si>
    <t>saboton para madayun</t>
  </si>
  <si>
    <t>uban na tanan ug ma sabot na</t>
  </si>
  <si>
    <t>sila may babae</t>
  </si>
  <si>
    <t>silay naa sa balay</t>
  </si>
  <si>
    <t>tabangay lang me</t>
  </si>
  <si>
    <t>uban na para way away</t>
  </si>
  <si>
    <t>kami duha nag uma</t>
  </si>
  <si>
    <t>saboton para ma budget</t>
  </si>
  <si>
    <t>mamalit para ma budget</t>
  </si>
  <si>
    <t>kami man duha naa sa uma</t>
  </si>
  <si>
    <t>kami khibaw</t>
  </si>
  <si>
    <t>kami man duha available</t>
  </si>
  <si>
    <t>kinsay available, naa contact</t>
  </si>
  <si>
    <t>siya may naka assign</t>
  </si>
  <si>
    <t>siya may naka assign sa budget</t>
  </si>
  <si>
    <t>ug maayo lang</t>
  </si>
  <si>
    <t>siya may ganahan mo apil</t>
  </si>
  <si>
    <t>para naa koy mahibaw.an</t>
  </si>
  <si>
    <t>kinsay available para makahibaw sad me duha</t>
  </si>
  <si>
    <t>siya may nakahibaaw</t>
  </si>
  <si>
    <t>sabot me unsay plano</t>
  </si>
  <si>
    <t>siya man available</t>
  </si>
  <si>
    <t>siya nalang mag budget</t>
  </si>
  <si>
    <t>para ma budget niya</t>
  </si>
  <si>
    <t>siya nalang mamalit sa akong kinahanglan</t>
  </si>
  <si>
    <t>uban nami tana pamilya</t>
  </si>
  <si>
    <t>kami na duha para ma budget</t>
  </si>
  <si>
    <t>ako may assign ana</t>
  </si>
  <si>
    <t>ako man nakahibaw</t>
  </si>
  <si>
    <t>ako may availabale</t>
  </si>
  <si>
    <t>ako may naa kaila</t>
  </si>
  <si>
    <t>saboton unsay maayo</t>
  </si>
  <si>
    <t>aron makasabot sad ko</t>
  </si>
  <si>
    <t>ako mag nag uma</t>
  </si>
  <si>
    <t>ako may khibaw mo luto</t>
  </si>
  <si>
    <t>ako may mo luto</t>
  </si>
  <si>
    <t>ako may khibaw sa eyang gusto</t>
  </si>
  <si>
    <t>ako lang mamalit</t>
  </si>
  <si>
    <t>uban nami duha mamalit</t>
  </si>
  <si>
    <t>amo man anak</t>
  </si>
  <si>
    <t>kami duha mamalit</t>
  </si>
  <si>
    <t>khibaw man me unsay paliton</t>
  </si>
  <si>
    <t>tabangay man</t>
  </si>
  <si>
    <t>saboton para mabudget</t>
  </si>
  <si>
    <t>siya kay assign man sa ana</t>
  </si>
  <si>
    <t>kami duha mag uma</t>
  </si>
  <si>
    <t>kahibaw man me duha</t>
  </si>
  <si>
    <t>kami man naa sa uma</t>
  </si>
  <si>
    <t>siya man khibaw</t>
  </si>
  <si>
    <t>tabangan namo duha</t>
  </si>
  <si>
    <t>khibaw man me ug harveson na</t>
  </si>
  <si>
    <t>kami duha naay contact sa mo kompra</t>
  </si>
  <si>
    <t>kami may khibaw</t>
  </si>
  <si>
    <t>tabangay na</t>
  </si>
  <si>
    <t>para naa me lista</t>
  </si>
  <si>
    <t>kami may nag uma</t>
  </si>
  <si>
    <t>khibaw man sa panguma/ kami man ginikanan nga mo tudlo sa anak</t>
  </si>
  <si>
    <t>ako may ganahan mo apil</t>
  </si>
  <si>
    <t>para naa me mahibaloan</t>
  </si>
  <si>
    <t>para makahibaw me sa panguma</t>
  </si>
  <si>
    <t>para makahibaw me</t>
  </si>
  <si>
    <t>para naa mahibaloan</t>
  </si>
  <si>
    <t>para naa me kahibaloan sa bag.ong gamit panguma</t>
  </si>
  <si>
    <t>para ma practice ming duha</t>
  </si>
  <si>
    <t>ako may mag budget</t>
  </si>
  <si>
    <t>para ma budget</t>
  </si>
  <si>
    <t>para masabotan unsay plano</t>
  </si>
  <si>
    <t>kami may ginikanan</t>
  </si>
  <si>
    <t>saboton para sakto ba sa budget</t>
  </si>
  <si>
    <t>uban nami mamalit para mabudget</t>
  </si>
  <si>
    <t>ako may khibaw unsa angay sa panguma</t>
  </si>
  <si>
    <t>kami duha uban mamalit</t>
  </si>
  <si>
    <t>kami duha para mabudget jud</t>
  </si>
  <si>
    <t>uban me duha magpalit</t>
  </si>
  <si>
    <t>ako may khibaw unsa paliton sa gamit sa panguma</t>
  </si>
  <si>
    <t>ako sad mag budget</t>
  </si>
  <si>
    <t>ako may lalaki o</t>
  </si>
  <si>
    <t>trabaho man nako</t>
  </si>
  <si>
    <t>ako may naa kaila sa mo kompra</t>
  </si>
  <si>
    <t>ako may naay kaila</t>
  </si>
  <si>
    <t>ako kahibaw</t>
  </si>
  <si>
    <t>ako may ganahn mo apil</t>
  </si>
  <si>
    <t>ako may nag uma para nakoy mahibaloan</t>
  </si>
  <si>
    <t>ako kay ako may available</t>
  </si>
  <si>
    <t>para naay mahibaloan</t>
  </si>
  <si>
    <t>para naakoy mahibaloan sa panguma</t>
  </si>
  <si>
    <t xml:space="preserve">para way away </t>
  </si>
  <si>
    <t xml:space="preserve">para ma budget/ lahi lahi me gusto </t>
  </si>
  <si>
    <t>kay para maka pili me sa among gusto</t>
  </si>
  <si>
    <t xml:space="preserve">para sabaton unsya plano </t>
  </si>
  <si>
    <t xml:space="preserve">uban nami duha para sa kaayuhan </t>
  </si>
  <si>
    <t>saboton para sa among anak</t>
  </si>
  <si>
    <t>para ma budget namo</t>
  </si>
  <si>
    <t>saboton para naay budget</t>
  </si>
  <si>
    <t>uban nami mamalit para naay budget</t>
  </si>
  <si>
    <t>ako may nakahibaw sa panguma</t>
  </si>
  <si>
    <t>ako may nakahibaw unsay angay sa uma namo</t>
  </si>
  <si>
    <t>saboton para ma budget namo</t>
  </si>
  <si>
    <t>para way away para sad ma budget</t>
  </si>
  <si>
    <t xml:space="preserve">saboton unsay plano </t>
  </si>
  <si>
    <t xml:space="preserve">para happy happy me </t>
  </si>
  <si>
    <t>saboton kinsay available</t>
  </si>
  <si>
    <t>para tabangay na kinsay available</t>
  </si>
  <si>
    <t xml:space="preserve">saboton kinsay available </t>
  </si>
  <si>
    <t xml:space="preserve">ako may lalaki </t>
  </si>
  <si>
    <t xml:space="preserve">tabangay me </t>
  </si>
  <si>
    <t>para di mag away</t>
  </si>
  <si>
    <t xml:space="preserve">para ma budget namo </t>
  </si>
  <si>
    <t>para patas</t>
  </si>
  <si>
    <t>tabangay/ kinsay available</t>
  </si>
  <si>
    <t xml:space="preserve">kinsay available namong duha </t>
  </si>
  <si>
    <t xml:space="preserve">ako may khibaw </t>
  </si>
  <si>
    <t xml:space="preserve">ako kay amo may nakahibaw gamit sa panguma </t>
  </si>
  <si>
    <t xml:space="preserve">ako kay ako may khibaw unsa angay paliton </t>
  </si>
  <si>
    <t>kay ako may naa sa uma</t>
  </si>
  <si>
    <t xml:space="preserve">ako may khibaw mo daro </t>
  </si>
  <si>
    <t xml:space="preserve">ako may naa sa uma </t>
  </si>
  <si>
    <t xml:space="preserve">ako may nakahibaw sa timpla taga tanki </t>
  </si>
  <si>
    <t xml:space="preserve">ako may nakahibalo ug harveso na </t>
  </si>
  <si>
    <t xml:space="preserve">ako may naa kaila nga mo kompra </t>
  </si>
  <si>
    <t>ako may naa contact sa byahidor</t>
  </si>
  <si>
    <t>ako mag mag uma</t>
  </si>
  <si>
    <t>kay amo may nakahibaw unsaon pag panguma</t>
  </si>
  <si>
    <t>ako may naa sa uma/ para naakoy mahibaloan sa panguma</t>
  </si>
  <si>
    <t>ako may lalaki, ako may nag uma</t>
  </si>
  <si>
    <t xml:space="preserve">ako may kasagaran mo attend </t>
  </si>
  <si>
    <t xml:space="preserve">ako may nag uma </t>
  </si>
  <si>
    <t xml:space="preserve">naa koy mahibaloan bagong panguma </t>
  </si>
  <si>
    <t>sabot para magkasinabot</t>
  </si>
  <si>
    <t>siya may nakahibaw mo luto</t>
  </si>
  <si>
    <t>siya may nakahibaw sa among gusto</t>
  </si>
  <si>
    <t>saboton kay kami may ginikanan</t>
  </si>
  <si>
    <t>ako may ganahan mo palit</t>
  </si>
  <si>
    <t>uban nami mamalit ug magpili</t>
  </si>
  <si>
    <t>siya may nakahibaw niya mag budget</t>
  </si>
  <si>
    <t>uban nami mamalit para ma budget</t>
  </si>
  <si>
    <t>ako may nakahibaw sa gamiton sa uma</t>
  </si>
  <si>
    <t>uban mami mamalit para ma budget namo</t>
  </si>
  <si>
    <t>sabot kinsay available</t>
  </si>
  <si>
    <t>sabot ug unsay plano/ para ma budget sad namo</t>
  </si>
  <si>
    <t>para ma budget sad namong among gasto</t>
  </si>
  <si>
    <t>siya may naa pirme sa balay</t>
  </si>
  <si>
    <t>qko may available</t>
  </si>
  <si>
    <t>saboton kay para ma budget namo</t>
  </si>
  <si>
    <t>kami ma duha mag budget unsay mag paliton para sa balay</t>
  </si>
  <si>
    <t>uban nako siya mamalit</t>
  </si>
  <si>
    <t>ako may assign magpa kaon</t>
  </si>
  <si>
    <t>ug kinsay available namo ng duha</t>
  </si>
  <si>
    <t>Mao may kabalo</t>
  </si>
  <si>
    <t>Mao may nay idea</t>
  </si>
  <si>
    <t>Mao man kamao</t>
  </si>
  <si>
    <t>Kay mao naman trabaho</t>
  </si>
  <si>
    <t>Kay kabalo man</t>
  </si>
  <si>
    <t>Kay mao may kamao</t>
  </si>
  <si>
    <t>Kay bugat man nga trabaho</t>
  </si>
  <si>
    <t>Mao may naay idea</t>
  </si>
  <si>
    <t>Kay kamao man</t>
  </si>
  <si>
    <t>Kay mao may nakabalo</t>
  </si>
  <si>
    <t>Kay anad naman</t>
  </si>
  <si>
    <t>Mao may trabaho</t>
  </si>
  <si>
    <t>Mao na man ang trabaho</t>
  </si>
  <si>
    <t>Mao naman ang trabaho</t>
  </si>
  <si>
    <t>Mao may laki</t>
  </si>
  <si>
    <t>Iya naman trabaho</t>
  </si>
  <si>
    <t>Kabalo man</t>
  </si>
  <si>
    <t>Kamao naman mugamit</t>
  </si>
  <si>
    <t>Mao may kabaloan</t>
  </si>
  <si>
    <t>Mao namay trabaho</t>
  </si>
  <si>
    <t>Mao may nakahibaw</t>
  </si>
  <si>
    <t>Ug mao ra available</t>
  </si>
  <si>
    <t>Ug kinsay available</t>
  </si>
  <si>
    <t>Mao ra ang naa</t>
  </si>
  <si>
    <t>Kahibaw naman</t>
  </si>
  <si>
    <t>Naa naman experience</t>
  </si>
  <si>
    <t>Kabalo naman paagi</t>
  </si>
  <si>
    <t>Kasabot nagbuhaton</t>
  </si>
  <si>
    <t>Kung kinsay naa</t>
  </si>
  <si>
    <t>Naa naman idea</t>
  </si>
  <si>
    <t>Mao may naa permi</t>
  </si>
  <si>
    <t>Para makabalo pa</t>
  </si>
  <si>
    <t>Mao raman ang naa</t>
  </si>
  <si>
    <t>Mao may nakahibalo</t>
  </si>
  <si>
    <t>Mao may permi available</t>
  </si>
  <si>
    <t>Mao man ang nakamao</t>
  </si>
  <si>
    <t>Mao may nahibawan</t>
  </si>
  <si>
    <t>Mao raman ang nakahibaw available</t>
  </si>
  <si>
    <t>para maka pili mi sa among gusto</t>
  </si>
  <si>
    <t>para sa kaayuhan sa among anak</t>
  </si>
  <si>
    <t>kami may gabay nila</t>
  </si>
  <si>
    <t>sabot para ma budget niya di mag away</t>
  </si>
  <si>
    <t>para maka pili me unsay maayo</t>
  </si>
  <si>
    <t>paraa budget namo among paliton</t>
  </si>
  <si>
    <t>kay para maka pili me ug sakto sa budget namo</t>
  </si>
  <si>
    <t>ako may nakahibaw unsay gamit sa uma</t>
  </si>
  <si>
    <t>uban me duha para tabangay me sa paliton</t>
  </si>
  <si>
    <t>sabot jud me kay para di me mag away</t>
  </si>
  <si>
    <t>para ma budgeg namo</t>
  </si>
  <si>
    <t>para ma budget ug insakto</t>
  </si>
  <si>
    <t>sabot ug unsa plano</t>
  </si>
  <si>
    <t>para sa happy family</t>
  </si>
  <si>
    <t>siya may naa gyud sa balay</t>
  </si>
  <si>
    <t>kay ako may lalaki niya bug.at mangabo</t>
  </si>
  <si>
    <t>ako may available tas ako na trabaho</t>
  </si>
  <si>
    <t>para ma budget gyud namo</t>
  </si>
  <si>
    <t>para mapalit jud namo ang naa sa budget</t>
  </si>
  <si>
    <t>kay para sabot ug unsay dapat paliton</t>
  </si>
  <si>
    <t>para tabangay me niya ma budget gyud namo</t>
  </si>
  <si>
    <t>para fair niya assign- assign me magpa kaon</t>
  </si>
  <si>
    <t>kinsay available mao mo pakaon</t>
  </si>
  <si>
    <t>para fair niya kinsa sad ang available</t>
  </si>
  <si>
    <t>para fair niya ug kinsay available namo mo attend</t>
  </si>
  <si>
    <t>kay ako may nakahibaw sa ting tanum na buwan</t>
  </si>
  <si>
    <t>kay ako may naa sa uma gyud</t>
  </si>
  <si>
    <t>kay ako may nakahibaw gamit sa akong uma</t>
  </si>
  <si>
    <t>ako kay ako may naa sa uma</t>
  </si>
  <si>
    <t>ako may naa jud sa uma</t>
  </si>
  <si>
    <t>ako may nakahibaw/ ako may naa sa uma</t>
  </si>
  <si>
    <t>ako may nakahibaw unsaon</t>
  </si>
  <si>
    <t>ako kay lalaki niya ako nakahibaw sa timpla</t>
  </si>
  <si>
    <t>kay ako may nakahibalo unsaon</t>
  </si>
  <si>
    <t>ako may nakahibalo sa pag harvest</t>
  </si>
  <si>
    <t>ako may naa gyud sa uma</t>
  </si>
  <si>
    <t>ako may available nga naa sa uma</t>
  </si>
  <si>
    <t>ako may naay kaila/ contact sa byahidor</t>
  </si>
  <si>
    <t>ako may mang contact sa byahidor</t>
  </si>
  <si>
    <t>ako may naa sa uma/ nakahibalo</t>
  </si>
  <si>
    <t>siya may available mo mo gunit sa among mga lista sa pananum</t>
  </si>
  <si>
    <t>siya gihapon kay siya may maghipos</t>
  </si>
  <si>
    <t>siya lang ako paguniton sa list sa among uma</t>
  </si>
  <si>
    <t>siya man gyud magdala or maghipos</t>
  </si>
  <si>
    <t>ako may nag uma jud</t>
  </si>
  <si>
    <t>ako may nakahibaw sa uma</t>
  </si>
  <si>
    <t>ako may mag budget sa among uma</t>
  </si>
  <si>
    <t>ako man jud budget sa among uma</t>
  </si>
  <si>
    <t>siya may ganahan mo attend or mo apil</t>
  </si>
  <si>
    <t>siya may ganahan ana mo apil</t>
  </si>
  <si>
    <t>kay ako may nag uma</t>
  </si>
  <si>
    <t>ako may pirme mo attend gyud para naa koy mahibaloan sa panguma</t>
  </si>
  <si>
    <t>siya may available pirme</t>
  </si>
  <si>
    <t>ako may ganahan mo apil about sa panguma</t>
  </si>
  <si>
    <t>lahi lahi meg gusto</t>
  </si>
  <si>
    <t>kami mamalit para way away</t>
  </si>
  <si>
    <t>ako nalang mamalit</t>
  </si>
  <si>
    <t>saboton para ma dayun</t>
  </si>
  <si>
    <t>kami na tanan</t>
  </si>
  <si>
    <t>saboton para di mag away</t>
  </si>
  <si>
    <t>uban ug palit/ mamalit</t>
  </si>
  <si>
    <t>ako may nakahbaw</t>
  </si>
  <si>
    <t>ako may naay contact sa byahidor</t>
  </si>
  <si>
    <t>ako may nakahibaw gamit sa panguma</t>
  </si>
  <si>
    <t>ako maoy mo apil</t>
  </si>
  <si>
    <t>cross sloping</t>
  </si>
  <si>
    <t>para way magmahay or walay gubot</t>
  </si>
  <si>
    <t>kay ako man ang nakabalo sa pag-uma</t>
  </si>
  <si>
    <t>sabotan ug ayo</t>
  </si>
  <si>
    <t>sabotan ug ayo para way magmahay or walay gubot</t>
  </si>
  <si>
    <t>kay naa man ako asawa sa balay</t>
  </si>
  <si>
    <t>kay naa man ang ako asawa sa balay</t>
  </si>
  <si>
    <t>sabotan para walay mahay ug gubot</t>
  </si>
  <si>
    <t>kung kinsa ang makalugar</t>
  </si>
  <si>
    <t>kay mahadlok ako asawa sa kabaw</t>
  </si>
  <si>
    <t>kay ako man ang nakabalo sa kinsay baligyaan</t>
  </si>
  <si>
    <t>kay ako man ang nakabalo sa pagbaligya</t>
  </si>
  <si>
    <t>kay ako man ang nakabalo unsay kinahanglan sa uma</t>
  </si>
  <si>
    <t>kay ako man ang nahibalo unsay kinanglan sa pag-uma</t>
  </si>
  <si>
    <t>sabotan namo kung ganahan ba</t>
  </si>
  <si>
    <t>kay para madugangan ako knowledge sa pag-uma</t>
  </si>
  <si>
    <t>jaime madanglog_p5</t>
  </si>
  <si>
    <t>kay makalangay sa uma</t>
  </si>
  <si>
    <t>kay na stroke man ang akoa asawa</t>
  </si>
  <si>
    <t>kay na stroke man akoa asawa</t>
  </si>
  <si>
    <t>planohon namo ug angayan ba</t>
  </si>
  <si>
    <t>kay dili man makatrabaho akoa asawa kay na stroke man siya</t>
  </si>
  <si>
    <t>kay dili man makatrabaho akoa asawa kay na stroke man siya ug ako ang nag uma</t>
  </si>
  <si>
    <t>crivilyn nazario_p2</t>
  </si>
  <si>
    <t>kay planohon gyud unsay maayo ug para walay lalis</t>
  </si>
  <si>
    <t>divina zamora_p9</t>
  </si>
  <si>
    <t>kay wala nay nabaloan nga naay training</t>
  </si>
  <si>
    <t>kay ako ra ang nahibalo unsay maayo</t>
  </si>
  <si>
    <t>kay ako ang nanay ug kasagaran nga trabaho sa nanay</t>
  </si>
  <si>
    <t>kay bug-at nga trabaho</t>
  </si>
  <si>
    <t>sabotan namo unsay maayo ug napanahon ba</t>
  </si>
  <si>
    <t>kay hago kaayo nga trabaho</t>
  </si>
  <si>
    <t>kay ako man ang mabilin usahay balay</t>
  </si>
  <si>
    <t>kay sabotan namo ug angayan ba ug para way lalis</t>
  </si>
  <si>
    <t>kay ako man ang kasagaran mabilin sa balay</t>
  </si>
  <si>
    <t>magsabot kung unsa ra ang maabot</t>
  </si>
  <si>
    <t>kay mag-agad ra man nako ang ako asawa</t>
  </si>
  <si>
    <t>kay mag-agad ra nako ang ako asawa</t>
  </si>
  <si>
    <t>magsabot ug unsa ray maabot</t>
  </si>
  <si>
    <t>kay ako man ang nag uma</t>
  </si>
  <si>
    <t>kay ganahan man siya magloan</t>
  </si>
  <si>
    <t>dili ko ganahan nga magloan siya</t>
  </si>
  <si>
    <t>sabotan namo aron ma budget</t>
  </si>
  <si>
    <t>sabotan namo aron mabudget</t>
  </si>
  <si>
    <t>sabotan namo aron maplano ug ma budget</t>
  </si>
  <si>
    <t>sabotan namo aron maplano ug mabudget</t>
  </si>
  <si>
    <t>kay naa raman ako asawa sa balay</t>
  </si>
  <si>
    <t>ako man ang magpakaon sa mga hayop</t>
  </si>
  <si>
    <t>magpuli-puli me kinsay makalugar</t>
  </si>
  <si>
    <t>kay ako man ang nag-uma</t>
  </si>
  <si>
    <t>kay ako man amo ang magkumpra</t>
  </si>
  <si>
    <t>kay ako ra man ang tagahipos</t>
  </si>
  <si>
    <t>kay ako raman ang taga hipos</t>
  </si>
  <si>
    <t>kay ako raman ang tagahipos</t>
  </si>
  <si>
    <t>kay sabotan namo aron way lalis</t>
  </si>
  <si>
    <t>sabotan namo aron way lalis</t>
  </si>
  <si>
    <t>sabotan namo ug angayan ba</t>
  </si>
  <si>
    <t>sabotan namo kinsa ang makalugar</t>
  </si>
  <si>
    <t>sabotan namo kinsay makalugar</t>
  </si>
  <si>
    <t>kay ang ako man bana ang sweto kaayo sa uma</t>
  </si>
  <si>
    <t>kay ang ako bana ang sweto kaayo sa uma</t>
  </si>
  <si>
    <t>kay dili man trabaho sa bana ang naa sa panimalay</t>
  </si>
  <si>
    <t>sabotana para walay away ug mamanage ug tarong</t>
  </si>
  <si>
    <t>sabotan kay para way away ug mamanage ug tarong</t>
  </si>
  <si>
    <t>kung kinsa ang makalugar sa amoa</t>
  </si>
  <si>
    <t>kay naa man perme sa uma ako bana</t>
  </si>
  <si>
    <t>kay mas sweto man ang ako bana sa uma</t>
  </si>
  <si>
    <t>kay siya man  ang nakabalo kinsay iya baligyaan</t>
  </si>
  <si>
    <t>kay siya may nakabalo kinsay iya baligyaan</t>
  </si>
  <si>
    <t>kay ang ako bana man ang nakabalo sa panghitabo kaayo sa uma</t>
  </si>
  <si>
    <t>kay para masabotan ug angay ba mo apil</t>
  </si>
  <si>
    <t>kay para masabotan ug angay na moapil</t>
  </si>
  <si>
    <t>sabotan sa kung kinsa ang makalugar</t>
  </si>
  <si>
    <t>marcelo elorza</t>
  </si>
  <si>
    <t>kay wala ka apil</t>
  </si>
  <si>
    <t>kay ganahan man siya magpakasayod sa uban</t>
  </si>
  <si>
    <t>kay ganahan man  siya magpakasayod</t>
  </si>
  <si>
    <t>ako man ang mag uma</t>
  </si>
  <si>
    <t>kay tabangay sa pagtrabaho</t>
  </si>
  <si>
    <t>kay ako man ang lalaki</t>
  </si>
  <si>
    <t>kay siya man ang naa sa balay</t>
  </si>
  <si>
    <t>kay siya man naa sa balay</t>
  </si>
  <si>
    <t>kay tabangay man me sa pagtrabaho</t>
  </si>
  <si>
    <t>kay ako raman ang wala nay matrabaho gikan sa bukid</t>
  </si>
  <si>
    <t>magbanos banos kinsa ang libre</t>
  </si>
  <si>
    <t>kay ako man ang naa sa uma ug ang mga trabaho bahin sa uma akoy mobuhat</t>
  </si>
  <si>
    <t>kay ako may nag-uma</t>
  </si>
  <si>
    <t>kay ako man ang naa sa uma ug ang mga trabaho bahin sa uma akoy nakabalo</t>
  </si>
  <si>
    <t>kay ako raman pud ang mo attend</t>
  </si>
  <si>
    <t>bernie zamora</t>
  </si>
  <si>
    <t>kay para way lalis ug gubot</t>
  </si>
  <si>
    <t>kay para makafocus ko sa uma</t>
  </si>
  <si>
    <t>kay bug-at man siya nga trabaho</t>
  </si>
  <si>
    <t>kay maoy amo nasabotan</t>
  </si>
  <si>
    <t>kay maoy amo nasabutan</t>
  </si>
  <si>
    <t>kay para makafocus ko sa pag uma</t>
  </si>
  <si>
    <t>kay dili ganahan ug hayop ako asawa</t>
  </si>
  <si>
    <t>kay wala may nabaloan kaayo sa pagpang uma ang akoa asawa</t>
  </si>
  <si>
    <t>kay ako ra man ang nakabalo unsay gibuhat nako sa uma</t>
  </si>
  <si>
    <t>kay ako man ang nakabalo kaayo sa pag uma</t>
  </si>
  <si>
    <t>kay ako ra man gihapon ang mo attend kong naay seminar buhaton</t>
  </si>
  <si>
    <t>kay ako ra man ang mo attend kong naay seminar nga buhaton</t>
  </si>
  <si>
    <t>kay ako ra man ang mo attend kay busy man abantay ug bata ako asawa</t>
  </si>
  <si>
    <t>kay naay dili ganahan ang usa</t>
  </si>
  <si>
    <t>nindot man mo luto ang ako asawa</t>
  </si>
  <si>
    <t>ako man asawa ang nagbudget</t>
  </si>
  <si>
    <t>ako asawa man ang nagbudget</t>
  </si>
  <si>
    <t>basin naay wala mahibaloe nga klase sa tambal</t>
  </si>
  <si>
    <t>kay hilig man sa tanan</t>
  </si>
  <si>
    <t>kay naa may gusto ako asawa nga makagamit siya</t>
  </si>
  <si>
    <t>dili man ganahan sila nga mangutang</t>
  </si>
  <si>
    <t>dili sila ganahan nga naay utang</t>
  </si>
  <si>
    <t>mamili man sila sa ila gusto</t>
  </si>
  <si>
    <t>magpulihay</t>
  </si>
  <si>
    <t>kay lami man ako asawa mo luto</t>
  </si>
  <si>
    <t>ako asawa man ang manugo</t>
  </si>
  <si>
    <t>ako maoy masugoan perme</t>
  </si>
  <si>
    <t>kay busy man</t>
  </si>
  <si>
    <t>kay dili man masugo kung naa sila sa duwa</t>
  </si>
  <si>
    <t>busy tanan</t>
  </si>
  <si>
    <t>kay siya man ang manghugas</t>
  </si>
  <si>
    <t>kay ako asawa man gyud basta trabahoon sa balay</t>
  </si>
  <si>
    <t>kay ako asawa man ang mosugo</t>
  </si>
  <si>
    <t>kay ganahan man ko mangahoy</t>
  </si>
  <si>
    <t>responsibilidad man namo</t>
  </si>
  <si>
    <t>kay budgeton man namo</t>
  </si>
  <si>
    <t>kay daghan man ako asawa kwarta</t>
  </si>
  <si>
    <t>kay para sakto sa pagpasaw</t>
  </si>
  <si>
    <t>kay magbanos banos mi ug pasaw sa akoa mga anak</t>
  </si>
  <si>
    <t>kay busy man ko sa uma</t>
  </si>
  <si>
    <t>kay kabalo naman sila sa pag-atiman</t>
  </si>
  <si>
    <t>kay kabalo naman sila sa pag atiman</t>
  </si>
  <si>
    <t>kay magpasuhol ra man kami kinsay mo trabaho</t>
  </si>
  <si>
    <t>kay magpasuhol ra man kami kinsay motrabaho</t>
  </si>
  <si>
    <t>kay kami man tanan ang magtanom</t>
  </si>
  <si>
    <t>kay kami man tanan ang magtrabaho</t>
  </si>
  <si>
    <t>kay kami man tanan ang mo trabaho</t>
  </si>
  <si>
    <t>kay kami man tanan ang motrabaho</t>
  </si>
  <si>
    <t>kay kami man sa ako mga anak motrabaho</t>
  </si>
  <si>
    <t>kay kami man sa akoa mga anak ang motrabaho</t>
  </si>
  <si>
    <t>kay ako man gitudloan akoa mga anak sa pag spray</t>
  </si>
  <si>
    <t>kay ako man gitudloan ako mga anak sa pagspray</t>
  </si>
  <si>
    <t>kay gitudloan man nako</t>
  </si>
  <si>
    <t>kay gitudloan man nako ako mga anak</t>
  </si>
  <si>
    <t>ako man pamilya moapil ug harvest</t>
  </si>
  <si>
    <t>tibook pamilya man nako ang moapil ug trabaho</t>
  </si>
  <si>
    <t>kay sabotan man kinsay baligyaan</t>
  </si>
  <si>
    <t>magsabot man kami</t>
  </si>
  <si>
    <t>kay ako asawa man ang tagahipos sa mga record tanan</t>
  </si>
  <si>
    <t>kay ako asawa man ang taga hipos sa mga record tanan</t>
  </si>
  <si>
    <t>parehas man me mag- uma</t>
  </si>
  <si>
    <t>kay planohon man namo</t>
  </si>
  <si>
    <t>kay ganahan man ako asawa mo attend ug mga training ug seminar</t>
  </si>
  <si>
    <t>i know what they want</t>
  </si>
  <si>
    <t>i like to go to the city proper</t>
  </si>
  <si>
    <t>i am the one who manage</t>
  </si>
  <si>
    <t>i am the who manage</t>
  </si>
  <si>
    <t>i like to go the city proper</t>
  </si>
  <si>
    <t>i manage the farm</t>
  </si>
  <si>
    <t>i manage the farm than my husband</t>
  </si>
  <si>
    <t>my husband prefers to do housechores than farm activities</t>
  </si>
  <si>
    <t>my husband prefers to do house chores than farm activities</t>
  </si>
  <si>
    <t>my husband does not like washing of clothes</t>
  </si>
  <si>
    <t>it is a heavy work and my husband always do that</t>
  </si>
  <si>
    <t>it is heavy work andy husband always do that</t>
  </si>
  <si>
    <t>it is heavy work and my husband always do that</t>
  </si>
  <si>
    <t>mothers responsibility</t>
  </si>
  <si>
    <t>i am the who manage everything</t>
  </si>
  <si>
    <t>it is like a farm activity</t>
  </si>
  <si>
    <t>it is my responsibility aside from farming</t>
  </si>
  <si>
    <t>i manage everything especially farm activities</t>
  </si>
  <si>
    <t>i hire somebody because it is a heavy and hard activity</t>
  </si>
  <si>
    <t>i watched many farm videos and attended many seminars</t>
  </si>
  <si>
    <t>heavy sprayer</t>
  </si>
  <si>
    <t>i watched and attended farm trainings</t>
  </si>
  <si>
    <t>i manage production and my husband distribute the produce</t>
  </si>
  <si>
    <t>i do farming than my husband</t>
  </si>
  <si>
    <t>i manage farm activities</t>
  </si>
  <si>
    <t>i am the who attends</t>
  </si>
  <si>
    <t>i want to expand my knowledge about farming</t>
  </si>
  <si>
    <t>to learn more techniques about farming</t>
  </si>
  <si>
    <t>i am the one who attends</t>
  </si>
  <si>
    <t>i am the one who attends the trainings and seminar</t>
  </si>
  <si>
    <t>i have more knowledge about farming than my husband</t>
  </si>
  <si>
    <t>nikko cantay</t>
  </si>
  <si>
    <t>my wife knows what are the food we want</t>
  </si>
  <si>
    <t>we have different wants on choosing clothes</t>
  </si>
  <si>
    <t>no one gets to blame</t>
  </si>
  <si>
    <t>i'm faster than my wife on seeking medical care</t>
  </si>
  <si>
    <t>it's our responsibility</t>
  </si>
  <si>
    <t>i'm the one who knows how to drive motorcycle</t>
  </si>
  <si>
    <t>because we want to have an appliances</t>
  </si>
  <si>
    <t>to choose a good quality of appliances</t>
  </si>
  <si>
    <t>i'm the one who knows what are needed in the farm</t>
  </si>
  <si>
    <t>i'm the one who works</t>
  </si>
  <si>
    <t>only women are allowed to avail credit in this specific lending company</t>
  </si>
  <si>
    <t>to have a bonding together with family</t>
  </si>
  <si>
    <t>part of her job as wife</t>
  </si>
  <si>
    <t>it's her wife duty</t>
  </si>
  <si>
    <t>to be washed properly</t>
  </si>
  <si>
    <t>to clean the house properly</t>
  </si>
  <si>
    <t>it's too heavy, my wife cannot carry a galloon of water</t>
  </si>
  <si>
    <t>the wood is difficult to carry</t>
  </si>
  <si>
    <t>its my wife responsibility</t>
  </si>
  <si>
    <t>my wife is good in taking care of the kids</t>
  </si>
  <si>
    <t>i don't want to spend money on useless things</t>
  </si>
  <si>
    <t>i'm the one who do the budgeting</t>
  </si>
  <si>
    <t>my wife knows our preffered food</t>
  </si>
  <si>
    <t>it depends on who is available</t>
  </si>
  <si>
    <t>my wife has more vacant time</t>
  </si>
  <si>
    <t>i'm the one who knows what are the supplies needed in the farm</t>
  </si>
  <si>
    <t>i'm more expert than my wife</t>
  </si>
  <si>
    <t>it's a mens work</t>
  </si>
  <si>
    <t>it's part of the job in the farm</t>
  </si>
  <si>
    <t>i'm the one who knows how to plant</t>
  </si>
  <si>
    <t>i'm an expert of it</t>
  </si>
  <si>
    <t>because it is my job</t>
  </si>
  <si>
    <t>we do not apply mulching</t>
  </si>
  <si>
    <t>it is my job</t>
  </si>
  <si>
    <t>i'm expert in pruning</t>
  </si>
  <si>
    <t>because i'm always in the farm</t>
  </si>
  <si>
    <t>because i'm the one who knows how to do it</t>
  </si>
  <si>
    <t>because i know when is the right time to harvest</t>
  </si>
  <si>
    <t>because it is a difficult work</t>
  </si>
  <si>
    <t>because i know a lot of buyers</t>
  </si>
  <si>
    <t>because i know how to sell our produce</t>
  </si>
  <si>
    <t>because i want to track my sales</t>
  </si>
  <si>
    <t>to track my sales</t>
  </si>
  <si>
    <t>because i'm the one who manages the farm</t>
  </si>
  <si>
    <t>because i want to track expenses in the farm</t>
  </si>
  <si>
    <t>because i'm expert in the farm</t>
  </si>
  <si>
    <t>i'm expert in the farm</t>
  </si>
  <si>
    <t>because i want to track mu expenses on the farm</t>
  </si>
  <si>
    <t>because i want to track my expenses in the farm</t>
  </si>
  <si>
    <t>because we want to learn</t>
  </si>
  <si>
    <t>to learn about farming</t>
  </si>
  <si>
    <t>because we want to know the activities in the farm</t>
  </si>
  <si>
    <t>because we want to socialize</t>
  </si>
  <si>
    <t>because it is my work</t>
  </si>
  <si>
    <t>because i know what is good in the farm</t>
  </si>
  <si>
    <t>Can get the information without attending</t>
  </si>
  <si>
    <t>my wife is busy taking care of the children and i am the only one wh knows how to cook</t>
  </si>
  <si>
    <t>because my wife knows what kind of affordable clothes to buy</t>
  </si>
  <si>
    <t>my wife has an idea in taking care of our health and what medicine to buy</t>
  </si>
  <si>
    <t>because we know how important education is</t>
  </si>
  <si>
    <t>because i need my wife's support in sending our kids to school</t>
  </si>
  <si>
    <t>because i know how to budget in buying appliances</t>
  </si>
  <si>
    <t>because i know where we can buy affordable appliances in the market</t>
  </si>
  <si>
    <t>we need each others idea of what kind of furniture to buy</t>
  </si>
  <si>
    <t>i am the only one who knows what farm inputs/ animals to buy</t>
  </si>
  <si>
    <t>i trust my wife that the money she loaned is for the sake of our kids</t>
  </si>
  <si>
    <t>my wife is the only one who has an idea in availing loans</t>
  </si>
  <si>
    <t>she knows how to budget and when to spend</t>
  </si>
  <si>
    <t>because my wife knows how to budget</t>
  </si>
  <si>
    <t>we decide both when we have leisure actuvities to avoid misunderstanding</t>
  </si>
  <si>
    <t>we both do so that our kids will be happy</t>
  </si>
  <si>
    <t>because i am the only one who know how to cook and what kinds of foods to prepare</t>
  </si>
  <si>
    <t>because i'm tired from working in the farm when i got home</t>
  </si>
  <si>
    <t>i do not have time to do the laundry because i need to go to the farm</t>
  </si>
  <si>
    <t>because usually i am at the farm all day and i'm tired in the farm when i get home</t>
  </si>
  <si>
    <t>because usually i am at the farm all day and i'm tired when i got home</t>
  </si>
  <si>
    <t>because usually i am the farm all day and i'm tired when i got home</t>
  </si>
  <si>
    <t>we need each others support when taking care of our children</t>
  </si>
  <si>
    <t>we help each other in taking care of our children, its difficult to manage when doing it alone</t>
  </si>
  <si>
    <t>because we ask each other's opinion especially in budgeting</t>
  </si>
  <si>
    <t>we ask each other's opinion when spending our money properly esp. for the kids</t>
  </si>
  <si>
    <t>we ask each other's opinion to avoid conflict</t>
  </si>
  <si>
    <t>both, to avoid conflict</t>
  </si>
  <si>
    <t>because my wife is afraid of feeding my chicken</t>
  </si>
  <si>
    <t>i know how to feed my chicken</t>
  </si>
  <si>
    <t>we both take turns when attending school meetings</t>
  </si>
  <si>
    <t>i am the only one who knows what kind of crops to plant</t>
  </si>
  <si>
    <t>my stays at home taking care of our child</t>
  </si>
  <si>
    <t>because i am the only one who knows what kind of farming supplies to buy</t>
  </si>
  <si>
    <t>i am the one who knows how to use it, my wife stays at home</t>
  </si>
  <si>
    <t>i am the one who knows in seedling production</t>
  </si>
  <si>
    <t>i'm the one who knows what to do, my wife stays at home</t>
  </si>
  <si>
    <t>i'm the onw who knows land preparation</t>
  </si>
  <si>
    <t>i'm the one who do the plowing, my wife stays taking care of our kids</t>
  </si>
  <si>
    <t>i am the one who knows how to plant crops</t>
  </si>
  <si>
    <t>my wife stays at home taking care of our children</t>
  </si>
  <si>
    <t>i'm the one who knows farm activities</t>
  </si>
  <si>
    <t>im the one who knows farm activities, my wife stays at home taking care of our kids</t>
  </si>
  <si>
    <t>i'm the one who knows farm actvities</t>
  </si>
  <si>
    <t>i'm the one who knows farm activities, my wife stays at home</t>
  </si>
  <si>
    <t>im the one who knows farm activities</t>
  </si>
  <si>
    <t>my wife stays at home taking care of our kids</t>
  </si>
  <si>
    <t>im the one who knows what kind of fertilizers to apply</t>
  </si>
  <si>
    <t>my wife stays at home taking care of our child</t>
  </si>
  <si>
    <t>my wife stays at home taking care of kids</t>
  </si>
  <si>
    <t>im the one who knows what kind of treatment to use of pests</t>
  </si>
  <si>
    <t>my stays at home taking care of our kids</t>
  </si>
  <si>
    <t>my wife stays at home, taking care of our kids</t>
  </si>
  <si>
    <t>i am the ony one who knows thw profit i gained from farming</t>
  </si>
  <si>
    <t>so that i can use the recent records in the next crop production</t>
  </si>
  <si>
    <t>we teach our children about farming so they would not become ignorant</t>
  </si>
  <si>
    <t>we both take turns when teaching our child about farming</t>
  </si>
  <si>
    <t>because im the one who knows what kind of farming supplies are needed</t>
  </si>
  <si>
    <t>im the one who knows where to buy affordable farm supplies</t>
  </si>
  <si>
    <t>we ask each others opinion to avoid conflicts and misunderstanding</t>
  </si>
  <si>
    <t>to avoid misuderstanding and conflict</t>
  </si>
  <si>
    <t>because i am usually on the farm</t>
  </si>
  <si>
    <t>we both take turns when attending meeting</t>
  </si>
  <si>
    <t>becaus i'm the one who knows what kindof technology to use in production</t>
  </si>
  <si>
    <t>ako ang leader sa pamilya</t>
  </si>
  <si>
    <t>kay siya ang babaye</t>
  </si>
  <si>
    <t>kay siya kamao mupili</t>
  </si>
  <si>
    <t>kay para dili dak.an sa pamasahe</t>
  </si>
  <si>
    <t>depende sabutan lang namo</t>
  </si>
  <si>
    <t>magsabot gyud para walay lalis</t>
  </si>
  <si>
    <t>para makapili kung unsa ang ganahan</t>
  </si>
  <si>
    <t>para magkauyon gyud</t>
  </si>
  <si>
    <t>para walay basolay</t>
  </si>
  <si>
    <t>para magkasabot gyud</t>
  </si>
  <si>
    <t>kay siya man ang babaye</t>
  </si>
  <si>
    <t>mag assign sa mga bata</t>
  </si>
  <si>
    <t>trabaho sa mga bata nga babae maghugas</t>
  </si>
  <si>
    <t>magsabot lang para madali</t>
  </si>
  <si>
    <t>para maminaw ang mga anak</t>
  </si>
  <si>
    <t>babae ug lalaki nga anak</t>
  </si>
  <si>
    <t>kaming duha sa ako asawa pero sagad ako gyud ug mga bata kung bakante sila</t>
  </si>
  <si>
    <t>kay kusgan man ang laki</t>
  </si>
  <si>
    <t>kay para magkasinabot mi</t>
  </si>
  <si>
    <t>kay ang inahan man gyud ang mag atiman</t>
  </si>
  <si>
    <t>kay gastador ang asawa</t>
  </si>
  <si>
    <t>maayo ko mo budget</t>
  </si>
  <si>
    <t>ako ang leader sa pamliya</t>
  </si>
  <si>
    <t>mas maayo magsabot gyud para walay magmahay</t>
  </si>
  <si>
    <t>ako ang mas nakahibaw</t>
  </si>
  <si>
    <t>sabutan namo</t>
  </si>
  <si>
    <t>tabangan gyud namo</t>
  </si>
  <si>
    <t>not practiced</t>
  </si>
  <si>
    <t>kay dili kamao ang asawa</t>
  </si>
  <si>
    <t>kusgan ang laki</t>
  </si>
  <si>
    <t>maglisod ang babaye</t>
  </si>
  <si>
    <t>tabangan lang</t>
  </si>
  <si>
    <t>laki gyud kay mas abtik pa sa abtik</t>
  </si>
  <si>
    <t>kay bug-at ang sprayer</t>
  </si>
  <si>
    <t>makaya lang sa ako asawa</t>
  </si>
  <si>
    <t>gaan lang nga trabaho</t>
  </si>
  <si>
    <t>dili kaya sa babaye mag arsa sa mga harvest</t>
  </si>
  <si>
    <t>magsabot lang asa ang mas taas-taas nga presyo</t>
  </si>
  <si>
    <t>musunod lang ang asawa sa ako</t>
  </si>
  <si>
    <t>mahimo ug samok kung dili magsabot</t>
  </si>
  <si>
    <t>sabot lang</t>
  </si>
  <si>
    <t>bug.at ang trabaho labi na ug pentakasi</t>
  </si>
  <si>
    <t>No time/too busy  House is far from the training site  Others</t>
  </si>
  <si>
    <t>prioritized taking care of the kids</t>
  </si>
  <si>
    <t>pilian ug pagkaon</t>
  </si>
  <si>
    <t>mamili ug barato</t>
  </si>
  <si>
    <t>dili katigo ang bana</t>
  </si>
  <si>
    <t>mu-uyon ra ang bana</t>
  </si>
  <si>
    <t>mahilig ang bana ug tv/karaoke</t>
  </si>
  <si>
    <t>masuko ug magpataka</t>
  </si>
  <si>
    <t>magtipid sa gasto</t>
  </si>
  <si>
    <t>mahilig mag dicso ang bana</t>
  </si>
  <si>
    <t>lami muluto</t>
  </si>
  <si>
    <t>iya man gusto, kay siya man ang motrabaho</t>
  </si>
  <si>
    <t>balansehon basin e.inom ang halin</t>
  </si>
  <si>
    <t>aron makatigo</t>
  </si>
  <si>
    <t>has more time</t>
  </si>
  <si>
    <t>one can decide for their own based on their own preference and choice</t>
  </si>
  <si>
    <t>has more time and perhaps knowledge</t>
  </si>
  <si>
    <t>part of their responsibility as parents</t>
  </si>
  <si>
    <t>to avoid quarrel, secure approval from spouse or husband.</t>
  </si>
  <si>
    <t>to avoid quarrel, secure approval from spouse or husband, conjugal property</t>
  </si>
  <si>
    <t>Has more knowledge and also it's their agreed assignment of the men</t>
  </si>
  <si>
    <t>part of their respect to one onether, they make sure to co-decide and agree to it.</t>
  </si>
  <si>
    <t>has more time and has more knowledge on computations</t>
  </si>
  <si>
    <t>part of their respect to one another, they make sure to co-decide and agree to it.</t>
  </si>
  <si>
    <t>has more time and has more knowledge on computations, budgeting and saving</t>
  </si>
  <si>
    <t>to avoid quarrels</t>
  </si>
  <si>
    <t>has more time and it's her assigned task in the household</t>
  </si>
  <si>
    <t>it depends on whose available</t>
  </si>
  <si>
    <t>co-parenting, both their responsibility</t>
  </si>
  <si>
    <t>agreed upon by both husband and wife</t>
  </si>
  <si>
    <t>has more knowledge and information esp. on saving and budgeting</t>
  </si>
  <si>
    <t>has more time, it's an agreed task assigned in their family</t>
  </si>
  <si>
    <t>has more time and can perfrom frequent follow through</t>
  </si>
  <si>
    <t>has more knowldege on farm aspects</t>
  </si>
  <si>
    <t>has more knowldege on farm aspects, if the activity requires intensive physical strenght</t>
  </si>
  <si>
    <t>can be done both</t>
  </si>
  <si>
    <t>both can perform it</t>
  </si>
  <si>
    <t>if the activity doesn't requires intensive physical strenght</t>
  </si>
  <si>
    <t>both</t>
  </si>
  <si>
    <t>just because they have to help each other on this</t>
  </si>
  <si>
    <t>have more math and recording skills, as well as the time to do it.</t>
  </si>
  <si>
    <t>has more knowledge on farming activities</t>
  </si>
  <si>
    <t>discussed and agreed upon</t>
  </si>
  <si>
    <t>both can decide for themselves</t>
  </si>
  <si>
    <t>depending on whose available</t>
  </si>
  <si>
    <t>has more knowledge on farming</t>
  </si>
  <si>
    <t>sila ray magpalit og ilaha ganahan na design</t>
  </si>
  <si>
    <t>concerned about it</t>
  </si>
  <si>
    <t>more concerned about it</t>
  </si>
  <si>
    <t>parents responsibility</t>
  </si>
  <si>
    <t>conjugal property</t>
  </si>
  <si>
    <t>in charge on farm activities</t>
  </si>
  <si>
    <t>must be agreed upon</t>
  </si>
  <si>
    <t>required by the loan provider</t>
  </si>
  <si>
    <t>busy sa farm ang mga lalaki</t>
  </si>
  <si>
    <t>kung bug.at, kami duha</t>
  </si>
  <si>
    <t>responsibility namo duha</t>
  </si>
  <si>
    <t>mag sabot man jud mi pirme</t>
  </si>
  <si>
    <t>mas lami man muluto</t>
  </si>
  <si>
    <t>depende sa kinsa'y available</t>
  </si>
  <si>
    <t>naa man sa farm pirme ang lalaki.</t>
  </si>
  <si>
    <t>mag sabotay</t>
  </si>
  <si>
    <t>siya man naa jud sa farm pirme.</t>
  </si>
  <si>
    <t>both can do this</t>
  </si>
  <si>
    <t>doesn't require too much physical strenght.</t>
  </si>
  <si>
    <t>magtinabangay man</t>
  </si>
  <si>
    <t>siya man naa sa farm pirme</t>
  </si>
  <si>
    <t>siya man naa sa balay pirme</t>
  </si>
  <si>
    <t>can decide for their own</t>
  </si>
  <si>
    <t>naa man sa farm pirme ang lalaki</t>
  </si>
  <si>
    <t>siya man pirme naa sa farm</t>
  </si>
  <si>
    <t>gilda cabesenio</t>
  </si>
  <si>
    <t>puli-puli mi kay dili mi parehas og ganahan</t>
  </si>
  <si>
    <t>tagsa2x mi kay dili man mi parehas og ganahan</t>
  </si>
  <si>
    <t>musunod ra siya nako</t>
  </si>
  <si>
    <t>musunod ra siya nako kay mas nasayud man ko</t>
  </si>
  <si>
    <t>dili man siya kahibalo</t>
  </si>
  <si>
    <t>magsabot mi pirme</t>
  </si>
  <si>
    <t>siya man ang hilig ani</t>
  </si>
  <si>
    <t>siya man ang pirme muadto sa syudad</t>
  </si>
  <si>
    <t>sabotay gyud</t>
  </si>
  <si>
    <t>ako ray bahala kumpra og budget</t>
  </si>
  <si>
    <t>ako ray bahala kumpra og budget kay naa man siya pirme sa farm</t>
  </si>
  <si>
    <t>kami jud duha</t>
  </si>
  <si>
    <t>dili man pwede og siya ra</t>
  </si>
  <si>
    <t>naa man siya pirme sa farm</t>
  </si>
  <si>
    <t>kami duha, depende kung kinsay available</t>
  </si>
  <si>
    <t>kami duha, depende kung kinsay available , bug-at man unya layo</t>
  </si>
  <si>
    <t>dili ra siya musupak nako</t>
  </si>
  <si>
    <t>ako jud pero tabangay man mi.</t>
  </si>
  <si>
    <t>kami jud duha, amo man na kita duha</t>
  </si>
  <si>
    <t>kasagaran ako kay busy naman sila sa farm, para pag uli nila naa nay makaon</t>
  </si>
  <si>
    <t>ako man jud magluto kay busy man sila sa farm</t>
  </si>
  <si>
    <t>kasagaran ako kay busy naman sila sa farm</t>
  </si>
  <si>
    <t>kami man duha ang mutrabaho</t>
  </si>
  <si>
    <t>has more knowledge and experties</t>
  </si>
  <si>
    <t>kami man duha mutrabaho</t>
  </si>
  <si>
    <t>kami man duha mutrabaho, tabang ko niya</t>
  </si>
  <si>
    <t>iya ra gyud na trabaho, bug.at man</t>
  </si>
  <si>
    <t>ako gyud na, gaan man na trabaho</t>
  </si>
  <si>
    <t>kami diha, tabang ko niya</t>
  </si>
  <si>
    <t>siya na kasagaran mutrabaho ani, bug.at man</t>
  </si>
  <si>
    <t>has more knowledge and expertise</t>
  </si>
  <si>
    <t>kami gyud duha, tabangay na gyud</t>
  </si>
  <si>
    <t>kapoyan man siya, kutihan siya ani na trabaho</t>
  </si>
  <si>
    <t>mas sweto man siya sa uma</t>
  </si>
  <si>
    <t>mas makabalo man siya sa gamit og sa gastuan sa farm</t>
  </si>
  <si>
    <t>kami duha kay makalangan baya ni sa trabaho sa uma</t>
  </si>
  <si>
    <t>siya gyud kasagaran ani kay siya man amg mutrabaho ani sa uma</t>
  </si>
  <si>
    <t>puli-puli mi depende kinsay available</t>
  </si>
  <si>
    <t>iyaha jud ni trabaho, mas sweto siya ani</t>
  </si>
  <si>
    <t>in charge of cooking, husband is always on the farm</t>
  </si>
  <si>
    <t>has the time, husband is always on the farm</t>
  </si>
  <si>
    <t>to follow individual preferences</t>
  </si>
  <si>
    <t>has more knowledge</t>
  </si>
  <si>
    <t>has more time and knowledge</t>
  </si>
  <si>
    <t>it's just what it is</t>
  </si>
  <si>
    <t>more time to conduct follow ups</t>
  </si>
  <si>
    <t>to avoid quarrel, we need both consent and approval</t>
  </si>
  <si>
    <t>More frequent in terms of going to the city</t>
  </si>
  <si>
    <t>more knowledge  or information</t>
  </si>
  <si>
    <t>in-charge of the household budgeting task</t>
  </si>
  <si>
    <t>in-charge of the household budgeting task , assigned task, agreed task</t>
  </si>
  <si>
    <t>has more time to do household chores</t>
  </si>
  <si>
    <t>becuase its heavy to carry</t>
  </si>
  <si>
    <t>has more time to do this, husband is always on the farm</t>
  </si>
  <si>
    <t>more knowldege or have more idea</t>
  </si>
  <si>
    <t>more knowldege or have more idea, it's hard for women to carry the plow/carabao</t>
  </si>
  <si>
    <t>doesn't require too much physical strenght</t>
  </si>
  <si>
    <t>more knowldege or have more idea; requires more strenght to carry equipment</t>
  </si>
  <si>
    <t>spend more time in the farm, in-charge of farm activities</t>
  </si>
  <si>
    <t>both can perform this task, also to finish the task faster</t>
  </si>
  <si>
    <t>both knowledge and idea</t>
  </si>
  <si>
    <t>has more knowledge or idea</t>
  </si>
  <si>
    <t>both can decide individually for their own</t>
  </si>
  <si>
    <t>more knowldege on farming aspects</t>
  </si>
  <si>
    <t>Name of the organization?</t>
  </si>
  <si>
    <t>Type of Organization</t>
  </si>
  <si>
    <t>Date Joined</t>
  </si>
  <si>
    <t>Reason for Joining</t>
  </si>
  <si>
    <t>Reason for Joining/employment</t>
  </si>
  <si>
    <t>Reason for Joining/avail credit</t>
  </si>
  <si>
    <t>Reason for Joining/avail services/support</t>
  </si>
  <si>
    <t>Reason for Joining/socialize</t>
  </si>
  <si>
    <t>Reason for Joining/sense of belongingness</t>
  </si>
  <si>
    <t>Reason for Joining/others</t>
  </si>
  <si>
    <t>Status of Organization/Member</t>
  </si>
  <si>
    <t>Reason for inactivity of household member in active organization</t>
  </si>
  <si>
    <t>Frequency of attendance to meetings</t>
  </si>
  <si>
    <t>Position Held/Date</t>
  </si>
  <si>
    <t>Benefits Derived (availed support/services to improve diff. capital</t>
  </si>
  <si>
    <t>Benefits Derived (availed support/services to improve diff. capital/human</t>
  </si>
  <si>
    <t>Benefits Derived (availed support/services to improve diff. capital/financial</t>
  </si>
  <si>
    <t xml:space="preserve">Benefits Derived (availed support/services to improve diff. capital/physical </t>
  </si>
  <si>
    <t xml:space="preserve">Benefits Derived (availed support/services to improve diff. capital/natural </t>
  </si>
  <si>
    <t xml:space="preserve">Benefits Derived (availed support/services to improve diff. capital/social </t>
  </si>
  <si>
    <t>Benefits Derived (availed support/services to improve diff. capital/others</t>
  </si>
  <si>
    <t>calcoa</t>
  </si>
  <si>
    <t>cooperative</t>
  </si>
  <si>
    <t>2005</t>
  </si>
  <si>
    <t>avail services/support</t>
  </si>
  <si>
    <t>active</t>
  </si>
  <si>
    <t>always</t>
  </si>
  <si>
    <t>member</t>
  </si>
  <si>
    <t>human financial</t>
  </si>
  <si>
    <t>treasurer</t>
  </si>
  <si>
    <t>cafa</t>
  </si>
  <si>
    <t>farmers assoc.</t>
  </si>
  <si>
    <t>2016</t>
  </si>
  <si>
    <t>inactive</t>
  </si>
  <si>
    <t>focus on farming in our farm</t>
  </si>
  <si>
    <t>cawa (cabintan workers association)</t>
  </si>
  <si>
    <t>tour guide</t>
  </si>
  <si>
    <t>2015</t>
  </si>
  <si>
    <t>cafa (cabintan farmers association)</t>
  </si>
  <si>
    <t>1996</t>
  </si>
  <si>
    <t>2022</t>
  </si>
  <si>
    <t>president</t>
  </si>
  <si>
    <t>sicavfa</t>
  </si>
  <si>
    <t>2013</t>
  </si>
  <si>
    <t>has no benefits</t>
  </si>
  <si>
    <t>seeds</t>
  </si>
  <si>
    <t>2014</t>
  </si>
  <si>
    <t>members are not active</t>
  </si>
  <si>
    <t>physical  others</t>
  </si>
  <si>
    <t>farm inputs (seeds)</t>
  </si>
  <si>
    <t>ovfa</t>
  </si>
  <si>
    <t>farm inputs</t>
  </si>
  <si>
    <t>2019</t>
  </si>
  <si>
    <t>financial</t>
  </si>
  <si>
    <t>2017</t>
  </si>
  <si>
    <t>p.i.o</t>
  </si>
  <si>
    <t>avail services/support socialize</t>
  </si>
  <si>
    <t>the members are not active</t>
  </si>
  <si>
    <t>physical  financial</t>
  </si>
  <si>
    <t>to be able to join in business</t>
  </si>
  <si>
    <t>wala pay ginansya</t>
  </si>
  <si>
    <t>cabintan womens farmer association</t>
  </si>
  <si>
    <t>jan 2006</t>
  </si>
  <si>
    <t>once a month</t>
  </si>
  <si>
    <t>sig kappa</t>
  </si>
  <si>
    <t>sep 2016</t>
  </si>
  <si>
    <t>busy with my work, in house and taking care of childre</t>
  </si>
  <si>
    <t>2012</t>
  </si>
  <si>
    <t>chairman</t>
  </si>
  <si>
    <t>farm inputs (machineries, fertilizer, seeds, plastic mulching)</t>
  </si>
  <si>
    <t>goat, native chicken</t>
  </si>
  <si>
    <t>members are also not active</t>
  </si>
  <si>
    <t>women's farmers association</t>
  </si>
  <si>
    <t>2018</t>
  </si>
  <si>
    <t>siyaki (women's org)</t>
  </si>
  <si>
    <t>women's organization</t>
  </si>
  <si>
    <t>may 2011</t>
  </si>
  <si>
    <t>tresurer</t>
  </si>
  <si>
    <t>cabintan women's farmer association</t>
  </si>
  <si>
    <t>jan 2021</t>
  </si>
  <si>
    <t>financial others</t>
  </si>
  <si>
    <t>vice president</t>
  </si>
  <si>
    <t>kappa farmers association</t>
  </si>
  <si>
    <t>feb 1993</t>
  </si>
  <si>
    <t>rice</t>
  </si>
  <si>
    <t>government organization</t>
  </si>
  <si>
    <t>1980's</t>
  </si>
  <si>
    <t>oct 2004</t>
  </si>
  <si>
    <t>july 2023</t>
  </si>
  <si>
    <t>busy in farming</t>
  </si>
  <si>
    <t>gawad kalinga</t>
  </si>
  <si>
    <t>private org</t>
  </si>
  <si>
    <t>mar 2020</t>
  </si>
  <si>
    <t xml:space="preserve">financial physical </t>
  </si>
  <si>
    <t>mar 2016</t>
  </si>
  <si>
    <t>feb 2022</t>
  </si>
  <si>
    <t>working at manila</t>
  </si>
  <si>
    <t>mar 2005</t>
  </si>
  <si>
    <t>2020</t>
  </si>
  <si>
    <t>women</t>
  </si>
  <si>
    <t>ganahan aron naay mahibaw.an</t>
  </si>
  <si>
    <t>2007</t>
  </si>
  <si>
    <t>busy/ no time attending meeting</t>
  </si>
  <si>
    <t>1993</t>
  </si>
  <si>
    <t>financial human</t>
  </si>
  <si>
    <t>2023</t>
  </si>
  <si>
    <t>sometimes</t>
  </si>
  <si>
    <t>womens</t>
  </si>
  <si>
    <t>feb 2023</t>
  </si>
  <si>
    <t>CALFA (Cabintan Livelihood Farmers Assoc.)</t>
  </si>
  <si>
    <t>sicavfa, ovfa, ric, iccafc</t>
  </si>
  <si>
    <t>Topic of Agricultural and Livelihood Training/Seminar/Course</t>
  </si>
  <si>
    <t>Provider</t>
  </si>
  <si>
    <t>Provider/TESDA</t>
  </si>
  <si>
    <t xml:space="preserve">Provider/LGU </t>
  </si>
  <si>
    <t xml:space="preserve">Provider/NGO </t>
  </si>
  <si>
    <t>Provider/NGA</t>
  </si>
  <si>
    <t>Provider/SUC</t>
  </si>
  <si>
    <t>Provider/Others</t>
  </si>
  <si>
    <t>Duration of Attendance (specify month &amp; year)</t>
  </si>
  <si>
    <t>Agricultural Practices Gained/Technologies Learned</t>
  </si>
  <si>
    <t>SUC</t>
  </si>
  <si>
    <t>oct - dec 2022</t>
  </si>
  <si>
    <t>leads medicine</t>
  </si>
  <si>
    <t>agri tech</t>
  </si>
  <si>
    <t>march 2022</t>
  </si>
  <si>
    <t>apply the right pesticide for specific pests</t>
  </si>
  <si>
    <t>what is the right pesticide to use for specific pests</t>
  </si>
  <si>
    <t>jan 2023</t>
  </si>
  <si>
    <t>what kind of medicine to use and how to use it properly</t>
  </si>
  <si>
    <t>organic farming</t>
  </si>
  <si>
    <t xml:space="preserve">LGU </t>
  </si>
  <si>
    <t>2 days</t>
  </si>
  <si>
    <t>crop rotation</t>
  </si>
  <si>
    <t>how to sell vegetables on the market</t>
  </si>
  <si>
    <t>1/year</t>
  </si>
  <si>
    <t>know how to sell vegetables on the market</t>
  </si>
  <si>
    <t>proper pesticide and fertilizer application</t>
  </si>
  <si>
    <t>1 day</t>
  </si>
  <si>
    <t>what are the effective chemicals to apply for a specific pests and disease</t>
  </si>
  <si>
    <t>how to make organic fertilizer</t>
  </si>
  <si>
    <t>3</t>
  </si>
  <si>
    <t>learn how to make organic fertilizer and learn how to properly apply the pesticides to crops</t>
  </si>
  <si>
    <t>5 (2017)</t>
  </si>
  <si>
    <t>sloping agricultural land technology</t>
  </si>
  <si>
    <t xml:space="preserve">NGO </t>
  </si>
  <si>
    <t>1 (2014)</t>
  </si>
  <si>
    <t>know how to contour in the farm</t>
  </si>
  <si>
    <t>how to make an organic fertilizer</t>
  </si>
  <si>
    <t xml:space="preserve">Others LGU </t>
  </si>
  <si>
    <t>da</t>
  </si>
  <si>
    <t>3 (2015)</t>
  </si>
  <si>
    <t>lessen the usage of inorganic fertilizer and try to use the organic fertilizer</t>
  </si>
  <si>
    <t>how to plant properly</t>
  </si>
  <si>
    <t>learn how to do farming in a right way</t>
  </si>
  <si>
    <t>good agricultural practices</t>
  </si>
  <si>
    <t>aciar</t>
  </si>
  <si>
    <t>2021</t>
  </si>
  <si>
    <t>do not use dirty water, proper use of pesticide</t>
  </si>
  <si>
    <t>the uses of insecticide and fungicide</t>
  </si>
  <si>
    <t xml:space="preserve">LGU  NGO </t>
  </si>
  <si>
    <t>level usage of insecticide and fungicide</t>
  </si>
  <si>
    <t>agriculture (medicine)</t>
  </si>
  <si>
    <t>basf</t>
  </si>
  <si>
    <t>how to use properly the medicine, how much dosage should it use, and which medicine shoud they apply</t>
  </si>
  <si>
    <t>april 2022</t>
  </si>
  <si>
    <t>how to use properly the medicine</t>
  </si>
  <si>
    <t xml:space="preserve">SUC NGO </t>
  </si>
  <si>
    <t>2 (vsu), 4 (Pao), 1 (USAID)</t>
  </si>
  <si>
    <t>know how to make an organic fertilizer and how to apply it</t>
  </si>
  <si>
    <t>how to plant and make a contours</t>
  </si>
  <si>
    <t>LGU  Others</t>
  </si>
  <si>
    <t>know how to make a contour in tha farm</t>
  </si>
  <si>
    <t>how and when to apply the pesticides</t>
  </si>
  <si>
    <t>technicians</t>
  </si>
  <si>
    <t>3 (2022)</t>
  </si>
  <si>
    <t>know how to apply pesticides to the crop</t>
  </si>
  <si>
    <t>the usage of pesticide and fungicide</t>
  </si>
  <si>
    <t>the used of pesticide and fungicide</t>
  </si>
  <si>
    <t>june/ 2023</t>
  </si>
  <si>
    <t>pest management</t>
  </si>
  <si>
    <t>VSU</t>
  </si>
  <si>
    <t>how to apply pesticides to the crop</t>
  </si>
  <si>
    <t>10 (2020-2022)</t>
  </si>
  <si>
    <t>learn how to apply the pesticides that introduce by technicians</t>
  </si>
  <si>
    <t>about planting, pesticides application and fertilizer</t>
  </si>
  <si>
    <t>about food processing and how to make it as business</t>
  </si>
  <si>
    <t>learn how to make a fruit jam</t>
  </si>
  <si>
    <t>agriculture (insecticides)</t>
  </si>
  <si>
    <t>what's the right insecticides to use and what kind of insecticides to use for different insect/pest</t>
  </si>
  <si>
    <t>pesticide/ fungicide</t>
  </si>
  <si>
    <t>pesticide</t>
  </si>
  <si>
    <t>pesticide usage</t>
  </si>
  <si>
    <t>Bawal umahan ang Bukid</t>
  </si>
  <si>
    <t>june/ 2020</t>
  </si>
  <si>
    <t>leads</t>
  </si>
  <si>
    <t>aug 2022</t>
  </si>
  <si>
    <t>know how to make an organic fertilizer</t>
  </si>
  <si>
    <t>mar 2023</t>
  </si>
  <si>
    <t>6</t>
  </si>
  <si>
    <t>we already have an idea how to make an organic fertilizer</t>
  </si>
  <si>
    <t>agricilture (medicine)</t>
  </si>
  <si>
    <t>may 2023</t>
  </si>
  <si>
    <t>agriculture (pagpananom)</t>
  </si>
  <si>
    <t>how to control the fertilizer and medicine and its safety (they use the semi-pesticides)</t>
  </si>
  <si>
    <t>agriculture (medicine), agriculture (planting)</t>
  </si>
  <si>
    <t>mar 2018</t>
  </si>
  <si>
    <t>agriculture (medicine and planting)</t>
  </si>
  <si>
    <t>may and jun 2022</t>
  </si>
  <si>
    <t>agriculture (vegetable processing)</t>
  </si>
  <si>
    <t>june 2022</t>
  </si>
  <si>
    <t>processing of vegetables to a product</t>
  </si>
  <si>
    <t>agriculture (processing of vegetables to a product)</t>
  </si>
  <si>
    <t>jun 2023</t>
  </si>
  <si>
    <t>how to process a vegetable into a product</t>
  </si>
  <si>
    <t>eastwest</t>
  </si>
  <si>
    <t>how to do a proper planting and how what kind of medicine should be use</t>
  </si>
  <si>
    <t>agriulture (planting and medicine)</t>
  </si>
  <si>
    <t>how to control pests and diseases</t>
  </si>
  <si>
    <t>aljay</t>
  </si>
  <si>
    <t>dec, 2022</t>
  </si>
  <si>
    <t>what kind and type of chemicals to be used to control pests and diseases</t>
  </si>
  <si>
    <t>promote of new variety of seeds</t>
  </si>
  <si>
    <t>east west</t>
  </si>
  <si>
    <t>jun, 2021</t>
  </si>
  <si>
    <t>proper use of chemicals</t>
  </si>
  <si>
    <t>spray chemicals only if there is an attack of pests</t>
  </si>
  <si>
    <t>Pesticide</t>
  </si>
  <si>
    <t>agwi</t>
  </si>
  <si>
    <t>ang paggamit sa pesticide ug fungucide</t>
  </si>
  <si>
    <t>land preparation</t>
  </si>
  <si>
    <t>st. jude</t>
  </si>
  <si>
    <t>oct, 2022</t>
  </si>
  <si>
    <t>proper chemical application and proper organic application</t>
  </si>
  <si>
    <t>repetitive use of the same variety of chemicals, pests will be immune to that chemical</t>
  </si>
  <si>
    <t>training on pesticides</t>
  </si>
  <si>
    <t>sygenta/ agway chemical company</t>
  </si>
  <si>
    <t>New plant chemicals</t>
  </si>
  <si>
    <t>Vegetable Production Technologies Learned</t>
  </si>
  <si>
    <t>Source of Information in Technologies Learned</t>
  </si>
  <si>
    <t>Source of Information in Technologies Learned/LGU/CAO</t>
  </si>
  <si>
    <t>Source of Information in Technologies Learned/Academe</t>
  </si>
  <si>
    <t>Source of Information in Technologies Learned/ATI</t>
  </si>
  <si>
    <t>Source of Information in Technologies Learned/D.A</t>
  </si>
  <si>
    <t>Source of Information in Technologies Learned/DENR</t>
  </si>
  <si>
    <t>Source of Information in Technologies Learned/PCIC</t>
  </si>
  <si>
    <t>Source of Information in Technologies Learned/NGO/INGO</t>
  </si>
  <si>
    <t>Source of Information in Technologies Learned/Agri Input Providers</t>
  </si>
  <si>
    <t>Source of Information in Technologies Learned/Seeds companies</t>
  </si>
  <si>
    <t>Source of Information in Technologies Learned/Chemical companies</t>
  </si>
  <si>
    <t>Source of Information in Technologies Learned/Fertilizer companies</t>
  </si>
  <si>
    <t>Source of Information in Technologies Learned/Farmer Association</t>
  </si>
  <si>
    <t>Source of Information in Technologies Learned/Women Organization</t>
  </si>
  <si>
    <t>Source of Information in Technologies Learned/Cooperatives</t>
  </si>
  <si>
    <t>Source of Information in Technologies Learned/Financier/Microfinance</t>
  </si>
  <si>
    <t>Source of Information in Technologies Learned/Family members</t>
  </si>
  <si>
    <t>Source of Information in Technologies Learned/Relatives</t>
  </si>
  <si>
    <t>Source of Information in Technologies Learned/Neighbors/Friends</t>
  </si>
  <si>
    <t>Source of Information in Technologies Learned/Radio</t>
  </si>
  <si>
    <t>Source of Information in Technologies Learned/T.V.</t>
  </si>
  <si>
    <t>Source of Information in Technologies Learned/Internet</t>
  </si>
  <si>
    <t>Source of Information in Technologies Learned/Manual/Flyers/Brochures</t>
  </si>
  <si>
    <t>Source of Information in Technologies Learned/Others</t>
  </si>
  <si>
    <t>If LGU/CAO, please specify</t>
  </si>
  <si>
    <t>If Academe, please specify</t>
  </si>
  <si>
    <t>If Agri-input providers, please specify</t>
  </si>
  <si>
    <t>If Others, please specify</t>
  </si>
  <si>
    <t>How did you learn about the technique/program?</t>
  </si>
  <si>
    <t>How did you learn about the technique/program?/Demonstration Farm</t>
  </si>
  <si>
    <t>How did you learn about the technique/program?/Seminar/Training/Workshop</t>
  </si>
  <si>
    <t>How did you learn about the technique/program?/Farm Meetings</t>
  </si>
  <si>
    <t>How did you learn about the technique/program?/Farm Visits</t>
  </si>
  <si>
    <t>How did you learn about the technique/program?/Attendance in trade fairs</t>
  </si>
  <si>
    <t>How did you learn about the technique/program?/Farmers Field School</t>
  </si>
  <si>
    <t>How did you learn about the technique/program?/Farmers Field Day</t>
  </si>
  <si>
    <t>How did you learn about the technique/program?/Others</t>
  </si>
  <si>
    <t>What did you do after learning/hearing about these technique/technologies</t>
  </si>
  <si>
    <t>What did you do after learning/hearing about these technique/technologies/Seek more information</t>
  </si>
  <si>
    <t>What did you do after learning/hearing about these technique/technologies/Attend seminars/training</t>
  </si>
  <si>
    <t>What did you do after learning/hearing about these technique/technologies/Adopt/Apply knowledge/technology</t>
  </si>
  <si>
    <t>What did you do after learning/hearing about these technique/technologies/Ignore the technology/did not apply the said technique</t>
  </si>
  <si>
    <t>Reason, why you seek more information</t>
  </si>
  <si>
    <t>Reason why you attend seminars/training</t>
  </si>
  <si>
    <t>Reason why did you adopt/apply knowledge/technology</t>
  </si>
  <si>
    <t>If Ignored, why?</t>
  </si>
  <si>
    <t>NGO/INGO Academe Farmer Association</t>
  </si>
  <si>
    <t>vsu/aciar</t>
  </si>
  <si>
    <t>Demonstration Farm Farm Meetings</t>
  </si>
  <si>
    <t>Ignore the technology/did not apply the said technique</t>
  </si>
  <si>
    <t>mist blower</t>
  </si>
  <si>
    <t>Academe NGO/INGO</t>
  </si>
  <si>
    <t>Adopt/Apply knowledge/technology</t>
  </si>
  <si>
    <t>because i can afford the technology and it makes my job easier</t>
  </si>
  <si>
    <t>drip irrigation (fertilizer mgmt)</t>
  </si>
  <si>
    <t>grafting</t>
  </si>
  <si>
    <t>i have adopted tech when planting specific crops</t>
  </si>
  <si>
    <t>tractor</t>
  </si>
  <si>
    <t>Seminar/Training/Workshop</t>
  </si>
  <si>
    <t>in order for the work to finish early</t>
  </si>
  <si>
    <t>how to do plotting in the farm</t>
  </si>
  <si>
    <t>Neighbors/Friends</t>
  </si>
  <si>
    <t>Farm Visits</t>
  </si>
  <si>
    <t>to test if effective</t>
  </si>
  <si>
    <t xml:space="preserve">by using a hybrid seeds </t>
  </si>
  <si>
    <t>D.A</t>
  </si>
  <si>
    <t>to test if effective than recycled seeds</t>
  </si>
  <si>
    <t>how to use pesticides accurately</t>
  </si>
  <si>
    <t>Agri Input Providers Chemical companies</t>
  </si>
  <si>
    <t>know how to establish a low tunnel in the farm</t>
  </si>
  <si>
    <t>to test if effective and to see if it yield more than the usual in farming</t>
  </si>
  <si>
    <t>how to do a contour in farm</t>
  </si>
  <si>
    <t>ILO, PAO</t>
  </si>
  <si>
    <t>Demonstration Farm</t>
  </si>
  <si>
    <t>to see if effective and good for the soil</t>
  </si>
  <si>
    <t>how to make the soil fertile by using madri-cacao</t>
  </si>
  <si>
    <t>to keep the soil fertile</t>
  </si>
  <si>
    <t>how to plant the crop</t>
  </si>
  <si>
    <t>Agri Input Providers Seeds companies</t>
  </si>
  <si>
    <t>know how to use pesticides by combining each to apply for the crop</t>
  </si>
  <si>
    <t>Chemical companies</t>
  </si>
  <si>
    <t>how to do grafting</t>
  </si>
  <si>
    <t>vsu</t>
  </si>
  <si>
    <t>Seminar/Training/Workshop Demonstration Farm</t>
  </si>
  <si>
    <t>how to use pesticides</t>
  </si>
  <si>
    <t>Demonstration Farm Seminar/Training/Workshop</t>
  </si>
  <si>
    <t>what is the right thing to do in planting and what pesticides should apply to the crop.</t>
  </si>
  <si>
    <t>hand tractor</t>
  </si>
  <si>
    <t>Attend seminars/training</t>
  </si>
  <si>
    <t>for future purposes and go to abroad</t>
  </si>
  <si>
    <t>using of seedling tray</t>
  </si>
  <si>
    <t>easier and faster work and it's much more effective</t>
  </si>
  <si>
    <t>sprayer (chargable)</t>
  </si>
  <si>
    <t>i just see it from neighbors</t>
  </si>
  <si>
    <t>for easier and faster work</t>
  </si>
  <si>
    <t>word of mouth</t>
  </si>
  <si>
    <t>makes the work easier and faster</t>
  </si>
  <si>
    <t>it will be use in fertilizer and pesticide application</t>
  </si>
  <si>
    <t>Seek more information</t>
  </si>
  <si>
    <t>for future purposea since hand tractor is expensive as of right now</t>
  </si>
  <si>
    <t>how to use of seedling tray</t>
  </si>
  <si>
    <t>easier and faster</t>
  </si>
  <si>
    <t>due to health conscious</t>
  </si>
  <si>
    <t>nabatian sa silingan</t>
  </si>
  <si>
    <t>aron mahibaloan nako kong maayo ba oh dili</t>
  </si>
  <si>
    <t>correct use of chemicals</t>
  </si>
  <si>
    <t>storya sa silingan nga nakapil ug training</t>
  </si>
  <si>
    <t>Non-assurance of benefits</t>
  </si>
  <si>
    <t>use of seedling tray</t>
  </si>
  <si>
    <t>LGU/CAO</t>
  </si>
  <si>
    <t>to prove if feasible and learn new technique in farming</t>
  </si>
  <si>
    <t>how to improve planting</t>
  </si>
  <si>
    <t>Agri Input Providers</t>
  </si>
  <si>
    <t>technician (east-west seeds)</t>
  </si>
  <si>
    <t>Internet</t>
  </si>
  <si>
    <t>internet</t>
  </si>
  <si>
    <t>tunnel (protective structures)</t>
  </si>
  <si>
    <t>makit.an lang sa silingan</t>
  </si>
  <si>
    <t>use of chemicals to control insects and plant diseases</t>
  </si>
  <si>
    <t>Chemical companies Family members Relatives Neighbors/Friends</t>
  </si>
  <si>
    <t>Direct dialogue with the chemical technicians/ sales represntative</t>
  </si>
  <si>
    <t>to test its effectivitity</t>
  </si>
  <si>
    <t>use of protective structure</t>
  </si>
  <si>
    <t>observation</t>
  </si>
  <si>
    <t>Technology is too expensive</t>
  </si>
  <si>
    <t>No budget</t>
  </si>
  <si>
    <t>Lack of investment for materials used</t>
  </si>
  <si>
    <t>No access to inputs/materials used</t>
  </si>
  <si>
    <t>Not suitable to my farm area</t>
  </si>
  <si>
    <t>veg. tradig</t>
  </si>
  <si>
    <t>delivery service</t>
  </si>
  <si>
    <t>laundry women</t>
  </si>
  <si>
    <t xml:space="preserve">sari-saro store </t>
  </si>
  <si>
    <t>rarely</t>
  </si>
  <si>
    <t>Good Agricultural Practices</t>
  </si>
  <si>
    <t>food safety</t>
  </si>
  <si>
    <t>Category</t>
  </si>
  <si>
    <t>Category (Variable Name)</t>
  </si>
  <si>
    <t>Scientific Justification (Literature Reference)</t>
  </si>
  <si>
    <t>Integrated Pest Management (IPM)</t>
  </si>
  <si>
    <t>Sustainable Soil &amp; Land Management</t>
  </si>
  <si>
    <t>Agrochemical Safety &amp; Stewardship</t>
  </si>
  <si>
    <t>Post-Harvest &amp; Agribusiness</t>
  </si>
  <si>
    <t>Agronomic Fundamentals</t>
  </si>
  <si>
    <t xml:space="preserve">know the exact levels and amount of pesticides and fertilizer to be used </t>
  </si>
  <si>
    <t>Organic Fertilizer and Pesticide Application</t>
  </si>
  <si>
    <t>know how to apply  pesticides to the crop</t>
  </si>
  <si>
    <t>leaned the right fertilizer and pesticides to be used for specific pest and diseases</t>
  </si>
  <si>
    <t>learned proper production practices</t>
  </si>
  <si>
    <t>how to apply the pesticides properly on crops</t>
  </si>
  <si>
    <t>how to properly apply  pesticides on crops</t>
  </si>
  <si>
    <t>what type of pesticide should we apply for the crops and how to properly apply it</t>
  </si>
  <si>
    <t xml:space="preserve">how to properly apply  pesticides on crops </t>
  </si>
  <si>
    <t>what's the best crop to plant and the best way to do and what kind of pesticide to use for the crop</t>
  </si>
  <si>
    <t>what kind of pesticide to use and how to do planting</t>
  </si>
  <si>
    <t xml:space="preserve">what kind ofpesticide to be used and the right amount of  dosage </t>
  </si>
  <si>
    <t>how to distinguish good and bad variety crops</t>
  </si>
  <si>
    <t>learned the different type of pesticides to apply for specific pests and diseases</t>
  </si>
  <si>
    <t>learned the proper application and dosage of pesticides and fertilizers</t>
  </si>
  <si>
    <t xml:space="preserve">proper pests and disease mgmt, </t>
  </si>
  <si>
    <t>learned the right fertilizer and pesticides to be used for specific pest and diseases</t>
  </si>
  <si>
    <t>Soil &amp; Nutrient Management</t>
  </si>
  <si>
    <t>Sustainable Cultural Practices</t>
  </si>
  <si>
    <t>Food Safety &amp; Post-Harvest</t>
  </si>
  <si>
    <t>Market Literacy</t>
  </si>
  <si>
    <t>Scientific Categorization of Technology Adoption Variables</t>
  </si>
  <si>
    <t>Specific Responses from Data</t>
  </si>
  <si>
    <r>
      <t xml:space="preserve">Focuses on </t>
    </r>
    <r>
      <rPr>
        <b/>
        <sz val="11"/>
        <color theme="1"/>
        <rFont val="Arial"/>
        <family val="2"/>
      </rPr>
      <t>Targeted Intervention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Biological Logic</t>
    </r>
    <r>
      <rPr>
        <sz val="11"/>
        <color theme="1"/>
        <rFont val="Arial"/>
        <family val="2"/>
      </rPr>
      <t>. Moves away from calendar-based spraying (Waage, 1998; FAO).</t>
    </r>
  </si>
  <si>
    <t>Proper pests and disease mgmt; apply the right pesticide for specific pests; what kind of pesticide/insecticide to use for different insect/pest; spray chemicals only if there is an attack; repetitive use/chemical immunity awareness.</t>
  </si>
  <si>
    <r>
      <t xml:space="preserve">Concerns </t>
    </r>
    <r>
      <rPr>
        <b/>
        <sz val="11"/>
        <color theme="1"/>
        <rFont val="Arial"/>
        <family val="2"/>
      </rPr>
      <t>Hazard Mitigation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Dosage Precision</t>
    </r>
    <r>
      <rPr>
        <sz val="11"/>
        <color theme="1"/>
        <rFont val="Arial"/>
        <family val="2"/>
      </rPr>
      <t>. Aligns with Good Agricultural Practices (GAP) Pillar 4.</t>
    </r>
  </si>
  <si>
    <t>How to use properly the medicine (pesticides); what kind of medicine to use; how much dosage should it use; safety (use of semi-pesticides); learn the proper application and dosage of pesticides and fertilizers.</t>
  </si>
  <si>
    <r>
      <t xml:space="preserve">Includes </t>
    </r>
    <r>
      <rPr>
        <b/>
        <sz val="11"/>
        <color theme="1"/>
        <rFont val="Arial"/>
        <family val="2"/>
      </rPr>
      <t>Erosion Control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Input Substitution</t>
    </r>
    <r>
      <rPr>
        <sz val="11"/>
        <color theme="1"/>
        <rFont val="Arial"/>
        <family val="2"/>
      </rPr>
      <t xml:space="preserve"> (Rogers, 2003; Pretty, 2008).</t>
    </r>
  </si>
  <si>
    <t>Know how to contour in the farm; cross sloping; learn how to make organic fertilizer; lessen usage of inorganic fertilizer; know how to make organic fertilizer and how to apply it.</t>
  </si>
  <si>
    <r>
      <t xml:space="preserve">Focuses on </t>
    </r>
    <r>
      <rPr>
        <b/>
        <sz val="11"/>
        <color theme="1"/>
        <rFont val="Arial"/>
        <family val="2"/>
      </rPr>
      <t>Optimization of Cultural Practices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Varietal Selection</t>
    </r>
    <r>
      <rPr>
        <sz val="11"/>
        <color theme="1"/>
        <rFont val="Arial"/>
        <family val="2"/>
      </rPr>
      <t xml:space="preserve"> (Technology Acceptance Model: Perceived Usefulness).</t>
    </r>
  </si>
  <si>
    <t>How to do a proper planting; what's the best crop to plant; distinguish good and bad variety crops; learn how to do farming in a right way; crop rotation; do not use dirty water.</t>
  </si>
  <si>
    <r>
      <t xml:space="preserve">Covers </t>
    </r>
    <r>
      <rPr>
        <b/>
        <sz val="11"/>
        <color theme="1"/>
        <rFont val="Arial"/>
        <family val="2"/>
      </rPr>
      <t>Value Addition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Market Orientation</t>
    </r>
    <r>
      <rPr>
        <sz val="11"/>
        <color theme="1"/>
        <rFont val="Arial"/>
        <family val="2"/>
      </rPr>
      <t xml:space="preserve"> (Boufous et al., 2023).</t>
    </r>
  </si>
  <si>
    <t>Learn how to make a fruit jam; processing of vegetables to a product; how to process a vegetable into a product; know how to sell vegetables on the market.</t>
  </si>
  <si>
    <r>
      <t xml:space="preserve">These categories reflect modern </t>
    </r>
    <r>
      <rPr>
        <b/>
        <sz val="11"/>
        <color theme="1"/>
        <rFont val="Calibri"/>
        <family val="2"/>
        <scheme val="minor"/>
      </rPr>
      <t>Integrated Crop Management (ICM)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Climate-Smart Agriculture (CSA)</t>
    </r>
    <r>
      <rPr>
        <sz val="11"/>
        <color theme="1"/>
        <rFont val="Calibri"/>
        <family val="2"/>
        <scheme val="minor"/>
      </rPr>
      <t xml:space="preserve"> frameworks.</t>
    </r>
  </si>
  <si>
    <t>1. Protected Cultivation &amp; Infrastructure</t>
  </si>
  <si>
    <t>These technologies focus on modifying the microclimate to protect crops from abiotic stress (weather) and biotic stress (pests).</t>
  </si>
  <si>
    <r>
      <t>Protective Structures / Tunneling:</t>
    </r>
    <r>
      <rPr>
        <sz val="11"/>
        <color theme="1"/>
        <rFont val="Calibri"/>
        <family val="2"/>
        <scheme val="minor"/>
      </rPr>
      <t xml:space="preserve"> Establish a low tunnel, "mag atop sa uma" (tunneling), and general protective structures.</t>
    </r>
  </si>
  <si>
    <r>
      <t>Seedling Management:</t>
    </r>
    <r>
      <rPr>
        <sz val="11"/>
        <color theme="1"/>
        <rFont val="Calibri"/>
        <family val="2"/>
        <scheme val="minor"/>
      </rPr>
      <t xml:space="preserve"> Use of seedling trays (nursery management for better vigor).</t>
    </r>
  </si>
  <si>
    <t>2. Mechanization &amp; Engineering</t>
  </si>
  <si>
    <t>This category covers the transition from manual labor to machine-assisted efficiency, focusing on soil preparation and application.</t>
  </si>
  <si>
    <r>
      <t>Land Preparation:</t>
    </r>
    <r>
      <rPr>
        <sz val="11"/>
        <color theme="1"/>
        <rFont val="Calibri"/>
        <family val="2"/>
        <scheme val="minor"/>
      </rPr>
      <t xml:space="preserve"> Tractor, hand tractor, and "tractor that can directly plant."</t>
    </r>
  </si>
  <si>
    <r>
      <t>Application Tools:</t>
    </r>
    <r>
      <rPr>
        <sz val="11"/>
        <color theme="1"/>
        <rFont val="Calibri"/>
        <family val="2"/>
        <scheme val="minor"/>
      </rPr>
      <t xml:space="preserve"> Mist blower, sprayer (chargeable).</t>
    </r>
  </si>
  <si>
    <r>
      <t>Precision Layout:</t>
    </r>
    <r>
      <rPr>
        <sz val="11"/>
        <color theme="1"/>
        <rFont val="Calibri"/>
        <family val="2"/>
        <scheme val="minor"/>
      </rPr>
      <t xml:space="preserve"> How to do plotting in the farm; how to do a contour (erosion control).</t>
    </r>
  </si>
  <si>
    <t>3. Resource Management (Water &amp; Nutrients)</t>
  </si>
  <si>
    <r>
      <t xml:space="preserve">Scientific journals often categorize these under </t>
    </r>
    <r>
      <rPr>
        <b/>
        <sz val="11"/>
        <color theme="1"/>
        <rFont val="Calibri"/>
        <family val="2"/>
        <scheme val="minor"/>
      </rPr>
      <t>Fertigation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Soil Science</t>
    </r>
    <r>
      <rPr>
        <sz val="11"/>
        <color theme="1"/>
        <rFont val="Calibri"/>
        <family val="2"/>
        <scheme val="minor"/>
      </rPr>
      <t>.</t>
    </r>
  </si>
  <si>
    <r>
      <t>Irrigation:</t>
    </r>
    <r>
      <rPr>
        <sz val="11"/>
        <color theme="1"/>
        <rFont val="Calibri"/>
        <family val="2"/>
        <scheme val="minor"/>
      </rPr>
      <t xml:space="preserve"> Drip irrigation systems.</t>
    </r>
  </si>
  <si>
    <r>
      <t>Soil Fertility:</t>
    </r>
    <r>
      <rPr>
        <sz val="11"/>
        <color theme="1"/>
        <rFont val="Calibri"/>
        <family val="2"/>
        <scheme val="minor"/>
      </rPr>
      <t xml:space="preserve"> Fertilizer management, making organic fertilizer, and using </t>
    </r>
    <r>
      <rPr>
        <i/>
        <sz val="11"/>
        <color theme="1"/>
        <rFont val="Calibri"/>
        <family val="2"/>
        <scheme val="minor"/>
      </rPr>
      <t>Gliricidia sepium</t>
    </r>
    <r>
      <rPr>
        <sz val="11"/>
        <color theme="1"/>
        <rFont val="Calibri"/>
        <family val="2"/>
        <scheme val="minor"/>
      </rPr>
      <t xml:space="preserve"> (Madre de Cacao) as green manure/fertilizer.</t>
    </r>
  </si>
  <si>
    <r>
      <t>Bio-Inputs:</t>
    </r>
    <r>
      <rPr>
        <sz val="11"/>
        <color theme="1"/>
        <rFont val="Calibri"/>
        <family val="2"/>
        <scheme val="minor"/>
      </rPr>
      <t xml:space="preserve"> Bio-organic applications.</t>
    </r>
  </si>
  <si>
    <t>4. Crop Improvement &amp; Phytosanitary Practices</t>
  </si>
  <si>
    <t>These involve the biological manipulation of plants and the chemical/biological protection of their health.</t>
  </si>
  <si>
    <r>
      <t>Propagation:</t>
    </r>
    <r>
      <rPr>
        <sz val="11"/>
        <color theme="1"/>
        <rFont val="Calibri"/>
        <family val="2"/>
        <scheme val="minor"/>
      </rPr>
      <t xml:space="preserve"> Grafting (widely used in vegetables like eggplant/tomato to resist soil-borne diseases).</t>
    </r>
  </si>
  <si>
    <r>
      <t>Genetics:</t>
    </r>
    <r>
      <rPr>
        <sz val="11"/>
        <color theme="1"/>
        <rFont val="Calibri"/>
        <family val="2"/>
        <scheme val="minor"/>
      </rPr>
      <t xml:space="preserve"> Use of hybrid seeds.</t>
    </r>
  </si>
  <si>
    <r>
      <t>Integrated Pest Management (IPM):</t>
    </r>
    <r>
      <rPr>
        <sz val="11"/>
        <color theme="1"/>
        <rFont val="Calibri"/>
        <family val="2"/>
        <scheme val="minor"/>
      </rPr>
      <t xml:space="preserve"> Accurate use of pesticides, combining pesticides, and "correct use of chemicals" to control insects and diseases.</t>
    </r>
  </si>
  <si>
    <t>5. Agronomic Fundamentals</t>
  </si>
  <si>
    <t>These are the core cultural practices that dictate plant population and field success.</t>
  </si>
  <si>
    <r>
      <t>Planting Geometry:</t>
    </r>
    <r>
      <rPr>
        <sz val="11"/>
        <color theme="1"/>
        <rFont val="Calibri"/>
        <family val="2"/>
        <scheme val="minor"/>
      </rPr>
      <t xml:space="preserve"> Proper distance of plants (spacing for optimal growth).</t>
    </r>
  </si>
  <si>
    <r>
      <t>General Husbandry:</t>
    </r>
    <r>
      <rPr>
        <sz val="11"/>
        <color theme="1"/>
        <rFont val="Calibri"/>
        <family val="2"/>
        <scheme val="minor"/>
      </rPr>
      <t xml:space="preserve"> How to plant the crop; how to improve planting techniques.</t>
    </r>
  </si>
  <si>
    <t>Protected Horticulture</t>
  </si>
  <si>
    <t>Farm Mechanization</t>
  </si>
  <si>
    <t>Soil &amp; Water Mgmt</t>
  </si>
  <si>
    <t>Crop Protection</t>
  </si>
  <si>
    <t>Plant Breeding/Prop</t>
  </si>
  <si>
    <t>protective structures</t>
  </si>
  <si>
    <t>Green Manuring</t>
  </si>
  <si>
    <t>the use of tunnels</t>
  </si>
  <si>
    <t>Proper plant distancing</t>
  </si>
  <si>
    <t>tractor that can directly plant</t>
  </si>
  <si>
    <t>objective</t>
  </si>
  <si>
    <t>variables</t>
  </si>
  <si>
    <t>dependent variable</t>
  </si>
  <si>
    <t>notes</t>
  </si>
  <si>
    <t>independent variable</t>
  </si>
  <si>
    <t>Practices: If I missed basal application, it is okay to use side- dressing instead. </t>
  </si>
  <si>
    <t>Attitude: It is a waste of time to study new techniques in farming.</t>
  </si>
  <si>
    <r>
      <rPr>
        <b/>
        <sz val="11"/>
        <color theme="1"/>
        <rFont val="Calibri"/>
        <family val="2"/>
        <scheme val="minor"/>
      </rPr>
      <t xml:space="preserve">Attitude: </t>
    </r>
    <r>
      <rPr>
        <sz val="11"/>
        <color theme="1"/>
        <rFont val="Calibri"/>
        <family val="2"/>
        <scheme val="minor"/>
      </rPr>
      <t>It is a waste of time to study new techniques in farming.</t>
    </r>
  </si>
  <si>
    <t>Perception: Below are statements about your farming practices. Please click to the column which corresponds to the phrase best describes your opinion.</t>
  </si>
  <si>
    <t>Knowedge: Below are statements about your farming practices. Please click to the column which corresponds to the phrase best describes your opinion.</t>
  </si>
  <si>
    <t>barrier</t>
  </si>
  <si>
    <t>barriers</t>
  </si>
  <si>
    <t>1, 4</t>
  </si>
  <si>
    <t>id</t>
  </si>
  <si>
    <t>mode of learning</t>
  </si>
  <si>
    <t>Category 1</t>
  </si>
  <si>
    <t>Category 2</t>
  </si>
  <si>
    <t>name</t>
  </si>
  <si>
    <t>contact</t>
  </si>
  <si>
    <t>sex</t>
  </si>
  <si>
    <t>age</t>
  </si>
  <si>
    <t>religion</t>
  </si>
  <si>
    <t>ethnicity</t>
  </si>
  <si>
    <t>status</t>
  </si>
  <si>
    <t>civil status</t>
  </si>
  <si>
    <t>educ attainment</t>
  </si>
  <si>
    <t>hh head</t>
  </si>
  <si>
    <t>question</t>
  </si>
  <si>
    <t>variable</t>
  </si>
  <si>
    <t>percep1</t>
  </si>
  <si>
    <t>percep2</t>
  </si>
  <si>
    <t>percep3</t>
  </si>
  <si>
    <t>percep4</t>
  </si>
  <si>
    <t>percep5</t>
  </si>
  <si>
    <t>percep6</t>
  </si>
  <si>
    <t>percep7</t>
  </si>
  <si>
    <t>percep8</t>
  </si>
  <si>
    <t>percep9</t>
  </si>
  <si>
    <t>percep10</t>
  </si>
  <si>
    <t>percep11</t>
  </si>
  <si>
    <t>know1</t>
  </si>
  <si>
    <t>know2</t>
  </si>
  <si>
    <t>know3</t>
  </si>
  <si>
    <t>know4</t>
  </si>
  <si>
    <t>know5</t>
  </si>
  <si>
    <t>know6</t>
  </si>
  <si>
    <t>know7</t>
  </si>
  <si>
    <t>know8</t>
  </si>
  <si>
    <t>know9</t>
  </si>
  <si>
    <t>know10</t>
  </si>
  <si>
    <t>know11</t>
  </si>
  <si>
    <t>know12</t>
  </si>
  <si>
    <t>know13</t>
  </si>
  <si>
    <t>know14</t>
  </si>
  <si>
    <t>practice1</t>
  </si>
  <si>
    <t>attitude1</t>
  </si>
  <si>
    <t>practice2</t>
  </si>
  <si>
    <t>practice3</t>
  </si>
  <si>
    <t>practice4</t>
  </si>
  <si>
    <t>practice5</t>
  </si>
  <si>
    <t>practice6</t>
  </si>
  <si>
    <t>practice7</t>
  </si>
  <si>
    <t>practice8</t>
  </si>
  <si>
    <t>practice9</t>
  </si>
  <si>
    <t>practice10</t>
  </si>
  <si>
    <t>practice11</t>
  </si>
  <si>
    <t>practice12</t>
  </si>
  <si>
    <t>practice13</t>
  </si>
  <si>
    <t>practice14</t>
  </si>
  <si>
    <t>practice15</t>
  </si>
  <si>
    <t>practice16</t>
  </si>
  <si>
    <t>attitude2</t>
  </si>
  <si>
    <t>attitude3</t>
  </si>
  <si>
    <t>attitude4</t>
  </si>
  <si>
    <t>attitude5</t>
  </si>
  <si>
    <t>attitude6</t>
  </si>
  <si>
    <t>attitude7</t>
  </si>
  <si>
    <t>attitude8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</si>
</sst>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43" fontId="0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2" fillId="2" borderId="0" xfId="0" applyFont="1" applyFill="1"/>
    <xf numFmtId="0" fontId="2" fillId="6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1" xfId="0" applyFont="1" applyBorder="1"/>
    <xf numFmtId="43" fontId="0" fillId="3" borderId="1" xfId="1" applyFont="1" applyFill="1" applyBorder="1"/>
    <xf numFmtId="43" fontId="0" fillId="4" borderId="1" xfId="1" applyFont="1" applyFill="1" applyBorder="1"/>
    <xf numFmtId="0" fontId="0" fillId="5" borderId="1" xfId="0" applyFill="1" applyBorder="1"/>
    <xf numFmtId="43" fontId="0" fillId="6" borderId="1" xfId="1" applyFont="1" applyFill="1" applyBorder="1"/>
    <xf numFmtId="0" fontId="0" fillId="7" borderId="1" xfId="0" applyFill="1" applyBorder="1"/>
    <xf numFmtId="43" fontId="0" fillId="5" borderId="1" xfId="1" applyFont="1" applyFill="1" applyBorder="1"/>
    <xf numFmtId="43" fontId="0" fillId="7" borderId="1" xfId="1" applyFont="1" applyFill="1" applyBorder="1"/>
    <xf numFmtId="164" fontId="0" fillId="0" borderId="0" xfId="0" applyNumberFormat="1"/>
    <xf numFmtId="0" fontId="6" fillId="0" borderId="0" xfId="0" applyFont="1" applyAlignment="1">
      <alignment vertical="center"/>
    </xf>
    <xf numFmtId="0" fontId="2" fillId="8" borderId="0" xfId="0" applyFont="1" applyFill="1"/>
    <xf numFmtId="0" fontId="2" fillId="9" borderId="0" xfId="0" applyFont="1" applyFill="1" applyAlignment="1">
      <alignment horizontal="center"/>
    </xf>
    <xf numFmtId="0" fontId="0" fillId="9" borderId="0" xfId="0" applyFill="1"/>
    <xf numFmtId="0" fontId="0" fillId="8" borderId="0" xfId="0" applyFill="1"/>
    <xf numFmtId="0" fontId="5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10" borderId="0" xfId="0" applyFont="1" applyFill="1"/>
    <xf numFmtId="0" fontId="0" fillId="10" borderId="0" xfId="0" applyFill="1"/>
    <xf numFmtId="0" fontId="2" fillId="11" borderId="0" xfId="0" applyFont="1" applyFill="1"/>
    <xf numFmtId="0" fontId="0" fillId="11" borderId="0" xfId="0" applyFill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0" fillId="0" borderId="0" xfId="1" applyFont="1" applyAlignment="1">
      <alignment horizontal="left"/>
    </xf>
    <xf numFmtId="0" fontId="2" fillId="9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50</xdr:row>
      <xdr:rowOff>47625</xdr:rowOff>
    </xdr:from>
    <xdr:to>
      <xdr:col>8</xdr:col>
      <xdr:colOff>47625</xdr:colOff>
      <xdr:row>62</xdr:row>
      <xdr:rowOff>41521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A6B191-4B45-4A15-A5EC-B71E1E871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763125"/>
          <a:ext cx="4829175" cy="2279896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50</xdr:row>
      <xdr:rowOff>133350</xdr:rowOff>
    </xdr:from>
    <xdr:to>
      <xdr:col>16</xdr:col>
      <xdr:colOff>156127</xdr:colOff>
      <xdr:row>61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4B9D39-2136-40A6-B5AF-0067ED78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9848850"/>
          <a:ext cx="4690027" cy="207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928F-66CA-49ED-89F7-7483EA8048DB}">
  <dimension ref="A1:OJ106"/>
  <sheetViews>
    <sheetView zoomScale="86" zoomScaleNormal="86" workbookViewId="0">
      <pane xSplit="2" ySplit="1" topLeftCell="NM2" activePane="bottomRight" state="frozen"/>
      <selection pane="topRight" activeCell="C1" sqref="C1"/>
      <selection pane="bottomLeft" activeCell="A2" sqref="A2"/>
      <selection pane="bottomRight" sqref="A1:OJ1"/>
    </sheetView>
  </sheetViews>
  <sheetFormatPr defaultRowHeight="15" x14ac:dyDescent="0.25"/>
  <cols>
    <col min="2" max="2" width="52.28515625" customWidth="1"/>
    <col min="3" max="3" width="10.28515625" customWidth="1"/>
    <col min="4" max="4" width="6.85546875" customWidth="1"/>
    <col min="5" max="5" width="4.85546875" customWidth="1"/>
    <col min="6" max="6" width="8" customWidth="1"/>
    <col min="7" max="7" width="10.42578125" customWidth="1"/>
    <col min="8" max="8" width="8.28515625" customWidth="1"/>
    <col min="9" max="9" width="16.5703125" customWidth="1"/>
    <col min="10" max="10" width="16.85546875" customWidth="1"/>
    <col min="11" max="11" width="6.28515625" customWidth="1"/>
    <col min="12" max="12" width="7.5703125" customWidth="1"/>
    <col min="13" max="13" width="10.140625" customWidth="1"/>
    <col min="14" max="14" width="8.85546875" customWidth="1"/>
    <col min="15" max="15" width="5.5703125" customWidth="1"/>
    <col min="16" max="16" width="15" style="5" customWidth="1"/>
    <col min="17" max="17" width="13.28515625" customWidth="1"/>
    <col min="18" max="18" width="11.7109375" customWidth="1"/>
    <col min="19" max="19" width="13.28515625" customWidth="1"/>
    <col min="20" max="20" width="10.140625" customWidth="1"/>
    <col min="21" max="21" width="12" style="5" customWidth="1"/>
    <col min="22" max="22" width="14.7109375" customWidth="1"/>
    <col min="23" max="23" width="11.7109375" customWidth="1"/>
    <col min="24" max="24" width="27.5703125" customWidth="1"/>
    <col min="25" max="26" width="16.85546875" customWidth="1"/>
    <col min="27" max="27" width="8.85546875" customWidth="1"/>
    <col min="28" max="28" width="8.28515625" customWidth="1"/>
    <col min="29" max="29" width="6" customWidth="1"/>
    <col min="30" max="30" width="7.7109375" customWidth="1"/>
    <col min="31" max="31" width="7" customWidth="1"/>
    <col min="32" max="32" width="7.140625" customWidth="1"/>
    <col min="33" max="33" width="7.28515625" customWidth="1"/>
    <col min="34" max="34" width="7" customWidth="1"/>
    <col min="35" max="35" width="8.140625" customWidth="1"/>
    <col min="36" max="36" width="6.5703125" customWidth="1"/>
    <col min="37" max="37" width="7.5703125" customWidth="1"/>
    <col min="38" max="38" width="7.7109375" customWidth="1"/>
    <col min="39" max="39" width="7.85546875" customWidth="1"/>
    <col min="40" max="40" width="6.28515625" customWidth="1"/>
    <col min="41" max="41" width="9" customWidth="1"/>
    <col min="42" max="42" width="7.85546875" customWidth="1"/>
    <col min="43" max="49" width="16.85546875" customWidth="1"/>
    <col min="50" max="50" width="9.5703125" customWidth="1"/>
    <col min="51" max="51" width="8.5703125" customWidth="1"/>
    <col min="52" max="52" width="16.28515625" customWidth="1"/>
    <col min="53" max="56" width="16.85546875" customWidth="1"/>
    <col min="57" max="57" width="10.85546875" customWidth="1"/>
    <col min="58" max="58" width="9.140625" customWidth="1"/>
    <col min="59" max="59" width="16.85546875" customWidth="1"/>
    <col min="60" max="60" width="8.42578125" customWidth="1"/>
    <col min="61" max="61" width="7.140625" customWidth="1"/>
    <col min="62" max="62" width="6.42578125" customWidth="1"/>
    <col min="63" max="63" width="8.7109375" customWidth="1"/>
    <col min="64" max="64" width="6.7109375" customWidth="1"/>
    <col min="65" max="65" width="7" customWidth="1"/>
    <col min="66" max="66" width="6.42578125" customWidth="1"/>
    <col min="67" max="67" width="9.7109375" customWidth="1"/>
    <col min="68" max="68" width="9.5703125" customWidth="1"/>
    <col min="69" max="69" width="6.5703125" customWidth="1"/>
    <col min="70" max="70" width="7.42578125" customWidth="1"/>
    <col min="71" max="71" width="15.5703125" customWidth="1"/>
    <col min="72" max="72" width="6.85546875" customWidth="1"/>
    <col min="73" max="73" width="5.140625" customWidth="1"/>
    <col min="74" max="74" width="6.42578125" customWidth="1"/>
    <col min="75" max="75" width="5.7109375" customWidth="1"/>
    <col min="76" max="76" width="4.5703125" customWidth="1"/>
    <col min="77" max="77" width="6.42578125" customWidth="1"/>
    <col min="78" max="78" width="6.28515625" customWidth="1"/>
    <col min="79" max="79" width="7.85546875" customWidth="1"/>
    <col min="80" max="81" width="9.28515625" customWidth="1"/>
    <col min="82" max="82" width="11.85546875" customWidth="1"/>
    <col min="83" max="83" width="9.5703125" customWidth="1"/>
    <col min="84" max="84" width="5.7109375" customWidth="1"/>
    <col min="85" max="85" width="7.5703125" customWidth="1"/>
    <col min="86" max="86" width="6.140625" customWidth="1"/>
    <col min="87" max="87" width="6.7109375" customWidth="1"/>
    <col min="88" max="88" width="3.7109375" customWidth="1"/>
    <col min="89" max="89" width="5.42578125" customWidth="1"/>
    <col min="90" max="90" width="6.140625" customWidth="1"/>
    <col min="91" max="91" width="12.28515625" customWidth="1"/>
    <col min="93" max="93" width="10" customWidth="1"/>
    <col min="94" max="94" width="15.42578125" customWidth="1"/>
    <col min="104" max="104" width="61.85546875" customWidth="1"/>
    <col min="105" max="105" width="48.85546875" customWidth="1"/>
    <col min="113" max="113" width="5" customWidth="1"/>
    <col min="114" max="114" width="8" customWidth="1"/>
    <col min="115" max="115" width="39.85546875" customWidth="1"/>
    <col min="116" max="116" width="29" customWidth="1"/>
    <col min="117" max="117" width="15" customWidth="1"/>
    <col min="118" max="118" width="4.85546875" customWidth="1"/>
    <col min="119" max="134" width="9.28515625" customWidth="1"/>
    <col min="141" max="141" width="6.140625" customWidth="1"/>
    <col min="142" max="142" width="13.85546875" customWidth="1"/>
    <col min="144" max="144" width="10.42578125" customWidth="1"/>
    <col min="145" max="145" width="19.42578125" customWidth="1"/>
    <col min="146" max="146" width="7" customWidth="1"/>
    <col min="147" max="147" width="11.7109375" customWidth="1"/>
    <col min="154" max="154" width="5.28515625" customWidth="1"/>
    <col min="155" max="155" width="21.5703125" customWidth="1"/>
    <col min="156" max="156" width="9.140625" customWidth="1"/>
    <col min="160" max="160" width="5.7109375" customWidth="1"/>
    <col min="161" max="161" width="7.7109375" customWidth="1"/>
    <col min="162" max="162" width="53.85546875" customWidth="1"/>
    <col min="163" max="163" width="16.85546875" customWidth="1"/>
    <col min="164" max="164" width="12.28515625" customWidth="1"/>
    <col min="165" max="165" width="15.7109375" customWidth="1"/>
    <col min="166" max="166" width="14.42578125" customWidth="1"/>
    <col min="167" max="167" width="10.7109375" customWidth="1"/>
    <col min="168" max="168" width="11.85546875" customWidth="1"/>
    <col min="183" max="183" width="14.42578125" customWidth="1"/>
    <col min="184" max="184" width="34.28515625" customWidth="1"/>
    <col min="185" max="185" width="17.42578125" customWidth="1"/>
    <col min="187" max="187" width="39.140625" customWidth="1"/>
    <col min="188" max="188" width="42.7109375" customWidth="1"/>
    <col min="189" max="189" width="40.7109375" customWidth="1"/>
    <col min="335" max="335" width="32.140625" customWidth="1"/>
    <col min="336" max="336" width="45.28515625" customWidth="1"/>
    <col min="337" max="337" width="27.42578125" customWidth="1"/>
    <col min="338" max="338" width="29" customWidth="1"/>
    <col min="339" max="339" width="46.140625" customWidth="1"/>
    <col min="340" max="340" width="42.42578125" customWidth="1"/>
    <col min="341" max="341" width="49.28515625" customWidth="1"/>
    <col min="342" max="342" width="41.85546875" customWidth="1"/>
    <col min="343" max="343" width="36.7109375" customWidth="1"/>
    <col min="344" max="344" width="63.28515625" customWidth="1"/>
    <col min="400" max="400" width="31.85546875" customWidth="1"/>
  </cols>
  <sheetData>
    <row r="1" spans="1:4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s="1" t="s">
        <v>16</v>
      </c>
      <c r="Q1" t="s">
        <v>19</v>
      </c>
      <c r="R1" t="s">
        <v>483</v>
      </c>
      <c r="S1" s="5" t="s">
        <v>482</v>
      </c>
      <c r="T1" t="s">
        <v>24</v>
      </c>
      <c r="U1" s="5" t="s">
        <v>482</v>
      </c>
      <c r="V1" s="3" t="s">
        <v>26</v>
      </c>
      <c r="W1" s="5" t="s">
        <v>482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37</v>
      </c>
      <c r="AP1" t="s">
        <v>35</v>
      </c>
      <c r="AQ1" t="s">
        <v>36</v>
      </c>
      <c r="AR1" t="s">
        <v>484</v>
      </c>
      <c r="AS1" t="s">
        <v>485</v>
      </c>
      <c r="AT1" t="s">
        <v>486</v>
      </c>
      <c r="AU1" t="s">
        <v>487</v>
      </c>
      <c r="AV1" t="s">
        <v>488</v>
      </c>
      <c r="AW1" t="s">
        <v>489</v>
      </c>
      <c r="AX1" t="s">
        <v>490</v>
      </c>
      <c r="AY1" t="s">
        <v>491</v>
      </c>
      <c r="AZ1" t="s">
        <v>492</v>
      </c>
      <c r="BA1" t="s">
        <v>493</v>
      </c>
      <c r="BB1" t="s">
        <v>6</v>
      </c>
      <c r="BC1" t="s">
        <v>494</v>
      </c>
      <c r="BD1" t="s">
        <v>495</v>
      </c>
      <c r="BE1" s="6" t="s">
        <v>496</v>
      </c>
      <c r="BF1" s="6" t="s">
        <v>597</v>
      </c>
      <c r="BG1" t="s">
        <v>497</v>
      </c>
      <c r="BH1" t="s">
        <v>498</v>
      </c>
      <c r="BI1" t="s">
        <v>499</v>
      </c>
      <c r="BJ1" t="s">
        <v>500</v>
      </c>
      <c r="BK1" t="s">
        <v>501</v>
      </c>
      <c r="BL1" t="s">
        <v>502</v>
      </c>
      <c r="BM1" t="s">
        <v>619</v>
      </c>
      <c r="BN1" t="s">
        <v>620</v>
      </c>
      <c r="BO1" t="s">
        <v>3814</v>
      </c>
      <c r="BP1" t="s">
        <v>3815</v>
      </c>
      <c r="BQ1" t="s">
        <v>6</v>
      </c>
      <c r="BR1" t="s">
        <v>3816</v>
      </c>
      <c r="BS1" t="s">
        <v>3817</v>
      </c>
      <c r="BT1" t="s">
        <v>3818</v>
      </c>
      <c r="BU1" t="s">
        <v>3819</v>
      </c>
      <c r="BV1" t="s">
        <v>3820</v>
      </c>
      <c r="BW1" t="s">
        <v>3821</v>
      </c>
      <c r="BX1" t="s">
        <v>3822</v>
      </c>
      <c r="BY1" t="s">
        <v>3823</v>
      </c>
      <c r="BZ1" t="s">
        <v>6</v>
      </c>
      <c r="CA1" t="s">
        <v>3824</v>
      </c>
      <c r="CB1" t="s">
        <v>3825</v>
      </c>
      <c r="CC1" t="s">
        <v>3826</v>
      </c>
      <c r="CD1" t="s">
        <v>3827</v>
      </c>
      <c r="CE1" t="s">
        <v>3828</v>
      </c>
      <c r="CF1" t="s">
        <v>3829</v>
      </c>
      <c r="CG1" t="s">
        <v>3830</v>
      </c>
      <c r="CH1" t="s">
        <v>3831</v>
      </c>
      <c r="CI1" t="s">
        <v>3832</v>
      </c>
      <c r="CJ1" t="s">
        <v>3833</v>
      </c>
      <c r="CK1" t="s">
        <v>3834</v>
      </c>
      <c r="CL1" t="s">
        <v>6</v>
      </c>
      <c r="CM1" t="s">
        <v>621</v>
      </c>
      <c r="CN1" t="s">
        <v>622</v>
      </c>
      <c r="CO1" t="s">
        <v>623</v>
      </c>
      <c r="CP1" t="s">
        <v>3925</v>
      </c>
      <c r="CQ1" t="s">
        <v>3926</v>
      </c>
      <c r="CR1" t="s">
        <v>3927</v>
      </c>
      <c r="CS1" t="s">
        <v>3928</v>
      </c>
      <c r="CT1" t="s">
        <v>3929</v>
      </c>
      <c r="CU1" t="s">
        <v>3930</v>
      </c>
      <c r="CV1" t="s">
        <v>3931</v>
      </c>
      <c r="CW1" t="s">
        <v>3932</v>
      </c>
      <c r="CX1" t="s">
        <v>6</v>
      </c>
      <c r="CY1" t="s">
        <v>3933</v>
      </c>
      <c r="CZ1" s="25" t="s">
        <v>3934</v>
      </c>
      <c r="DA1" s="24" t="s">
        <v>4279</v>
      </c>
      <c r="DB1" t="s">
        <v>624</v>
      </c>
      <c r="DC1" t="s">
        <v>625</v>
      </c>
      <c r="DD1" t="s">
        <v>626</v>
      </c>
      <c r="DE1" t="s">
        <v>627</v>
      </c>
      <c r="DF1" t="s">
        <v>628</v>
      </c>
      <c r="DG1" t="s">
        <v>629</v>
      </c>
      <c r="DH1" t="s">
        <v>630</v>
      </c>
      <c r="DI1" t="s">
        <v>6</v>
      </c>
      <c r="DJ1" t="s">
        <v>631</v>
      </c>
      <c r="DK1" s="34" t="s">
        <v>4052</v>
      </c>
      <c r="DL1" s="36" t="s">
        <v>4280</v>
      </c>
      <c r="DM1" t="s">
        <v>4053</v>
      </c>
      <c r="DN1" t="s">
        <v>4054</v>
      </c>
      <c r="DO1" t="s">
        <v>4055</v>
      </c>
      <c r="DP1" t="s">
        <v>4056</v>
      </c>
      <c r="DQ1" t="s">
        <v>4057</v>
      </c>
      <c r="DR1" t="s">
        <v>4058</v>
      </c>
      <c r="DS1" t="s">
        <v>4059</v>
      </c>
      <c r="DT1" t="s">
        <v>4060</v>
      </c>
      <c r="DU1" t="s">
        <v>4061</v>
      </c>
      <c r="DV1" t="s">
        <v>4062</v>
      </c>
      <c r="DW1" t="s">
        <v>4063</v>
      </c>
      <c r="DX1" t="s">
        <v>4064</v>
      </c>
      <c r="DY1" t="s">
        <v>4065</v>
      </c>
      <c r="DZ1" t="s">
        <v>4066</v>
      </c>
      <c r="EA1" t="s">
        <v>4067</v>
      </c>
      <c r="EB1" t="s">
        <v>4068</v>
      </c>
      <c r="EC1" t="s">
        <v>4069</v>
      </c>
      <c r="ED1" t="s">
        <v>4070</v>
      </c>
      <c r="EE1" t="s">
        <v>4071</v>
      </c>
      <c r="EF1" t="s">
        <v>4072</v>
      </c>
      <c r="EG1" t="s">
        <v>4073</v>
      </c>
      <c r="EH1" t="s">
        <v>4074</v>
      </c>
      <c r="EI1" t="s">
        <v>4075</v>
      </c>
      <c r="EJ1" t="s">
        <v>4076</v>
      </c>
      <c r="EK1" t="s">
        <v>4077</v>
      </c>
      <c r="EL1" t="s">
        <v>4078</v>
      </c>
      <c r="EM1" t="s">
        <v>4079</v>
      </c>
      <c r="EN1" t="s">
        <v>4080</v>
      </c>
      <c r="EO1" t="s">
        <v>4081</v>
      </c>
      <c r="EP1" t="s">
        <v>4082</v>
      </c>
      <c r="EQ1" t="s">
        <v>4083</v>
      </c>
      <c r="ER1" t="s">
        <v>4084</v>
      </c>
      <c r="ES1" t="s">
        <v>4085</v>
      </c>
      <c r="ET1" t="s">
        <v>4086</v>
      </c>
      <c r="EU1" t="s">
        <v>4087</v>
      </c>
      <c r="EV1" t="s">
        <v>4088</v>
      </c>
      <c r="EW1" t="s">
        <v>4089</v>
      </c>
      <c r="EX1" t="s">
        <v>6</v>
      </c>
      <c r="EY1" t="s">
        <v>4090</v>
      </c>
      <c r="EZ1" t="s">
        <v>4091</v>
      </c>
      <c r="FA1" t="s">
        <v>4092</v>
      </c>
      <c r="FB1" t="s">
        <v>4093</v>
      </c>
      <c r="FC1" t="s">
        <v>4094</v>
      </c>
      <c r="FD1" t="s">
        <v>4095</v>
      </c>
      <c r="FE1" t="s">
        <v>4096</v>
      </c>
      <c r="FF1" t="s">
        <v>4097</v>
      </c>
      <c r="FG1" t="s">
        <v>4098</v>
      </c>
      <c r="FH1" t="s">
        <v>632</v>
      </c>
      <c r="FI1" t="s">
        <v>633</v>
      </c>
      <c r="FJ1" t="s">
        <v>634</v>
      </c>
      <c r="FK1" t="s">
        <v>635</v>
      </c>
      <c r="FL1" t="s">
        <v>634</v>
      </c>
      <c r="FM1" t="s">
        <v>636</v>
      </c>
      <c r="FN1" t="s">
        <v>634</v>
      </c>
      <c r="FO1" t="s">
        <v>635</v>
      </c>
      <c r="FP1" t="s">
        <v>634</v>
      </c>
      <c r="FQ1" t="s">
        <v>637</v>
      </c>
      <c r="FR1" t="s">
        <v>634</v>
      </c>
      <c r="FS1" t="s">
        <v>635</v>
      </c>
      <c r="FT1" t="s">
        <v>634</v>
      </c>
      <c r="FU1" t="s">
        <v>638</v>
      </c>
      <c r="FV1" t="s">
        <v>634</v>
      </c>
      <c r="FW1" t="s">
        <v>635</v>
      </c>
      <c r="FX1" t="s">
        <v>634</v>
      </c>
      <c r="FY1" t="s">
        <v>639</v>
      </c>
      <c r="FZ1" t="s">
        <v>634</v>
      </c>
      <c r="GA1" t="s">
        <v>635</v>
      </c>
      <c r="GB1" t="s">
        <v>634</v>
      </c>
      <c r="GC1" t="s">
        <v>640</v>
      </c>
      <c r="GD1" t="s">
        <v>634</v>
      </c>
      <c r="GE1" t="s">
        <v>635</v>
      </c>
      <c r="GF1" t="s">
        <v>634</v>
      </c>
      <c r="GG1" t="s">
        <v>641</v>
      </c>
      <c r="GH1" t="s">
        <v>634</v>
      </c>
      <c r="GI1" t="s">
        <v>642</v>
      </c>
      <c r="GJ1" t="s">
        <v>634</v>
      </c>
      <c r="GK1" t="s">
        <v>643</v>
      </c>
      <c r="GL1" t="s">
        <v>634</v>
      </c>
      <c r="GM1" t="s">
        <v>635</v>
      </c>
      <c r="GN1" t="s">
        <v>634</v>
      </c>
      <c r="GO1" t="s">
        <v>644</v>
      </c>
      <c r="GP1" t="s">
        <v>634</v>
      </c>
      <c r="GQ1" t="s">
        <v>635</v>
      </c>
      <c r="GR1" t="s">
        <v>634</v>
      </c>
      <c r="GS1" t="s">
        <v>645</v>
      </c>
      <c r="GT1" t="s">
        <v>634</v>
      </c>
      <c r="GU1" t="s">
        <v>635</v>
      </c>
      <c r="GV1" t="s">
        <v>634</v>
      </c>
      <c r="GW1" t="s">
        <v>646</v>
      </c>
      <c r="GX1" t="s">
        <v>634</v>
      </c>
      <c r="GY1" t="s">
        <v>635</v>
      </c>
      <c r="GZ1" t="s">
        <v>634</v>
      </c>
      <c r="HA1" t="s">
        <v>647</v>
      </c>
      <c r="HB1" t="s">
        <v>634</v>
      </c>
      <c r="HC1" t="s">
        <v>635</v>
      </c>
      <c r="HD1" t="s">
        <v>634</v>
      </c>
      <c r="HE1" t="s">
        <v>648</v>
      </c>
      <c r="HF1" t="s">
        <v>634</v>
      </c>
      <c r="HG1" t="s">
        <v>649</v>
      </c>
      <c r="HH1" t="s">
        <v>634</v>
      </c>
      <c r="HI1" t="s">
        <v>635</v>
      </c>
      <c r="HJ1" t="s">
        <v>634</v>
      </c>
      <c r="HK1" t="s">
        <v>650</v>
      </c>
      <c r="HL1" t="s">
        <v>634</v>
      </c>
      <c r="HM1" t="s">
        <v>635</v>
      </c>
      <c r="HN1" t="s">
        <v>634</v>
      </c>
      <c r="HO1" t="s">
        <v>651</v>
      </c>
      <c r="HP1" t="s">
        <v>634</v>
      </c>
      <c r="HQ1" t="s">
        <v>635</v>
      </c>
      <c r="HR1" t="s">
        <v>634</v>
      </c>
      <c r="HS1" t="s">
        <v>652</v>
      </c>
      <c r="HT1" t="s">
        <v>634</v>
      </c>
      <c r="HU1" t="s">
        <v>635</v>
      </c>
      <c r="HV1" t="s">
        <v>634</v>
      </c>
      <c r="HW1" t="s">
        <v>653</v>
      </c>
      <c r="HX1" t="s">
        <v>634</v>
      </c>
      <c r="HY1" t="s">
        <v>635</v>
      </c>
      <c r="HZ1" t="s">
        <v>634</v>
      </c>
      <c r="IA1" t="s">
        <v>654</v>
      </c>
      <c r="IB1" t="s">
        <v>634</v>
      </c>
      <c r="IC1" t="s">
        <v>635</v>
      </c>
      <c r="ID1" t="s">
        <v>634</v>
      </c>
      <c r="IE1" t="s">
        <v>655</v>
      </c>
      <c r="IF1" t="s">
        <v>634</v>
      </c>
      <c r="IG1" t="s">
        <v>635</v>
      </c>
      <c r="IH1" t="s">
        <v>634</v>
      </c>
      <c r="II1" t="s">
        <v>656</v>
      </c>
      <c r="IJ1" t="s">
        <v>634</v>
      </c>
      <c r="IK1" t="s">
        <v>635</v>
      </c>
      <c r="IL1" t="s">
        <v>634</v>
      </c>
      <c r="IM1" t="s">
        <v>657</v>
      </c>
      <c r="IN1" t="s">
        <v>634</v>
      </c>
      <c r="IO1" t="s">
        <v>635</v>
      </c>
      <c r="IP1" t="s">
        <v>634</v>
      </c>
      <c r="IQ1" t="s">
        <v>658</v>
      </c>
      <c r="IR1" t="s">
        <v>634</v>
      </c>
      <c r="IS1" t="s">
        <v>635</v>
      </c>
      <c r="IT1" t="s">
        <v>634</v>
      </c>
      <c r="IU1" t="s">
        <v>659</v>
      </c>
      <c r="IV1" t="s">
        <v>634</v>
      </c>
      <c r="IW1" t="s">
        <v>635</v>
      </c>
      <c r="IX1" t="s">
        <v>634</v>
      </c>
      <c r="IY1" t="s">
        <v>660</v>
      </c>
      <c r="IZ1" t="s">
        <v>634</v>
      </c>
      <c r="JA1" t="s">
        <v>635</v>
      </c>
      <c r="JB1" t="s">
        <v>634</v>
      </c>
      <c r="JC1" t="s">
        <v>661</v>
      </c>
      <c r="JD1" t="s">
        <v>662</v>
      </c>
      <c r="JE1" t="s">
        <v>635</v>
      </c>
      <c r="JF1" t="s">
        <v>634</v>
      </c>
      <c r="JG1" t="s">
        <v>663</v>
      </c>
      <c r="JH1" t="s">
        <v>634</v>
      </c>
      <c r="JI1" t="s">
        <v>635</v>
      </c>
      <c r="JJ1" t="s">
        <v>634</v>
      </c>
      <c r="JK1" t="s">
        <v>664</v>
      </c>
      <c r="JL1" t="s">
        <v>634</v>
      </c>
      <c r="JM1" t="s">
        <v>665</v>
      </c>
      <c r="JN1" t="s">
        <v>634</v>
      </c>
      <c r="JO1" t="s">
        <v>666</v>
      </c>
      <c r="JP1" t="s">
        <v>634</v>
      </c>
      <c r="JQ1" t="s">
        <v>635</v>
      </c>
      <c r="JR1" t="s">
        <v>634</v>
      </c>
      <c r="JS1" t="s">
        <v>667</v>
      </c>
      <c r="JT1" t="s">
        <v>634</v>
      </c>
      <c r="JU1" t="s">
        <v>635</v>
      </c>
      <c r="JV1" t="s">
        <v>634</v>
      </c>
      <c r="JW1" t="s">
        <v>668</v>
      </c>
      <c r="JX1" t="s">
        <v>634</v>
      </c>
      <c r="JY1" t="s">
        <v>665</v>
      </c>
      <c r="JZ1" t="s">
        <v>634</v>
      </c>
      <c r="KA1" t="s">
        <v>669</v>
      </c>
      <c r="KB1" t="s">
        <v>634</v>
      </c>
      <c r="KC1" t="s">
        <v>635</v>
      </c>
      <c r="KD1" t="s">
        <v>634</v>
      </c>
      <c r="KE1" t="s">
        <v>670</v>
      </c>
      <c r="KF1" t="s">
        <v>634</v>
      </c>
      <c r="KG1" t="s">
        <v>635</v>
      </c>
      <c r="KH1" t="s">
        <v>634</v>
      </c>
      <c r="KI1" t="s">
        <v>671</v>
      </c>
      <c r="KJ1" t="s">
        <v>634</v>
      </c>
      <c r="KK1" t="s">
        <v>635</v>
      </c>
      <c r="KL1" t="s">
        <v>634</v>
      </c>
      <c r="KM1" t="s">
        <v>672</v>
      </c>
      <c r="KN1" t="s">
        <v>634</v>
      </c>
      <c r="KO1" t="s">
        <v>635</v>
      </c>
      <c r="KP1" t="s">
        <v>634</v>
      </c>
      <c r="KQ1" t="s">
        <v>673</v>
      </c>
      <c r="KR1" t="s">
        <v>634</v>
      </c>
      <c r="KS1" t="s">
        <v>635</v>
      </c>
      <c r="KT1" t="s">
        <v>634</v>
      </c>
      <c r="KU1" t="s">
        <v>674</v>
      </c>
      <c r="KV1" t="s">
        <v>634</v>
      </c>
      <c r="KW1" t="s">
        <v>635</v>
      </c>
      <c r="KX1" t="s">
        <v>634</v>
      </c>
      <c r="KY1" t="s">
        <v>675</v>
      </c>
      <c r="KZ1" t="s">
        <v>634</v>
      </c>
      <c r="LA1" t="s">
        <v>635</v>
      </c>
      <c r="LB1" t="s">
        <v>634</v>
      </c>
      <c r="LC1" t="s">
        <v>676</v>
      </c>
      <c r="LD1" t="s">
        <v>634</v>
      </c>
      <c r="LE1" t="s">
        <v>635</v>
      </c>
      <c r="LF1" t="s">
        <v>634</v>
      </c>
      <c r="LG1" t="s">
        <v>677</v>
      </c>
      <c r="LH1" t="s">
        <v>634</v>
      </c>
      <c r="LI1" t="s">
        <v>635</v>
      </c>
      <c r="LJ1" t="s">
        <v>634</v>
      </c>
      <c r="LK1" t="s">
        <v>678</v>
      </c>
      <c r="LL1" t="s">
        <v>634</v>
      </c>
      <c r="LM1" t="s">
        <v>635</v>
      </c>
      <c r="LN1" t="s">
        <v>634</v>
      </c>
      <c r="LO1" t="s">
        <v>679</v>
      </c>
      <c r="LP1" t="s">
        <v>634</v>
      </c>
      <c r="LQ1" t="s">
        <v>635</v>
      </c>
      <c r="LR1" t="s">
        <v>634</v>
      </c>
      <c r="LS1" t="s">
        <v>680</v>
      </c>
      <c r="LT1" t="s">
        <v>634</v>
      </c>
      <c r="LU1" t="s">
        <v>635</v>
      </c>
      <c r="LV1" t="s">
        <v>634</v>
      </c>
      <c r="LW1" t="s">
        <v>681</v>
      </c>
      <c r="LX1" t="s">
        <v>634</v>
      </c>
      <c r="LY1" t="s">
        <v>635</v>
      </c>
      <c r="LZ1" t="s">
        <v>634</v>
      </c>
      <c r="MA1" t="s">
        <v>682</v>
      </c>
      <c r="MB1" t="s">
        <v>634</v>
      </c>
      <c r="MC1" t="s">
        <v>635</v>
      </c>
      <c r="MD1" t="s">
        <v>634</v>
      </c>
      <c r="ME1" t="s">
        <v>683</v>
      </c>
      <c r="MF1" t="s">
        <v>634</v>
      </c>
      <c r="MG1" t="s">
        <v>635</v>
      </c>
      <c r="MH1" t="s">
        <v>634</v>
      </c>
      <c r="MI1" t="s">
        <v>684</v>
      </c>
      <c r="MJ1" t="s">
        <v>634</v>
      </c>
      <c r="MK1" t="s">
        <v>635</v>
      </c>
      <c r="ML1" t="s">
        <v>634</v>
      </c>
      <c r="MM1" t="s">
        <v>685</v>
      </c>
      <c r="MN1" t="s">
        <v>4272</v>
      </c>
      <c r="MO1" t="s">
        <v>687</v>
      </c>
      <c r="MP1" t="s">
        <v>688</v>
      </c>
      <c r="MQ1" t="s">
        <v>689</v>
      </c>
      <c r="MR1" t="s">
        <v>690</v>
      </c>
      <c r="MS1" t="s">
        <v>691</v>
      </c>
      <c r="MT1" t="s">
        <v>692</v>
      </c>
      <c r="MU1" t="s">
        <v>693</v>
      </c>
      <c r="MV1" t="s">
        <v>694</v>
      </c>
      <c r="MW1" t="s">
        <v>695</v>
      </c>
      <c r="MX1" t="s">
        <v>696</v>
      </c>
      <c r="MY1" t="s">
        <v>686</v>
      </c>
      <c r="MZ1" t="s">
        <v>697</v>
      </c>
      <c r="NA1" t="s">
        <v>698</v>
      </c>
      <c r="NB1" t="s">
        <v>699</v>
      </c>
      <c r="NC1" t="s">
        <v>700</v>
      </c>
      <c r="ND1" t="s">
        <v>701</v>
      </c>
      <c r="NE1" t="s">
        <v>702</v>
      </c>
      <c r="NF1" t="s">
        <v>703</v>
      </c>
      <c r="NG1" t="s">
        <v>704</v>
      </c>
      <c r="NH1" t="s">
        <v>705</v>
      </c>
      <c r="NI1" t="s">
        <v>706</v>
      </c>
      <c r="NJ1" t="s">
        <v>707</v>
      </c>
      <c r="NK1" t="s">
        <v>708</v>
      </c>
      <c r="NL1" t="s">
        <v>709</v>
      </c>
      <c r="NM1" t="s">
        <v>4269</v>
      </c>
      <c r="NN1" t="s">
        <v>710</v>
      </c>
      <c r="NO1" t="s">
        <v>711</v>
      </c>
      <c r="NP1" t="s">
        <v>712</v>
      </c>
      <c r="NQ1" t="s">
        <v>713</v>
      </c>
      <c r="NR1" t="s">
        <v>714</v>
      </c>
      <c r="NS1" t="s">
        <v>715</v>
      </c>
      <c r="NT1" t="s">
        <v>716</v>
      </c>
      <c r="NU1" t="s">
        <v>717</v>
      </c>
      <c r="NV1" t="s">
        <v>718</v>
      </c>
      <c r="NW1" t="s">
        <v>719</v>
      </c>
      <c r="NX1" t="s">
        <v>720</v>
      </c>
      <c r="NY1" t="s">
        <v>721</v>
      </c>
      <c r="NZ1" t="s">
        <v>722</v>
      </c>
      <c r="OA1" t="s">
        <v>723</v>
      </c>
      <c r="OB1" t="s">
        <v>724</v>
      </c>
      <c r="OC1" t="s">
        <v>4270</v>
      </c>
      <c r="OD1" t="s">
        <v>725</v>
      </c>
      <c r="OE1" t="s">
        <v>726</v>
      </c>
      <c r="OF1" t="s">
        <v>727</v>
      </c>
      <c r="OG1" t="s">
        <v>728</v>
      </c>
      <c r="OH1" t="s">
        <v>729</v>
      </c>
      <c r="OI1" t="s">
        <v>730</v>
      </c>
      <c r="OJ1" t="s">
        <v>731</v>
      </c>
    </row>
    <row r="2" spans="1:400" x14ac:dyDescent="0.25">
      <c r="A2">
        <v>1</v>
      </c>
      <c r="B2" t="s">
        <v>55</v>
      </c>
      <c r="C2" t="s">
        <v>56</v>
      </c>
      <c r="D2" t="s">
        <v>57</v>
      </c>
      <c r="E2">
        <v>43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M2" t="s">
        <v>64</v>
      </c>
      <c r="N2" t="s">
        <v>65</v>
      </c>
      <c r="O2">
        <v>5</v>
      </c>
      <c r="P2" s="1">
        <v>263000</v>
      </c>
      <c r="Q2" s="1">
        <v>63000</v>
      </c>
      <c r="R2" t="s">
        <v>68</v>
      </c>
      <c r="S2" s="7">
        <v>150000</v>
      </c>
      <c r="T2" t="s">
        <v>70</v>
      </c>
      <c r="U2" s="5">
        <v>0</v>
      </c>
      <c r="V2" s="3" t="s">
        <v>4182</v>
      </c>
      <c r="W2" s="5">
        <v>63000</v>
      </c>
      <c r="X2" t="s">
        <v>73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 t="s">
        <v>63</v>
      </c>
      <c r="AR2">
        <v>1</v>
      </c>
      <c r="AS2" s="2">
        <v>0.75</v>
      </c>
      <c r="AT2" t="s">
        <v>503</v>
      </c>
      <c r="AU2">
        <v>0</v>
      </c>
      <c r="AV2">
        <v>0</v>
      </c>
      <c r="AW2">
        <v>0</v>
      </c>
      <c r="AX2">
        <v>1</v>
      </c>
      <c r="AY2">
        <v>0</v>
      </c>
      <c r="AZ2" t="s">
        <v>504</v>
      </c>
      <c r="BA2" t="s">
        <v>505</v>
      </c>
      <c r="BB2">
        <v>1</v>
      </c>
      <c r="BC2" t="s">
        <v>506</v>
      </c>
      <c r="BD2" t="s">
        <v>507</v>
      </c>
      <c r="BE2">
        <v>2004</v>
      </c>
      <c r="BF2">
        <v>19</v>
      </c>
      <c r="BG2" t="s">
        <v>508</v>
      </c>
      <c r="BH2">
        <v>1</v>
      </c>
      <c r="BI2">
        <v>0</v>
      </c>
      <c r="BJ2">
        <v>0</v>
      </c>
      <c r="BK2">
        <v>0</v>
      </c>
      <c r="BL2">
        <v>0</v>
      </c>
      <c r="BM2" t="s">
        <v>63</v>
      </c>
      <c r="BN2" t="s">
        <v>63</v>
      </c>
      <c r="BO2" t="s">
        <v>3835</v>
      </c>
      <c r="BP2" t="s">
        <v>3836</v>
      </c>
      <c r="BR2" t="s">
        <v>3837</v>
      </c>
      <c r="BS2" t="s">
        <v>3838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CA2" t="s">
        <v>3839</v>
      </c>
      <c r="CC2" t="s">
        <v>3840</v>
      </c>
      <c r="CD2" t="s">
        <v>3841</v>
      </c>
      <c r="CE2" t="s">
        <v>3842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N2" t="s">
        <v>63</v>
      </c>
      <c r="CO2" t="s">
        <v>732</v>
      </c>
      <c r="CP2" t="s">
        <v>4187</v>
      </c>
      <c r="CQ2" t="s">
        <v>3935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Y2" t="s">
        <v>3936</v>
      </c>
      <c r="CZ2" s="26" t="s">
        <v>4212</v>
      </c>
      <c r="DA2" s="27" t="s">
        <v>4192</v>
      </c>
      <c r="DJ2" t="s">
        <v>63</v>
      </c>
      <c r="DK2" s="35" t="s">
        <v>4259</v>
      </c>
      <c r="DL2" s="37" t="s">
        <v>4254</v>
      </c>
      <c r="DM2" t="s">
        <v>4099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L2" t="s">
        <v>4100</v>
      </c>
      <c r="EO2" t="s">
        <v>4101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Y2" t="s">
        <v>4102</v>
      </c>
      <c r="EZ2">
        <v>0</v>
      </c>
      <c r="FA2">
        <v>0</v>
      </c>
      <c r="FB2">
        <v>0</v>
      </c>
      <c r="FC2">
        <v>1</v>
      </c>
      <c r="FG2" t="s">
        <v>4177</v>
      </c>
      <c r="FI2" t="s">
        <v>733</v>
      </c>
      <c r="FJ2" t="s">
        <v>734</v>
      </c>
      <c r="FK2" t="s">
        <v>733</v>
      </c>
      <c r="FL2" t="s">
        <v>735</v>
      </c>
      <c r="FM2" t="s">
        <v>736</v>
      </c>
      <c r="FN2" t="s">
        <v>737</v>
      </c>
      <c r="FO2" t="s">
        <v>733</v>
      </c>
      <c r="FP2" t="s">
        <v>738</v>
      </c>
      <c r="FQ2" t="s">
        <v>733</v>
      </c>
      <c r="FR2" t="s">
        <v>734</v>
      </c>
      <c r="FS2" t="s">
        <v>733</v>
      </c>
      <c r="FT2" t="s">
        <v>739</v>
      </c>
      <c r="FU2" t="s">
        <v>733</v>
      </c>
      <c r="FV2" t="s">
        <v>740</v>
      </c>
      <c r="FW2" t="s">
        <v>733</v>
      </c>
      <c r="FY2" t="s">
        <v>733</v>
      </c>
      <c r="FZ2" t="s">
        <v>741</v>
      </c>
      <c r="GA2" t="s">
        <v>733</v>
      </c>
      <c r="GB2" t="s">
        <v>738</v>
      </c>
      <c r="GC2" t="s">
        <v>736</v>
      </c>
      <c r="GD2" t="s">
        <v>742</v>
      </c>
      <c r="GE2" t="s">
        <v>733</v>
      </c>
      <c r="GG2" t="s">
        <v>743</v>
      </c>
      <c r="GH2" t="s">
        <v>744</v>
      </c>
      <c r="GI2" t="s">
        <v>733</v>
      </c>
      <c r="GJ2" t="s">
        <v>745</v>
      </c>
      <c r="GK2" t="s">
        <v>733</v>
      </c>
      <c r="GL2" t="s">
        <v>740</v>
      </c>
      <c r="GM2" t="s">
        <v>746</v>
      </c>
      <c r="GN2" t="s">
        <v>747</v>
      </c>
      <c r="GO2" t="s">
        <v>733</v>
      </c>
      <c r="GP2" t="s">
        <v>734</v>
      </c>
      <c r="GQ2" t="s">
        <v>733</v>
      </c>
      <c r="GS2" t="s">
        <v>736</v>
      </c>
      <c r="GT2" t="s">
        <v>748</v>
      </c>
      <c r="GU2" t="s">
        <v>736</v>
      </c>
      <c r="GW2" t="s">
        <v>733</v>
      </c>
      <c r="GY2" t="s">
        <v>733</v>
      </c>
      <c r="HA2" t="s">
        <v>733</v>
      </c>
      <c r="HB2" t="s">
        <v>749</v>
      </c>
      <c r="HC2" t="s">
        <v>733</v>
      </c>
      <c r="HE2" t="s">
        <v>733</v>
      </c>
      <c r="HF2" t="s">
        <v>750</v>
      </c>
      <c r="HG2" t="s">
        <v>736</v>
      </c>
      <c r="HI2" t="s">
        <v>736</v>
      </c>
      <c r="HJ2" t="s">
        <v>751</v>
      </c>
      <c r="HN2" t="s">
        <v>752</v>
      </c>
      <c r="HR2" t="s">
        <v>753</v>
      </c>
      <c r="HS2" t="s">
        <v>736</v>
      </c>
      <c r="HT2" t="s">
        <v>754</v>
      </c>
      <c r="HU2" t="s">
        <v>736</v>
      </c>
      <c r="HW2" t="s">
        <v>736</v>
      </c>
      <c r="IA2" t="s">
        <v>733</v>
      </c>
      <c r="IC2" t="s">
        <v>733</v>
      </c>
      <c r="IH2" t="s">
        <v>755</v>
      </c>
      <c r="II2" t="s">
        <v>736</v>
      </c>
      <c r="IJ2" t="s">
        <v>756</v>
      </c>
      <c r="IM2" t="s">
        <v>743</v>
      </c>
      <c r="IN2" t="s">
        <v>757</v>
      </c>
      <c r="IO2" t="s">
        <v>733</v>
      </c>
      <c r="IP2" t="s">
        <v>758</v>
      </c>
      <c r="IQ2" t="s">
        <v>743</v>
      </c>
      <c r="IR2" t="s">
        <v>759</v>
      </c>
      <c r="IS2" t="s">
        <v>733</v>
      </c>
      <c r="IT2" t="s">
        <v>758</v>
      </c>
      <c r="IU2" t="s">
        <v>746</v>
      </c>
      <c r="IV2" t="s">
        <v>760</v>
      </c>
      <c r="IW2" t="s">
        <v>746</v>
      </c>
      <c r="IX2" t="s">
        <v>761</v>
      </c>
      <c r="IY2" t="s">
        <v>746</v>
      </c>
      <c r="IZ2" t="s">
        <v>762</v>
      </c>
      <c r="JA2" t="s">
        <v>746</v>
      </c>
      <c r="JC2" t="s">
        <v>746</v>
      </c>
      <c r="JE2" t="s">
        <v>746</v>
      </c>
      <c r="JG2" t="s">
        <v>746</v>
      </c>
      <c r="JI2" t="s">
        <v>746</v>
      </c>
      <c r="JK2" t="s">
        <v>746</v>
      </c>
      <c r="JM2" t="s">
        <v>746</v>
      </c>
      <c r="JN2" t="s">
        <v>763</v>
      </c>
      <c r="JO2" t="s">
        <v>746</v>
      </c>
      <c r="JQ2" t="s">
        <v>746</v>
      </c>
      <c r="JS2" t="s">
        <v>746</v>
      </c>
      <c r="JU2" t="s">
        <v>746</v>
      </c>
      <c r="JW2" t="s">
        <v>746</v>
      </c>
      <c r="JY2" t="s">
        <v>746</v>
      </c>
      <c r="KA2" t="s">
        <v>746</v>
      </c>
      <c r="KC2" t="s">
        <v>746</v>
      </c>
      <c r="KE2" t="s">
        <v>746</v>
      </c>
      <c r="KG2" t="s">
        <v>746</v>
      </c>
      <c r="KI2" t="s">
        <v>746</v>
      </c>
      <c r="KK2" t="s">
        <v>746</v>
      </c>
      <c r="KM2" t="s">
        <v>733</v>
      </c>
      <c r="KN2" t="s">
        <v>764</v>
      </c>
      <c r="KO2" t="s">
        <v>733</v>
      </c>
      <c r="KP2" t="s">
        <v>765</v>
      </c>
      <c r="KQ2" t="s">
        <v>733</v>
      </c>
      <c r="KR2" t="s">
        <v>766</v>
      </c>
      <c r="KS2" t="s">
        <v>733</v>
      </c>
      <c r="KU2" t="s">
        <v>733</v>
      </c>
      <c r="KV2" t="s">
        <v>767</v>
      </c>
      <c r="KW2" t="s">
        <v>733</v>
      </c>
      <c r="KX2" t="s">
        <v>734</v>
      </c>
      <c r="KY2" t="s">
        <v>733</v>
      </c>
      <c r="LA2" t="s">
        <v>733</v>
      </c>
      <c r="LC2" t="s">
        <v>736</v>
      </c>
      <c r="LD2" t="s">
        <v>768</v>
      </c>
      <c r="LE2" t="s">
        <v>736</v>
      </c>
      <c r="LF2" t="s">
        <v>769</v>
      </c>
      <c r="LG2" t="s">
        <v>736</v>
      </c>
      <c r="LH2" t="s">
        <v>770</v>
      </c>
      <c r="LI2" t="s">
        <v>736</v>
      </c>
      <c r="LJ2" t="s">
        <v>771</v>
      </c>
      <c r="LK2" t="s">
        <v>746</v>
      </c>
      <c r="LL2" t="s">
        <v>772</v>
      </c>
      <c r="LM2" t="s">
        <v>743</v>
      </c>
      <c r="LN2" t="s">
        <v>773</v>
      </c>
      <c r="LO2" t="s">
        <v>736</v>
      </c>
      <c r="LP2" t="s">
        <v>774</v>
      </c>
      <c r="LQ2" t="s">
        <v>736</v>
      </c>
      <c r="LS2" t="s">
        <v>733</v>
      </c>
      <c r="LT2" t="s">
        <v>775</v>
      </c>
      <c r="LU2" t="s">
        <v>733</v>
      </c>
      <c r="LW2" t="s">
        <v>733</v>
      </c>
      <c r="LX2" t="s">
        <v>776</v>
      </c>
      <c r="LY2" t="s">
        <v>733</v>
      </c>
      <c r="MA2" t="s">
        <v>777</v>
      </c>
      <c r="MB2" t="s">
        <v>778</v>
      </c>
      <c r="MC2" t="s">
        <v>777</v>
      </c>
      <c r="MD2" t="s">
        <v>756</v>
      </c>
      <c r="ME2" t="s">
        <v>743</v>
      </c>
      <c r="MF2" t="s">
        <v>779</v>
      </c>
      <c r="MG2" t="s">
        <v>743</v>
      </c>
      <c r="MI2" t="s">
        <v>743</v>
      </c>
      <c r="MJ2" t="s">
        <v>780</v>
      </c>
      <c r="MK2" t="s">
        <v>743</v>
      </c>
      <c r="MO2" t="s">
        <v>781</v>
      </c>
      <c r="MP2" t="s">
        <v>782</v>
      </c>
      <c r="MQ2" t="s">
        <v>783</v>
      </c>
      <c r="MR2" t="s">
        <v>783</v>
      </c>
      <c r="MS2" t="s">
        <v>781</v>
      </c>
      <c r="MT2" t="s">
        <v>781</v>
      </c>
      <c r="MU2" t="s">
        <v>781</v>
      </c>
      <c r="MV2" t="s">
        <v>783</v>
      </c>
      <c r="MW2" t="s">
        <v>781</v>
      </c>
      <c r="MX2" t="s">
        <v>781</v>
      </c>
      <c r="MZ2" t="s">
        <v>781</v>
      </c>
      <c r="NA2" t="s">
        <v>781</v>
      </c>
      <c r="NB2" t="s">
        <v>781</v>
      </c>
      <c r="NC2" t="s">
        <v>781</v>
      </c>
      <c r="ND2" t="s">
        <v>783</v>
      </c>
      <c r="NE2" t="s">
        <v>784</v>
      </c>
      <c r="NF2" t="s">
        <v>784</v>
      </c>
      <c r="NG2" t="s">
        <v>783</v>
      </c>
      <c r="NH2" t="s">
        <v>783</v>
      </c>
      <c r="NI2" t="s">
        <v>784</v>
      </c>
      <c r="NJ2" t="s">
        <v>783</v>
      </c>
      <c r="NK2" t="s">
        <v>784</v>
      </c>
      <c r="NL2" t="s">
        <v>783</v>
      </c>
      <c r="NM2" t="s">
        <v>783</v>
      </c>
      <c r="NN2" t="s">
        <v>782</v>
      </c>
      <c r="NO2" t="s">
        <v>784</v>
      </c>
      <c r="NP2" t="s">
        <v>783</v>
      </c>
      <c r="NQ2" t="s">
        <v>781</v>
      </c>
      <c r="NR2" t="s">
        <v>783</v>
      </c>
      <c r="NS2" t="s">
        <v>782</v>
      </c>
      <c r="NT2" t="s">
        <v>782</v>
      </c>
      <c r="NU2" t="s">
        <v>781</v>
      </c>
      <c r="NV2" t="s">
        <v>784</v>
      </c>
      <c r="NW2" t="s">
        <v>782</v>
      </c>
      <c r="NX2" t="s">
        <v>783</v>
      </c>
      <c r="NY2" t="s">
        <v>782</v>
      </c>
      <c r="NZ2" t="s">
        <v>783</v>
      </c>
      <c r="OA2" t="s">
        <v>783</v>
      </c>
      <c r="OB2" t="s">
        <v>782</v>
      </c>
      <c r="OC2" t="s">
        <v>782</v>
      </c>
      <c r="OD2" t="s">
        <v>783</v>
      </c>
      <c r="OE2" t="s">
        <v>783</v>
      </c>
      <c r="OF2" t="s">
        <v>783</v>
      </c>
      <c r="OG2" t="s">
        <v>783</v>
      </c>
      <c r="OH2" t="s">
        <v>781</v>
      </c>
      <c r="OI2" t="s">
        <v>781</v>
      </c>
      <c r="OJ2" t="s">
        <v>781</v>
      </c>
    </row>
    <row r="3" spans="1:400" x14ac:dyDescent="0.25">
      <c r="A3">
        <v>1</v>
      </c>
      <c r="B3" t="s">
        <v>55</v>
      </c>
      <c r="CZ3" s="26" t="s">
        <v>4188</v>
      </c>
      <c r="DA3" s="27" t="s">
        <v>4216</v>
      </c>
      <c r="DK3" s="35" t="s">
        <v>4103</v>
      </c>
      <c r="DL3" s="37" t="s">
        <v>4255</v>
      </c>
      <c r="DM3" t="s">
        <v>4104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L3" t="s">
        <v>4100</v>
      </c>
      <c r="EO3" t="s">
        <v>4101</v>
      </c>
      <c r="EP3">
        <v>1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Y3" t="s">
        <v>4105</v>
      </c>
      <c r="EZ3">
        <v>0</v>
      </c>
      <c r="FA3">
        <v>0</v>
      </c>
      <c r="FB3">
        <v>1</v>
      </c>
      <c r="FC3">
        <v>0</v>
      </c>
      <c r="FF3" t="s">
        <v>4106</v>
      </c>
    </row>
    <row r="4" spans="1:400" x14ac:dyDescent="0.25">
      <c r="A4">
        <v>1</v>
      </c>
      <c r="B4" t="s">
        <v>55</v>
      </c>
      <c r="CZ4" s="26"/>
      <c r="DA4" s="27"/>
      <c r="DK4" s="35" t="s">
        <v>4107</v>
      </c>
      <c r="DL4" s="37" t="s">
        <v>4256</v>
      </c>
      <c r="DM4" t="s">
        <v>4104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L4" t="s">
        <v>4100</v>
      </c>
      <c r="EO4" t="s">
        <v>4101</v>
      </c>
      <c r="EP4">
        <v>1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Y4" t="s">
        <v>4102</v>
      </c>
      <c r="EZ4">
        <v>0</v>
      </c>
      <c r="FA4">
        <v>0</v>
      </c>
      <c r="FB4">
        <v>0</v>
      </c>
      <c r="FC4">
        <v>1</v>
      </c>
      <c r="FG4" t="s">
        <v>4177</v>
      </c>
    </row>
    <row r="5" spans="1:400" x14ac:dyDescent="0.25">
      <c r="A5">
        <v>1</v>
      </c>
      <c r="B5" t="s">
        <v>55</v>
      </c>
      <c r="CZ5" s="26"/>
      <c r="DA5" s="27"/>
      <c r="DK5" s="35" t="s">
        <v>4108</v>
      </c>
      <c r="DL5" s="37" t="s">
        <v>4258</v>
      </c>
      <c r="DM5" t="s">
        <v>4099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L5" t="s">
        <v>4100</v>
      </c>
      <c r="EO5" t="s">
        <v>4101</v>
      </c>
      <c r="EP5">
        <v>1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Y5" t="s">
        <v>4105</v>
      </c>
      <c r="EZ5">
        <v>0</v>
      </c>
      <c r="FA5">
        <v>0</v>
      </c>
      <c r="FB5">
        <v>1</v>
      </c>
      <c r="FC5">
        <v>0</v>
      </c>
      <c r="FF5" t="s">
        <v>4109</v>
      </c>
    </row>
    <row r="6" spans="1:400" x14ac:dyDescent="0.25">
      <c r="A6">
        <v>2</v>
      </c>
      <c r="B6" t="s">
        <v>74</v>
      </c>
      <c r="C6" t="s">
        <v>75</v>
      </c>
      <c r="D6" t="s">
        <v>57</v>
      </c>
      <c r="E6">
        <v>58</v>
      </c>
      <c r="F6" t="s">
        <v>58</v>
      </c>
      <c r="G6" t="s">
        <v>76</v>
      </c>
      <c r="H6" t="s">
        <v>60</v>
      </c>
      <c r="I6" t="s">
        <v>61</v>
      </c>
      <c r="J6" t="s">
        <v>62</v>
      </c>
      <c r="K6" t="s">
        <v>63</v>
      </c>
      <c r="M6" t="s">
        <v>77</v>
      </c>
      <c r="N6" t="s">
        <v>78</v>
      </c>
      <c r="O6">
        <v>7</v>
      </c>
      <c r="P6" s="1">
        <v>70000</v>
      </c>
      <c r="Q6" s="1">
        <v>0</v>
      </c>
      <c r="R6" t="s">
        <v>81</v>
      </c>
      <c r="S6" s="7">
        <v>30000</v>
      </c>
      <c r="T6" t="s">
        <v>70</v>
      </c>
      <c r="U6" s="5">
        <v>0</v>
      </c>
      <c r="V6" s="3" t="s">
        <v>78</v>
      </c>
      <c r="W6" s="5">
        <v>10000</v>
      </c>
      <c r="X6" t="s">
        <v>73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 t="s">
        <v>63</v>
      </c>
      <c r="AR6">
        <v>1</v>
      </c>
      <c r="AS6" s="2">
        <v>0.36</v>
      </c>
      <c r="AT6" t="s">
        <v>509</v>
      </c>
      <c r="AU6">
        <v>0</v>
      </c>
      <c r="AV6">
        <v>1</v>
      </c>
      <c r="AW6">
        <v>0</v>
      </c>
      <c r="AX6">
        <v>0</v>
      </c>
      <c r="AY6">
        <v>0</v>
      </c>
      <c r="AZ6" t="s">
        <v>510</v>
      </c>
      <c r="BA6" t="s">
        <v>511</v>
      </c>
      <c r="BC6" t="s">
        <v>512</v>
      </c>
      <c r="BD6" t="s">
        <v>513</v>
      </c>
      <c r="BE6">
        <v>2011</v>
      </c>
      <c r="BF6">
        <v>12</v>
      </c>
      <c r="BG6" t="s">
        <v>508</v>
      </c>
      <c r="BH6">
        <v>1</v>
      </c>
      <c r="BI6">
        <v>0</v>
      </c>
      <c r="BJ6">
        <v>0</v>
      </c>
      <c r="BK6">
        <v>0</v>
      </c>
      <c r="BL6">
        <v>0</v>
      </c>
      <c r="BM6" t="s">
        <v>63</v>
      </c>
      <c r="BN6" t="s">
        <v>84</v>
      </c>
      <c r="CM6" t="s">
        <v>785</v>
      </c>
      <c r="CN6" t="s">
        <v>63</v>
      </c>
      <c r="CO6" t="s">
        <v>732</v>
      </c>
      <c r="CP6" t="s">
        <v>3937</v>
      </c>
      <c r="CQ6" t="s">
        <v>2996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 t="s">
        <v>3938</v>
      </c>
      <c r="CY6" t="s">
        <v>3939</v>
      </c>
      <c r="CZ6" s="26" t="s">
        <v>3940</v>
      </c>
      <c r="DA6" s="27" t="s">
        <v>4192</v>
      </c>
      <c r="DJ6" t="s">
        <v>84</v>
      </c>
      <c r="DK6" s="35"/>
      <c r="DL6" s="37"/>
      <c r="EY6" t="s">
        <v>4105</v>
      </c>
      <c r="EZ6">
        <v>0</v>
      </c>
      <c r="FA6">
        <v>0</v>
      </c>
      <c r="FB6">
        <v>1</v>
      </c>
      <c r="FC6">
        <v>0</v>
      </c>
      <c r="FF6" t="s">
        <v>4112</v>
      </c>
      <c r="FI6" t="s">
        <v>736</v>
      </c>
      <c r="FJ6" t="s">
        <v>786</v>
      </c>
      <c r="FK6" t="s">
        <v>736</v>
      </c>
      <c r="FL6" t="s">
        <v>786</v>
      </c>
      <c r="FM6" t="s">
        <v>733</v>
      </c>
      <c r="FN6" t="s">
        <v>787</v>
      </c>
      <c r="FO6" t="s">
        <v>733</v>
      </c>
      <c r="FP6" t="s">
        <v>788</v>
      </c>
      <c r="FQ6" t="s">
        <v>733</v>
      </c>
      <c r="FR6" t="s">
        <v>734</v>
      </c>
      <c r="FS6" t="s">
        <v>733</v>
      </c>
      <c r="FT6" t="s">
        <v>734</v>
      </c>
      <c r="FU6" t="s">
        <v>733</v>
      </c>
      <c r="FV6" t="s">
        <v>789</v>
      </c>
      <c r="FW6" t="s">
        <v>733</v>
      </c>
      <c r="FY6" t="s">
        <v>733</v>
      </c>
      <c r="FZ6" t="s">
        <v>734</v>
      </c>
      <c r="GA6" t="s">
        <v>733</v>
      </c>
      <c r="GC6" t="s">
        <v>733</v>
      </c>
      <c r="GD6" t="s">
        <v>790</v>
      </c>
      <c r="GE6" t="s">
        <v>733</v>
      </c>
      <c r="GG6" t="s">
        <v>733</v>
      </c>
      <c r="GH6" t="s">
        <v>790</v>
      </c>
      <c r="GI6" t="s">
        <v>733</v>
      </c>
      <c r="GK6" t="s">
        <v>733</v>
      </c>
      <c r="GL6" t="s">
        <v>791</v>
      </c>
      <c r="GM6" t="s">
        <v>733</v>
      </c>
      <c r="GO6" t="s">
        <v>736</v>
      </c>
      <c r="GP6" t="s">
        <v>792</v>
      </c>
      <c r="GQ6" t="s">
        <v>736</v>
      </c>
      <c r="GR6" t="s">
        <v>793</v>
      </c>
      <c r="GS6" t="s">
        <v>733</v>
      </c>
      <c r="GT6" t="s">
        <v>794</v>
      </c>
      <c r="GU6" t="s">
        <v>733</v>
      </c>
      <c r="GW6" t="s">
        <v>733</v>
      </c>
      <c r="GX6" t="s">
        <v>795</v>
      </c>
      <c r="GY6" t="s">
        <v>777</v>
      </c>
      <c r="GZ6" t="s">
        <v>796</v>
      </c>
      <c r="HA6" t="s">
        <v>736</v>
      </c>
      <c r="HB6" t="s">
        <v>797</v>
      </c>
      <c r="HC6" t="s">
        <v>736</v>
      </c>
      <c r="HD6" t="s">
        <v>797</v>
      </c>
      <c r="HE6" t="s">
        <v>798</v>
      </c>
      <c r="HF6" t="s">
        <v>797</v>
      </c>
      <c r="HG6" t="s">
        <v>736</v>
      </c>
      <c r="HH6" t="s">
        <v>797</v>
      </c>
      <c r="HI6" t="s">
        <v>736</v>
      </c>
      <c r="HJ6" t="s">
        <v>797</v>
      </c>
      <c r="HK6" t="s">
        <v>736</v>
      </c>
      <c r="HL6" t="s">
        <v>797</v>
      </c>
      <c r="HM6" t="s">
        <v>777</v>
      </c>
      <c r="HN6" t="s">
        <v>797</v>
      </c>
      <c r="HO6" t="s">
        <v>733</v>
      </c>
      <c r="HP6" t="s">
        <v>799</v>
      </c>
      <c r="HQ6" t="s">
        <v>743</v>
      </c>
      <c r="HR6" t="s">
        <v>799</v>
      </c>
      <c r="HS6" t="s">
        <v>733</v>
      </c>
      <c r="HT6" t="s">
        <v>800</v>
      </c>
      <c r="HU6" t="s">
        <v>733</v>
      </c>
      <c r="HW6" t="s">
        <v>736</v>
      </c>
      <c r="HX6" t="s">
        <v>801</v>
      </c>
      <c r="HY6" t="s">
        <v>736</v>
      </c>
      <c r="IA6" t="s">
        <v>733</v>
      </c>
      <c r="IC6" t="s">
        <v>733</v>
      </c>
      <c r="IE6" t="s">
        <v>736</v>
      </c>
      <c r="IF6" t="s">
        <v>797</v>
      </c>
      <c r="IG6" t="s">
        <v>736</v>
      </c>
      <c r="IH6" t="s">
        <v>797</v>
      </c>
      <c r="II6" t="s">
        <v>736</v>
      </c>
      <c r="IJ6" t="s">
        <v>797</v>
      </c>
      <c r="IK6" t="s">
        <v>736</v>
      </c>
      <c r="IM6" t="s">
        <v>746</v>
      </c>
      <c r="IN6" t="s">
        <v>802</v>
      </c>
      <c r="IO6" t="s">
        <v>746</v>
      </c>
      <c r="IQ6" t="s">
        <v>746</v>
      </c>
      <c r="IR6" t="s">
        <v>803</v>
      </c>
      <c r="IS6" t="s">
        <v>746</v>
      </c>
      <c r="IU6" t="s">
        <v>746</v>
      </c>
      <c r="IW6" t="s">
        <v>746</v>
      </c>
      <c r="IY6" t="s">
        <v>746</v>
      </c>
      <c r="JA6" t="s">
        <v>746</v>
      </c>
      <c r="JC6" t="s">
        <v>746</v>
      </c>
      <c r="JE6" t="s">
        <v>746</v>
      </c>
      <c r="JG6" t="s">
        <v>746</v>
      </c>
      <c r="JI6" t="s">
        <v>746</v>
      </c>
      <c r="JL6" t="s">
        <v>763</v>
      </c>
      <c r="JO6" t="s">
        <v>746</v>
      </c>
      <c r="JQ6" t="s">
        <v>746</v>
      </c>
      <c r="JS6" t="s">
        <v>746</v>
      </c>
      <c r="JU6" t="s">
        <v>746</v>
      </c>
      <c r="JW6" t="s">
        <v>746</v>
      </c>
      <c r="JY6" t="s">
        <v>746</v>
      </c>
      <c r="KA6" t="s">
        <v>746</v>
      </c>
      <c r="KC6" t="s">
        <v>746</v>
      </c>
      <c r="KE6" t="s">
        <v>746</v>
      </c>
      <c r="KG6" t="s">
        <v>746</v>
      </c>
      <c r="KI6" t="s">
        <v>746</v>
      </c>
      <c r="KK6" t="s">
        <v>746</v>
      </c>
      <c r="KM6" t="s">
        <v>746</v>
      </c>
      <c r="KO6" t="s">
        <v>746</v>
      </c>
      <c r="KQ6" t="s">
        <v>746</v>
      </c>
      <c r="KS6" t="s">
        <v>746</v>
      </c>
      <c r="KU6" t="s">
        <v>746</v>
      </c>
      <c r="KW6" t="s">
        <v>746</v>
      </c>
      <c r="KY6" t="s">
        <v>746</v>
      </c>
      <c r="LA6" t="s">
        <v>746</v>
      </c>
      <c r="LC6" t="s">
        <v>746</v>
      </c>
      <c r="LE6" t="s">
        <v>746</v>
      </c>
      <c r="LG6" t="s">
        <v>743</v>
      </c>
      <c r="LI6" t="s">
        <v>746</v>
      </c>
      <c r="LK6" t="s">
        <v>733</v>
      </c>
      <c r="LL6" t="s">
        <v>804</v>
      </c>
      <c r="LM6" t="s">
        <v>746</v>
      </c>
      <c r="LN6" t="s">
        <v>805</v>
      </c>
      <c r="LO6" t="s">
        <v>733</v>
      </c>
      <c r="LP6" t="s">
        <v>806</v>
      </c>
      <c r="LQ6" t="s">
        <v>736</v>
      </c>
      <c r="LR6" t="s">
        <v>806</v>
      </c>
      <c r="LS6" t="s">
        <v>733</v>
      </c>
      <c r="LT6" t="s">
        <v>807</v>
      </c>
      <c r="LW6" t="s">
        <v>733</v>
      </c>
      <c r="LX6" t="s">
        <v>808</v>
      </c>
      <c r="LY6" t="s">
        <v>733</v>
      </c>
      <c r="MA6" t="s">
        <v>733</v>
      </c>
      <c r="MB6" t="s">
        <v>809</v>
      </c>
      <c r="MC6" t="s">
        <v>733</v>
      </c>
      <c r="ME6" t="s">
        <v>733</v>
      </c>
      <c r="MF6" t="s">
        <v>810</v>
      </c>
      <c r="MG6" t="s">
        <v>733</v>
      </c>
      <c r="MO6" t="s">
        <v>783</v>
      </c>
      <c r="MP6" t="s">
        <v>783</v>
      </c>
      <c r="MQ6" t="s">
        <v>783</v>
      </c>
      <c r="MR6" t="s">
        <v>783</v>
      </c>
      <c r="MS6" t="s">
        <v>783</v>
      </c>
      <c r="MT6" t="s">
        <v>783</v>
      </c>
      <c r="MU6" t="s">
        <v>783</v>
      </c>
      <c r="MV6" t="s">
        <v>783</v>
      </c>
      <c r="MW6" t="s">
        <v>783</v>
      </c>
      <c r="MX6" t="s">
        <v>783</v>
      </c>
      <c r="MZ6" t="s">
        <v>783</v>
      </c>
      <c r="NA6" t="s">
        <v>781</v>
      </c>
      <c r="NB6" t="s">
        <v>781</v>
      </c>
      <c r="NC6" t="s">
        <v>781</v>
      </c>
      <c r="ND6" t="s">
        <v>784</v>
      </c>
      <c r="NE6" t="s">
        <v>784</v>
      </c>
      <c r="NF6" t="s">
        <v>781</v>
      </c>
      <c r="NG6" t="s">
        <v>781</v>
      </c>
      <c r="NH6" t="s">
        <v>784</v>
      </c>
      <c r="NI6" t="s">
        <v>784</v>
      </c>
      <c r="NJ6" t="s">
        <v>781</v>
      </c>
      <c r="NK6" t="s">
        <v>781</v>
      </c>
      <c r="NL6" t="s">
        <v>784</v>
      </c>
      <c r="NM6" t="s">
        <v>783</v>
      </c>
      <c r="NN6" t="s">
        <v>782</v>
      </c>
      <c r="NO6" t="s">
        <v>782</v>
      </c>
      <c r="NP6" t="s">
        <v>781</v>
      </c>
      <c r="NQ6" t="s">
        <v>781</v>
      </c>
      <c r="NR6" t="s">
        <v>781</v>
      </c>
      <c r="NS6" t="s">
        <v>781</v>
      </c>
      <c r="NT6" t="s">
        <v>784</v>
      </c>
      <c r="NU6" t="s">
        <v>781</v>
      </c>
      <c r="NV6" t="s">
        <v>781</v>
      </c>
      <c r="NW6" t="s">
        <v>781</v>
      </c>
      <c r="NX6" t="s">
        <v>783</v>
      </c>
      <c r="NY6" t="s">
        <v>782</v>
      </c>
      <c r="NZ6" t="s">
        <v>782</v>
      </c>
      <c r="OA6" t="s">
        <v>781</v>
      </c>
      <c r="OB6" t="s">
        <v>783</v>
      </c>
      <c r="OC6" t="s">
        <v>782</v>
      </c>
      <c r="OD6" t="s">
        <v>781</v>
      </c>
      <c r="OE6" t="s">
        <v>781</v>
      </c>
      <c r="OF6" t="s">
        <v>781</v>
      </c>
      <c r="OG6" t="s">
        <v>781</v>
      </c>
      <c r="OH6" t="s">
        <v>781</v>
      </c>
      <c r="OI6" t="s">
        <v>781</v>
      </c>
      <c r="OJ6" t="s">
        <v>781</v>
      </c>
    </row>
    <row r="7" spans="1:400" x14ac:dyDescent="0.25">
      <c r="A7">
        <v>3</v>
      </c>
      <c r="B7" t="s">
        <v>85</v>
      </c>
      <c r="C7" t="s">
        <v>86</v>
      </c>
      <c r="D7" t="s">
        <v>57</v>
      </c>
      <c r="E7">
        <v>25</v>
      </c>
      <c r="F7" t="s">
        <v>87</v>
      </c>
      <c r="G7" t="s">
        <v>59</v>
      </c>
      <c r="H7" t="s">
        <v>60</v>
      </c>
      <c r="I7" t="s">
        <v>88</v>
      </c>
      <c r="J7" t="s">
        <v>62</v>
      </c>
      <c r="K7" t="s">
        <v>63</v>
      </c>
      <c r="M7" t="s">
        <v>89</v>
      </c>
      <c r="N7" t="s">
        <v>90</v>
      </c>
      <c r="O7">
        <v>5</v>
      </c>
      <c r="P7" s="1">
        <v>40000</v>
      </c>
      <c r="Q7" s="1">
        <v>0</v>
      </c>
      <c r="R7" t="s">
        <v>92</v>
      </c>
      <c r="S7" s="7">
        <v>40000</v>
      </c>
      <c r="T7" t="s">
        <v>70</v>
      </c>
      <c r="U7" s="5">
        <v>0</v>
      </c>
      <c r="V7" s="3" t="s">
        <v>93</v>
      </c>
      <c r="W7" s="5">
        <v>0</v>
      </c>
      <c r="X7" t="s">
        <v>94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 t="s">
        <v>63</v>
      </c>
      <c r="AR7">
        <v>1</v>
      </c>
      <c r="AS7" s="2">
        <v>0.5</v>
      </c>
      <c r="AT7" t="s">
        <v>503</v>
      </c>
      <c r="AU7">
        <v>0</v>
      </c>
      <c r="AV7">
        <v>0</v>
      </c>
      <c r="AW7">
        <v>0</v>
      </c>
      <c r="AX7">
        <v>1</v>
      </c>
      <c r="AY7">
        <v>0</v>
      </c>
      <c r="AZ7" t="s">
        <v>514</v>
      </c>
      <c r="BA7" t="s">
        <v>71</v>
      </c>
      <c r="BB7" t="s">
        <v>506</v>
      </c>
      <c r="BC7" t="s">
        <v>515</v>
      </c>
      <c r="BD7" t="s">
        <v>507</v>
      </c>
      <c r="BE7">
        <v>2016</v>
      </c>
      <c r="BF7">
        <v>7</v>
      </c>
      <c r="BG7" t="s">
        <v>508</v>
      </c>
      <c r="BH7">
        <v>1</v>
      </c>
      <c r="BI7">
        <v>0</v>
      </c>
      <c r="BJ7">
        <v>0</v>
      </c>
      <c r="BK7">
        <v>0</v>
      </c>
      <c r="BL7">
        <v>0</v>
      </c>
      <c r="BM7" t="s">
        <v>63</v>
      </c>
      <c r="BN7" t="s">
        <v>84</v>
      </c>
      <c r="CM7" t="s">
        <v>785</v>
      </c>
      <c r="CN7" t="s">
        <v>63</v>
      </c>
      <c r="CO7" t="s">
        <v>732</v>
      </c>
      <c r="CP7" t="s">
        <v>3941</v>
      </c>
      <c r="CQ7" t="s">
        <v>2996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 t="s">
        <v>3938</v>
      </c>
      <c r="CY7" t="s">
        <v>3942</v>
      </c>
      <c r="CZ7" s="26" t="s">
        <v>3943</v>
      </c>
      <c r="DA7" s="27" t="s">
        <v>4192</v>
      </c>
      <c r="DJ7" t="s">
        <v>63</v>
      </c>
      <c r="DK7" s="35" t="s">
        <v>4110</v>
      </c>
      <c r="DL7" s="37" t="s">
        <v>4255</v>
      </c>
      <c r="DM7" t="s">
        <v>2996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N7" t="s">
        <v>3938</v>
      </c>
      <c r="EO7" t="s">
        <v>4111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Y7" t="s">
        <v>4105</v>
      </c>
      <c r="EZ7">
        <v>0</v>
      </c>
      <c r="FA7">
        <v>0</v>
      </c>
      <c r="FB7">
        <v>1</v>
      </c>
      <c r="FC7">
        <v>0</v>
      </c>
      <c r="FF7" t="s">
        <v>4116</v>
      </c>
      <c r="FI7" t="s">
        <v>736</v>
      </c>
      <c r="FJ7" t="s">
        <v>811</v>
      </c>
      <c r="FK7" t="s">
        <v>736</v>
      </c>
      <c r="FL7" t="s">
        <v>812</v>
      </c>
      <c r="FM7" t="s">
        <v>736</v>
      </c>
      <c r="FN7" t="s">
        <v>813</v>
      </c>
      <c r="FO7" t="s">
        <v>736</v>
      </c>
      <c r="FP7" t="s">
        <v>814</v>
      </c>
      <c r="FQ7" t="s">
        <v>736</v>
      </c>
      <c r="FR7" t="s">
        <v>815</v>
      </c>
      <c r="FS7" t="s">
        <v>736</v>
      </c>
      <c r="FT7" t="s">
        <v>816</v>
      </c>
      <c r="FU7" t="s">
        <v>733</v>
      </c>
      <c r="FV7" t="s">
        <v>817</v>
      </c>
      <c r="FW7" t="s">
        <v>733</v>
      </c>
      <c r="FX7" t="s">
        <v>818</v>
      </c>
      <c r="FY7" t="s">
        <v>736</v>
      </c>
      <c r="FZ7" t="s">
        <v>819</v>
      </c>
      <c r="GA7" t="s">
        <v>736</v>
      </c>
      <c r="GB7" t="s">
        <v>820</v>
      </c>
      <c r="GC7" t="s">
        <v>736</v>
      </c>
      <c r="GD7" t="s">
        <v>821</v>
      </c>
      <c r="GE7" t="s">
        <v>736</v>
      </c>
      <c r="GF7" t="s">
        <v>822</v>
      </c>
      <c r="GG7" t="s">
        <v>746</v>
      </c>
      <c r="GH7" t="s">
        <v>823</v>
      </c>
      <c r="GI7" t="s">
        <v>746</v>
      </c>
      <c r="GJ7" t="s">
        <v>824</v>
      </c>
      <c r="GK7" t="s">
        <v>746</v>
      </c>
      <c r="GL7" t="s">
        <v>825</v>
      </c>
      <c r="GM7" t="s">
        <v>746</v>
      </c>
      <c r="GN7" t="s">
        <v>826</v>
      </c>
      <c r="GO7" t="s">
        <v>736</v>
      </c>
      <c r="GP7" t="s">
        <v>827</v>
      </c>
      <c r="GQ7" t="s">
        <v>736</v>
      </c>
      <c r="GR7" t="s">
        <v>828</v>
      </c>
      <c r="GS7" t="s">
        <v>733</v>
      </c>
      <c r="GT7" t="s">
        <v>829</v>
      </c>
      <c r="GU7" t="s">
        <v>733</v>
      </c>
      <c r="GV7" t="s">
        <v>830</v>
      </c>
      <c r="GW7" t="s">
        <v>733</v>
      </c>
      <c r="GX7" t="s">
        <v>831</v>
      </c>
      <c r="GY7" t="s">
        <v>733</v>
      </c>
      <c r="GZ7" t="s">
        <v>832</v>
      </c>
      <c r="HA7" t="s">
        <v>733</v>
      </c>
      <c r="HB7" t="s">
        <v>832</v>
      </c>
      <c r="HC7" t="s">
        <v>733</v>
      </c>
      <c r="HD7" t="s">
        <v>832</v>
      </c>
      <c r="HE7" t="s">
        <v>733</v>
      </c>
      <c r="HF7" t="s">
        <v>832</v>
      </c>
      <c r="HG7" t="s">
        <v>733</v>
      </c>
      <c r="HH7" t="s">
        <v>832</v>
      </c>
      <c r="HI7" t="s">
        <v>733</v>
      </c>
      <c r="HJ7" t="s">
        <v>832</v>
      </c>
      <c r="HK7" t="s">
        <v>746</v>
      </c>
      <c r="HL7" t="s">
        <v>833</v>
      </c>
      <c r="HM7" t="s">
        <v>746</v>
      </c>
      <c r="HN7" t="s">
        <v>834</v>
      </c>
      <c r="HO7" t="s">
        <v>746</v>
      </c>
      <c r="HP7" t="s">
        <v>835</v>
      </c>
      <c r="HQ7" t="s">
        <v>746</v>
      </c>
      <c r="HR7" t="s">
        <v>836</v>
      </c>
      <c r="HS7" t="s">
        <v>733</v>
      </c>
      <c r="HT7" t="s">
        <v>837</v>
      </c>
      <c r="HU7" t="s">
        <v>733</v>
      </c>
      <c r="HV7" t="s">
        <v>817</v>
      </c>
      <c r="HW7" t="s">
        <v>733</v>
      </c>
      <c r="HX7" t="s">
        <v>817</v>
      </c>
      <c r="HY7" t="s">
        <v>733</v>
      </c>
      <c r="HZ7" t="s">
        <v>817</v>
      </c>
      <c r="IA7" t="s">
        <v>733</v>
      </c>
      <c r="IB7" t="s">
        <v>817</v>
      </c>
      <c r="IC7" t="s">
        <v>733</v>
      </c>
      <c r="IE7" t="s">
        <v>746</v>
      </c>
      <c r="IF7" t="s">
        <v>838</v>
      </c>
      <c r="IG7" t="s">
        <v>746</v>
      </c>
      <c r="IH7" t="s">
        <v>839</v>
      </c>
      <c r="II7" t="s">
        <v>736</v>
      </c>
      <c r="IJ7" t="s">
        <v>840</v>
      </c>
      <c r="IK7" t="s">
        <v>736</v>
      </c>
      <c r="IL7" t="s">
        <v>841</v>
      </c>
      <c r="IM7" t="s">
        <v>746</v>
      </c>
      <c r="IN7" t="s">
        <v>842</v>
      </c>
      <c r="IO7" t="s">
        <v>746</v>
      </c>
      <c r="IP7" t="s">
        <v>842</v>
      </c>
      <c r="IQ7" t="s">
        <v>746</v>
      </c>
      <c r="IR7" t="s">
        <v>843</v>
      </c>
      <c r="IS7" t="s">
        <v>746</v>
      </c>
      <c r="IT7" t="s">
        <v>842</v>
      </c>
      <c r="IU7" t="s">
        <v>746</v>
      </c>
      <c r="IV7" t="s">
        <v>844</v>
      </c>
      <c r="IW7" t="s">
        <v>746</v>
      </c>
      <c r="IX7" t="s">
        <v>844</v>
      </c>
      <c r="IY7" t="s">
        <v>746</v>
      </c>
      <c r="IZ7" t="s">
        <v>844</v>
      </c>
      <c r="JA7" t="s">
        <v>746</v>
      </c>
      <c r="JB7" t="s">
        <v>842</v>
      </c>
      <c r="JC7" t="s">
        <v>746</v>
      </c>
      <c r="JD7" t="s">
        <v>844</v>
      </c>
      <c r="JE7" t="s">
        <v>746</v>
      </c>
      <c r="JF7" t="s">
        <v>844</v>
      </c>
      <c r="JH7" t="s">
        <v>845</v>
      </c>
      <c r="JL7" t="s">
        <v>763</v>
      </c>
      <c r="JO7" t="s">
        <v>746</v>
      </c>
      <c r="JP7" t="s">
        <v>846</v>
      </c>
      <c r="JQ7" t="s">
        <v>746</v>
      </c>
      <c r="JR7" t="s">
        <v>844</v>
      </c>
      <c r="JS7" t="s">
        <v>746</v>
      </c>
      <c r="JT7" t="s">
        <v>847</v>
      </c>
      <c r="JU7" t="s">
        <v>746</v>
      </c>
      <c r="JV7" t="s">
        <v>844</v>
      </c>
      <c r="JW7" t="s">
        <v>746</v>
      </c>
      <c r="JX7" t="s">
        <v>844</v>
      </c>
      <c r="JY7" t="s">
        <v>746</v>
      </c>
      <c r="JZ7" t="s">
        <v>844</v>
      </c>
      <c r="KA7" t="s">
        <v>746</v>
      </c>
      <c r="KB7" t="s">
        <v>844</v>
      </c>
      <c r="KC7" t="s">
        <v>746</v>
      </c>
      <c r="KD7" t="s">
        <v>848</v>
      </c>
      <c r="KE7" t="s">
        <v>746</v>
      </c>
      <c r="KF7" t="s">
        <v>823</v>
      </c>
      <c r="KG7" t="s">
        <v>746</v>
      </c>
      <c r="KH7" t="s">
        <v>823</v>
      </c>
      <c r="KI7" t="s">
        <v>746</v>
      </c>
      <c r="KJ7" t="s">
        <v>844</v>
      </c>
      <c r="KK7" t="s">
        <v>746</v>
      </c>
      <c r="KL7" t="s">
        <v>823</v>
      </c>
      <c r="KM7" t="s">
        <v>746</v>
      </c>
      <c r="KN7" t="s">
        <v>844</v>
      </c>
      <c r="KO7" t="s">
        <v>746</v>
      </c>
      <c r="KP7" t="s">
        <v>823</v>
      </c>
      <c r="KQ7" t="s">
        <v>746</v>
      </c>
      <c r="KR7" t="s">
        <v>844</v>
      </c>
      <c r="KS7" t="s">
        <v>746</v>
      </c>
      <c r="KT7" t="s">
        <v>823</v>
      </c>
      <c r="KU7" t="s">
        <v>746</v>
      </c>
      <c r="KV7" t="s">
        <v>849</v>
      </c>
      <c r="KW7" t="s">
        <v>746</v>
      </c>
      <c r="KX7" t="s">
        <v>849</v>
      </c>
      <c r="KY7" t="s">
        <v>746</v>
      </c>
      <c r="KZ7" t="s">
        <v>850</v>
      </c>
      <c r="LA7" t="s">
        <v>746</v>
      </c>
      <c r="LB7" t="s">
        <v>851</v>
      </c>
      <c r="LC7" t="s">
        <v>736</v>
      </c>
      <c r="LD7" t="s">
        <v>852</v>
      </c>
      <c r="LE7" t="s">
        <v>736</v>
      </c>
      <c r="LF7" t="s">
        <v>853</v>
      </c>
      <c r="LG7" t="s">
        <v>736</v>
      </c>
      <c r="LH7" t="s">
        <v>854</v>
      </c>
      <c r="LI7" t="s">
        <v>736</v>
      </c>
      <c r="LJ7" t="s">
        <v>854</v>
      </c>
      <c r="LK7" t="s">
        <v>733</v>
      </c>
      <c r="LL7" t="s">
        <v>855</v>
      </c>
      <c r="LM7" t="s">
        <v>733</v>
      </c>
      <c r="LO7" t="s">
        <v>746</v>
      </c>
      <c r="LP7" t="s">
        <v>856</v>
      </c>
      <c r="LQ7" t="s">
        <v>746</v>
      </c>
      <c r="LR7" t="s">
        <v>844</v>
      </c>
      <c r="LS7" t="s">
        <v>746</v>
      </c>
      <c r="LT7" t="s">
        <v>857</v>
      </c>
      <c r="LU7" t="s">
        <v>746</v>
      </c>
      <c r="LV7" t="s">
        <v>858</v>
      </c>
      <c r="LW7" t="s">
        <v>746</v>
      </c>
      <c r="LX7" t="s">
        <v>859</v>
      </c>
      <c r="LY7" t="s">
        <v>746</v>
      </c>
      <c r="LZ7" t="s">
        <v>859</v>
      </c>
      <c r="MA7" t="s">
        <v>746</v>
      </c>
      <c r="MB7" t="s">
        <v>860</v>
      </c>
      <c r="MC7" t="s">
        <v>746</v>
      </c>
      <c r="MD7" t="s">
        <v>861</v>
      </c>
      <c r="ME7" t="s">
        <v>736</v>
      </c>
      <c r="MF7" t="s">
        <v>862</v>
      </c>
      <c r="MG7" t="s">
        <v>736</v>
      </c>
      <c r="MH7" t="s">
        <v>863</v>
      </c>
      <c r="MI7" t="s">
        <v>746</v>
      </c>
      <c r="MK7" t="s">
        <v>746</v>
      </c>
      <c r="MO7" t="s">
        <v>783</v>
      </c>
      <c r="MP7" t="s">
        <v>783</v>
      </c>
      <c r="MQ7" t="s">
        <v>783</v>
      </c>
      <c r="MR7" t="s">
        <v>783</v>
      </c>
      <c r="MS7" t="s">
        <v>783</v>
      </c>
      <c r="MT7" t="s">
        <v>783</v>
      </c>
      <c r="MU7" t="s">
        <v>783</v>
      </c>
      <c r="MV7" t="s">
        <v>783</v>
      </c>
      <c r="MW7" t="s">
        <v>783</v>
      </c>
      <c r="MX7" t="s">
        <v>783</v>
      </c>
      <c r="MZ7" t="s">
        <v>783</v>
      </c>
      <c r="NA7" t="s">
        <v>784</v>
      </c>
      <c r="NB7" t="s">
        <v>784</v>
      </c>
      <c r="NC7" t="s">
        <v>783</v>
      </c>
      <c r="ND7" t="s">
        <v>783</v>
      </c>
      <c r="NE7" t="s">
        <v>784</v>
      </c>
      <c r="NF7" t="s">
        <v>784</v>
      </c>
      <c r="NG7" t="s">
        <v>783</v>
      </c>
      <c r="NH7" t="s">
        <v>783</v>
      </c>
      <c r="NI7" t="s">
        <v>783</v>
      </c>
      <c r="NJ7" t="s">
        <v>783</v>
      </c>
      <c r="NK7" t="s">
        <v>783</v>
      </c>
      <c r="NL7" t="s">
        <v>783</v>
      </c>
      <c r="NM7" t="s">
        <v>783</v>
      </c>
      <c r="NN7" t="s">
        <v>784</v>
      </c>
      <c r="NO7" t="s">
        <v>784</v>
      </c>
      <c r="NP7" t="s">
        <v>783</v>
      </c>
      <c r="NQ7" t="s">
        <v>783</v>
      </c>
      <c r="NR7" t="s">
        <v>783</v>
      </c>
      <c r="NS7" t="s">
        <v>784</v>
      </c>
      <c r="NT7" t="s">
        <v>784</v>
      </c>
      <c r="NU7" t="s">
        <v>783</v>
      </c>
      <c r="NV7" t="s">
        <v>784</v>
      </c>
      <c r="NW7" t="s">
        <v>784</v>
      </c>
      <c r="NX7" t="s">
        <v>783</v>
      </c>
      <c r="NY7" t="s">
        <v>784</v>
      </c>
      <c r="NZ7" t="s">
        <v>783</v>
      </c>
      <c r="OA7" t="s">
        <v>783</v>
      </c>
      <c r="OB7" t="s">
        <v>784</v>
      </c>
      <c r="OC7" t="s">
        <v>784</v>
      </c>
      <c r="OD7" t="s">
        <v>783</v>
      </c>
      <c r="OE7" t="s">
        <v>783</v>
      </c>
      <c r="OF7" t="s">
        <v>783</v>
      </c>
      <c r="OG7" t="s">
        <v>783</v>
      </c>
      <c r="OH7" t="s">
        <v>783</v>
      </c>
      <c r="OI7" t="s">
        <v>783</v>
      </c>
      <c r="OJ7" t="s">
        <v>783</v>
      </c>
    </row>
    <row r="8" spans="1:400" x14ac:dyDescent="0.25">
      <c r="A8">
        <v>4</v>
      </c>
      <c r="B8" t="s">
        <v>95</v>
      </c>
      <c r="C8" t="s">
        <v>96</v>
      </c>
      <c r="D8" t="s">
        <v>97</v>
      </c>
      <c r="E8">
        <v>34</v>
      </c>
      <c r="F8" t="s">
        <v>58</v>
      </c>
      <c r="G8" t="s">
        <v>76</v>
      </c>
      <c r="H8" t="s">
        <v>60</v>
      </c>
      <c r="I8" t="s">
        <v>61</v>
      </c>
      <c r="J8" t="s">
        <v>62</v>
      </c>
      <c r="K8" t="s">
        <v>84</v>
      </c>
      <c r="L8" t="s">
        <v>98</v>
      </c>
      <c r="M8" t="s">
        <v>77</v>
      </c>
      <c r="N8" t="s">
        <v>99</v>
      </c>
      <c r="O8">
        <v>5</v>
      </c>
      <c r="P8" s="1">
        <v>80000</v>
      </c>
      <c r="Q8" s="1">
        <v>30000</v>
      </c>
      <c r="R8" t="s">
        <v>101</v>
      </c>
      <c r="S8" s="7">
        <v>150000</v>
      </c>
      <c r="T8" t="s">
        <v>70</v>
      </c>
      <c r="U8" s="5">
        <v>0</v>
      </c>
      <c r="V8" s="3" t="s">
        <v>99</v>
      </c>
      <c r="W8" s="5">
        <v>30000</v>
      </c>
      <c r="X8" t="s">
        <v>94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P8" t="s">
        <v>84</v>
      </c>
      <c r="AQ8" t="s">
        <v>102</v>
      </c>
      <c r="AR8">
        <v>1</v>
      </c>
      <c r="AS8" s="2">
        <v>0.25</v>
      </c>
      <c r="AT8" t="s">
        <v>516</v>
      </c>
      <c r="AU8">
        <v>1</v>
      </c>
      <c r="AV8">
        <v>0</v>
      </c>
      <c r="AW8">
        <v>0</v>
      </c>
      <c r="AX8">
        <v>0</v>
      </c>
      <c r="AY8">
        <v>0</v>
      </c>
      <c r="AZ8" t="s">
        <v>517</v>
      </c>
      <c r="BA8" t="s">
        <v>71</v>
      </c>
      <c r="BB8" t="s">
        <v>506</v>
      </c>
      <c r="BC8" t="s">
        <v>515</v>
      </c>
      <c r="BD8" t="s">
        <v>507</v>
      </c>
      <c r="BE8">
        <v>2016</v>
      </c>
      <c r="BF8">
        <v>7</v>
      </c>
      <c r="BG8" t="s">
        <v>508</v>
      </c>
      <c r="BH8">
        <v>1</v>
      </c>
      <c r="BI8">
        <v>0</v>
      </c>
      <c r="BJ8">
        <v>0</v>
      </c>
      <c r="BK8">
        <v>0</v>
      </c>
      <c r="BL8">
        <v>0</v>
      </c>
      <c r="BM8" t="s">
        <v>63</v>
      </c>
      <c r="BN8" t="s">
        <v>63</v>
      </c>
      <c r="BO8" t="s">
        <v>3844</v>
      </c>
      <c r="BP8" t="s">
        <v>3845</v>
      </c>
      <c r="BR8" t="s">
        <v>3846</v>
      </c>
      <c r="BS8" t="s">
        <v>3838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CA8" t="s">
        <v>3847</v>
      </c>
      <c r="CB8" t="s">
        <v>3848</v>
      </c>
      <c r="CC8" t="s">
        <v>3847</v>
      </c>
      <c r="CD8" t="s">
        <v>3841</v>
      </c>
      <c r="CN8" t="s">
        <v>63</v>
      </c>
      <c r="CO8" t="s">
        <v>732</v>
      </c>
      <c r="CP8" t="s">
        <v>3944</v>
      </c>
      <c r="CQ8" t="s">
        <v>3945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Y8" t="s">
        <v>3946</v>
      </c>
      <c r="CZ8" s="26" t="s">
        <v>3947</v>
      </c>
      <c r="DA8" s="27" t="s">
        <v>4215</v>
      </c>
      <c r="DJ8" t="s">
        <v>84</v>
      </c>
      <c r="DK8" s="35"/>
      <c r="DL8" s="37"/>
      <c r="FI8" t="s">
        <v>733</v>
      </c>
      <c r="FJ8" t="s">
        <v>864</v>
      </c>
      <c r="FK8" t="s">
        <v>733</v>
      </c>
      <c r="FM8" t="s">
        <v>736</v>
      </c>
      <c r="FN8" t="s">
        <v>865</v>
      </c>
      <c r="FO8" t="s">
        <v>736</v>
      </c>
      <c r="FP8" t="s">
        <v>866</v>
      </c>
      <c r="FQ8" t="s">
        <v>736</v>
      </c>
      <c r="FR8" t="s">
        <v>867</v>
      </c>
      <c r="FS8" t="s">
        <v>736</v>
      </c>
      <c r="FU8" t="s">
        <v>733</v>
      </c>
      <c r="FV8" t="s">
        <v>868</v>
      </c>
      <c r="FW8" t="s">
        <v>733</v>
      </c>
      <c r="FY8" t="s">
        <v>733</v>
      </c>
      <c r="FZ8" t="s">
        <v>869</v>
      </c>
      <c r="GA8" t="s">
        <v>733</v>
      </c>
      <c r="GB8" t="s">
        <v>870</v>
      </c>
      <c r="GC8" t="s">
        <v>736</v>
      </c>
      <c r="GD8" t="s">
        <v>871</v>
      </c>
      <c r="GE8" t="s">
        <v>736</v>
      </c>
      <c r="GF8" t="s">
        <v>867</v>
      </c>
      <c r="GG8" t="s">
        <v>746</v>
      </c>
      <c r="GH8" t="s">
        <v>872</v>
      </c>
      <c r="GI8" t="s">
        <v>746</v>
      </c>
      <c r="GK8" t="s">
        <v>733</v>
      </c>
      <c r="GL8" t="s">
        <v>873</v>
      </c>
      <c r="GM8" t="s">
        <v>733</v>
      </c>
      <c r="GO8" t="s">
        <v>733</v>
      </c>
      <c r="GP8" t="s">
        <v>869</v>
      </c>
      <c r="GQ8" t="s">
        <v>733</v>
      </c>
      <c r="GS8" t="s">
        <v>733</v>
      </c>
      <c r="GT8" t="s">
        <v>874</v>
      </c>
      <c r="GU8" t="s">
        <v>733</v>
      </c>
      <c r="GW8" t="s">
        <v>733</v>
      </c>
      <c r="GX8" t="s">
        <v>875</v>
      </c>
      <c r="GY8" t="s">
        <v>733</v>
      </c>
      <c r="GZ8" t="s">
        <v>876</v>
      </c>
      <c r="HA8" t="s">
        <v>733</v>
      </c>
      <c r="HB8" t="s">
        <v>876</v>
      </c>
      <c r="HC8" t="s">
        <v>733</v>
      </c>
      <c r="HE8" t="s">
        <v>798</v>
      </c>
      <c r="HF8" t="s">
        <v>877</v>
      </c>
      <c r="HG8" t="s">
        <v>736</v>
      </c>
      <c r="HH8" t="s">
        <v>878</v>
      </c>
      <c r="HI8" t="s">
        <v>736</v>
      </c>
      <c r="HK8" t="s">
        <v>733</v>
      </c>
      <c r="HL8" t="s">
        <v>876</v>
      </c>
      <c r="HM8" t="s">
        <v>733</v>
      </c>
      <c r="HO8" t="s">
        <v>733</v>
      </c>
      <c r="HP8" t="s">
        <v>879</v>
      </c>
      <c r="HQ8" t="s">
        <v>746</v>
      </c>
      <c r="HS8" t="s">
        <v>736</v>
      </c>
      <c r="HT8" t="s">
        <v>880</v>
      </c>
      <c r="HU8" t="s">
        <v>736</v>
      </c>
      <c r="HW8" t="s">
        <v>736</v>
      </c>
      <c r="HX8" t="s">
        <v>881</v>
      </c>
      <c r="HY8" t="s">
        <v>736</v>
      </c>
      <c r="II8" t="s">
        <v>736</v>
      </c>
      <c r="IJ8" t="s">
        <v>882</v>
      </c>
      <c r="IK8" t="s">
        <v>736</v>
      </c>
      <c r="IM8" t="s">
        <v>733</v>
      </c>
      <c r="IN8" t="s">
        <v>883</v>
      </c>
      <c r="IO8" t="s">
        <v>733</v>
      </c>
      <c r="IQ8" t="s">
        <v>746</v>
      </c>
      <c r="IR8" t="s">
        <v>884</v>
      </c>
      <c r="IS8" t="s">
        <v>736</v>
      </c>
      <c r="IT8" t="s">
        <v>885</v>
      </c>
      <c r="IU8" t="s">
        <v>733</v>
      </c>
      <c r="IV8" t="s">
        <v>886</v>
      </c>
      <c r="IW8" t="s">
        <v>733</v>
      </c>
      <c r="IY8" t="s">
        <v>733</v>
      </c>
      <c r="IZ8" t="s">
        <v>887</v>
      </c>
      <c r="JA8" t="s">
        <v>733</v>
      </c>
      <c r="JC8" t="s">
        <v>733</v>
      </c>
      <c r="JD8" t="s">
        <v>888</v>
      </c>
      <c r="JE8" t="s">
        <v>733</v>
      </c>
      <c r="JH8" t="s">
        <v>845</v>
      </c>
      <c r="JL8" t="s">
        <v>889</v>
      </c>
      <c r="JO8" t="s">
        <v>743</v>
      </c>
      <c r="JP8" t="s">
        <v>890</v>
      </c>
      <c r="JQ8" t="s">
        <v>743</v>
      </c>
      <c r="JS8" t="s">
        <v>733</v>
      </c>
      <c r="JT8" t="s">
        <v>891</v>
      </c>
      <c r="JU8" t="s">
        <v>733</v>
      </c>
      <c r="JW8" t="s">
        <v>743</v>
      </c>
      <c r="JX8" t="s">
        <v>892</v>
      </c>
      <c r="JY8" t="s">
        <v>743</v>
      </c>
      <c r="KB8" t="s">
        <v>893</v>
      </c>
      <c r="KE8" t="s">
        <v>746</v>
      </c>
      <c r="KF8" t="s">
        <v>894</v>
      </c>
      <c r="KG8" t="s">
        <v>746</v>
      </c>
      <c r="KI8" t="s">
        <v>746</v>
      </c>
      <c r="KJ8" t="s">
        <v>894</v>
      </c>
      <c r="KK8" t="s">
        <v>746</v>
      </c>
      <c r="KM8" t="s">
        <v>733</v>
      </c>
      <c r="KN8" t="s">
        <v>895</v>
      </c>
      <c r="KO8" t="s">
        <v>733</v>
      </c>
      <c r="KQ8" t="s">
        <v>733</v>
      </c>
      <c r="KR8" t="s">
        <v>896</v>
      </c>
      <c r="KS8" t="s">
        <v>733</v>
      </c>
      <c r="KT8" t="s">
        <v>897</v>
      </c>
      <c r="KU8" t="s">
        <v>733</v>
      </c>
      <c r="KV8" t="s">
        <v>741</v>
      </c>
      <c r="KW8" t="s">
        <v>733</v>
      </c>
      <c r="KX8" t="s">
        <v>898</v>
      </c>
      <c r="KY8" t="s">
        <v>733</v>
      </c>
      <c r="KZ8" t="s">
        <v>899</v>
      </c>
      <c r="LA8" t="s">
        <v>733</v>
      </c>
      <c r="LC8" t="s">
        <v>733</v>
      </c>
      <c r="LD8" t="s">
        <v>900</v>
      </c>
      <c r="LG8" t="s">
        <v>733</v>
      </c>
      <c r="LH8" t="s">
        <v>901</v>
      </c>
      <c r="LK8" t="s">
        <v>733</v>
      </c>
      <c r="LL8" t="s">
        <v>902</v>
      </c>
      <c r="LM8" t="s">
        <v>733</v>
      </c>
      <c r="LO8" t="s">
        <v>736</v>
      </c>
      <c r="LP8" t="s">
        <v>903</v>
      </c>
      <c r="LQ8" t="s">
        <v>733</v>
      </c>
      <c r="LR8" t="s">
        <v>904</v>
      </c>
      <c r="LS8" t="s">
        <v>733</v>
      </c>
      <c r="LT8" t="s">
        <v>905</v>
      </c>
      <c r="LU8" t="s">
        <v>733</v>
      </c>
      <c r="LW8" t="s">
        <v>733</v>
      </c>
      <c r="LX8" t="s">
        <v>734</v>
      </c>
      <c r="LY8" t="s">
        <v>733</v>
      </c>
      <c r="MA8" t="s">
        <v>733</v>
      </c>
      <c r="MB8" t="s">
        <v>883</v>
      </c>
      <c r="MC8" t="s">
        <v>733</v>
      </c>
      <c r="ME8" t="s">
        <v>746</v>
      </c>
      <c r="MF8" t="s">
        <v>906</v>
      </c>
      <c r="MG8" t="s">
        <v>746</v>
      </c>
      <c r="MI8" t="s">
        <v>733</v>
      </c>
      <c r="MO8" t="s">
        <v>781</v>
      </c>
      <c r="MP8" t="s">
        <v>784</v>
      </c>
      <c r="MQ8" t="s">
        <v>781</v>
      </c>
      <c r="MR8" t="s">
        <v>783</v>
      </c>
      <c r="MS8" t="s">
        <v>783</v>
      </c>
      <c r="MT8" t="s">
        <v>783</v>
      </c>
      <c r="MU8" t="s">
        <v>783</v>
      </c>
      <c r="MV8" t="s">
        <v>783</v>
      </c>
      <c r="MW8" t="s">
        <v>783</v>
      </c>
      <c r="MX8" t="s">
        <v>781</v>
      </c>
      <c r="MZ8" t="s">
        <v>781</v>
      </c>
      <c r="NA8" t="s">
        <v>783</v>
      </c>
      <c r="NB8" t="s">
        <v>783</v>
      </c>
      <c r="NC8" t="s">
        <v>783</v>
      </c>
      <c r="ND8" t="s">
        <v>781</v>
      </c>
      <c r="NE8" t="s">
        <v>783</v>
      </c>
      <c r="NF8" t="s">
        <v>783</v>
      </c>
      <c r="NG8" t="s">
        <v>783</v>
      </c>
      <c r="NH8" t="s">
        <v>784</v>
      </c>
      <c r="NI8" t="s">
        <v>783</v>
      </c>
      <c r="NJ8" t="s">
        <v>783</v>
      </c>
      <c r="NK8" t="s">
        <v>783</v>
      </c>
      <c r="NL8" t="s">
        <v>783</v>
      </c>
      <c r="NM8" t="s">
        <v>783</v>
      </c>
      <c r="NN8" t="s">
        <v>907</v>
      </c>
      <c r="NO8" t="s">
        <v>784</v>
      </c>
      <c r="NP8" t="s">
        <v>783</v>
      </c>
      <c r="NQ8" t="s">
        <v>907</v>
      </c>
      <c r="NR8" t="s">
        <v>783</v>
      </c>
      <c r="NS8" t="s">
        <v>784</v>
      </c>
      <c r="NT8" t="s">
        <v>784</v>
      </c>
      <c r="NU8" t="s">
        <v>907</v>
      </c>
      <c r="NV8" t="s">
        <v>784</v>
      </c>
      <c r="NW8" t="s">
        <v>784</v>
      </c>
      <c r="NX8" t="s">
        <v>783</v>
      </c>
      <c r="NY8" t="s">
        <v>784</v>
      </c>
      <c r="NZ8" t="s">
        <v>784</v>
      </c>
      <c r="OA8" t="s">
        <v>784</v>
      </c>
      <c r="OB8" t="s">
        <v>783</v>
      </c>
      <c r="OC8" t="s">
        <v>782</v>
      </c>
      <c r="OD8" t="s">
        <v>784</v>
      </c>
      <c r="OE8" t="s">
        <v>783</v>
      </c>
      <c r="OF8" t="s">
        <v>781</v>
      </c>
      <c r="OG8" t="s">
        <v>783</v>
      </c>
      <c r="OH8" t="s">
        <v>781</v>
      </c>
      <c r="OI8" t="s">
        <v>781</v>
      </c>
      <c r="OJ8" t="s">
        <v>781</v>
      </c>
    </row>
    <row r="9" spans="1:400" x14ac:dyDescent="0.25">
      <c r="A9">
        <v>5</v>
      </c>
      <c r="B9" t="s">
        <v>103</v>
      </c>
      <c r="C9" t="s">
        <v>104</v>
      </c>
      <c r="D9" t="s">
        <v>57</v>
      </c>
      <c r="E9">
        <v>31</v>
      </c>
      <c r="F9" t="s">
        <v>58</v>
      </c>
      <c r="G9" t="s">
        <v>105</v>
      </c>
      <c r="H9" t="s">
        <v>60</v>
      </c>
      <c r="I9" t="s">
        <v>106</v>
      </c>
      <c r="J9" t="s">
        <v>62</v>
      </c>
      <c r="K9" t="s">
        <v>63</v>
      </c>
      <c r="M9" t="s">
        <v>64</v>
      </c>
      <c r="N9" t="s">
        <v>65</v>
      </c>
      <c r="O9">
        <v>3</v>
      </c>
      <c r="P9" s="1">
        <v>100000</v>
      </c>
      <c r="Q9" s="1">
        <v>70000</v>
      </c>
      <c r="R9" t="s">
        <v>109</v>
      </c>
      <c r="S9" s="7">
        <v>70000</v>
      </c>
      <c r="T9" t="s">
        <v>70</v>
      </c>
      <c r="U9" s="5">
        <v>0</v>
      </c>
      <c r="V9" s="3" t="s">
        <v>65</v>
      </c>
      <c r="W9" s="5">
        <v>30000</v>
      </c>
      <c r="X9" t="s">
        <v>83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 t="s">
        <v>63</v>
      </c>
      <c r="AR9">
        <v>1</v>
      </c>
      <c r="AS9" s="2">
        <v>1</v>
      </c>
      <c r="AT9" t="s">
        <v>516</v>
      </c>
      <c r="AU9">
        <v>1</v>
      </c>
      <c r="AV9">
        <v>0</v>
      </c>
      <c r="AW9">
        <v>0</v>
      </c>
      <c r="AX9">
        <v>0</v>
      </c>
      <c r="AY9">
        <v>0</v>
      </c>
      <c r="AZ9" t="s">
        <v>518</v>
      </c>
      <c r="BA9" t="s">
        <v>519</v>
      </c>
      <c r="BC9" t="s">
        <v>520</v>
      </c>
      <c r="BD9" t="s">
        <v>521</v>
      </c>
      <c r="BE9">
        <v>2021</v>
      </c>
      <c r="BF9">
        <v>2</v>
      </c>
      <c r="BG9" t="s">
        <v>508</v>
      </c>
      <c r="BH9">
        <v>1</v>
      </c>
      <c r="BI9">
        <v>0</v>
      </c>
      <c r="BJ9">
        <v>0</v>
      </c>
      <c r="BK9">
        <v>0</v>
      </c>
      <c r="BL9">
        <v>0</v>
      </c>
      <c r="BM9" t="s">
        <v>84</v>
      </c>
      <c r="BN9" t="s">
        <v>84</v>
      </c>
      <c r="CM9" t="s">
        <v>785</v>
      </c>
      <c r="CN9" t="s">
        <v>63</v>
      </c>
      <c r="CO9" t="s">
        <v>732</v>
      </c>
      <c r="CP9" t="s">
        <v>3948</v>
      </c>
      <c r="CQ9" t="s">
        <v>3935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Y9" t="s">
        <v>3949</v>
      </c>
      <c r="CZ9" s="26" t="s">
        <v>3950</v>
      </c>
      <c r="DA9" s="27" t="s">
        <v>4217</v>
      </c>
      <c r="DJ9" t="s">
        <v>63</v>
      </c>
      <c r="DK9" s="35" t="s">
        <v>4113</v>
      </c>
      <c r="DL9" s="37" t="s">
        <v>4257</v>
      </c>
      <c r="DM9" t="s">
        <v>4114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O9" t="s">
        <v>4115</v>
      </c>
      <c r="EP9">
        <v>0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Y9" t="s">
        <v>4105</v>
      </c>
      <c r="EZ9">
        <v>0</v>
      </c>
      <c r="FA9">
        <v>0</v>
      </c>
      <c r="FB9">
        <v>1</v>
      </c>
      <c r="FC9">
        <v>0</v>
      </c>
      <c r="FF9" t="s">
        <v>4119</v>
      </c>
      <c r="FI9" t="s">
        <v>733</v>
      </c>
      <c r="FJ9" t="s">
        <v>734</v>
      </c>
      <c r="FK9" t="s">
        <v>733</v>
      </c>
      <c r="FL9" t="s">
        <v>908</v>
      </c>
      <c r="FM9" t="s">
        <v>733</v>
      </c>
      <c r="FN9" t="s">
        <v>909</v>
      </c>
      <c r="FO9" t="s">
        <v>733</v>
      </c>
      <c r="FP9" t="s">
        <v>909</v>
      </c>
      <c r="FQ9" t="s">
        <v>777</v>
      </c>
      <c r="FR9" t="s">
        <v>910</v>
      </c>
      <c r="FS9" t="s">
        <v>743</v>
      </c>
      <c r="FT9" t="s">
        <v>911</v>
      </c>
      <c r="FU9" t="s">
        <v>733</v>
      </c>
      <c r="FV9" t="s">
        <v>912</v>
      </c>
      <c r="FW9" t="s">
        <v>733</v>
      </c>
      <c r="FX9" t="s">
        <v>913</v>
      </c>
      <c r="FY9" t="s">
        <v>733</v>
      </c>
      <c r="FZ9" t="s">
        <v>868</v>
      </c>
      <c r="GA9" t="s">
        <v>743</v>
      </c>
      <c r="GB9" t="s">
        <v>914</v>
      </c>
      <c r="GC9" t="s">
        <v>733</v>
      </c>
      <c r="GD9" t="s">
        <v>912</v>
      </c>
      <c r="GE9" t="s">
        <v>743</v>
      </c>
      <c r="GF9" t="s">
        <v>915</v>
      </c>
      <c r="GG9" t="s">
        <v>733</v>
      </c>
      <c r="GH9" t="s">
        <v>916</v>
      </c>
      <c r="GI9" t="s">
        <v>733</v>
      </c>
      <c r="GJ9" t="s">
        <v>917</v>
      </c>
      <c r="GK9" t="s">
        <v>746</v>
      </c>
      <c r="GL9" t="s">
        <v>918</v>
      </c>
      <c r="GM9" t="s">
        <v>777</v>
      </c>
      <c r="GN9" t="s">
        <v>919</v>
      </c>
      <c r="GO9" t="s">
        <v>736</v>
      </c>
      <c r="GP9" t="s">
        <v>920</v>
      </c>
      <c r="GQ9" t="s">
        <v>736</v>
      </c>
      <c r="GR9" t="s">
        <v>921</v>
      </c>
      <c r="GS9" t="s">
        <v>733</v>
      </c>
      <c r="GT9" t="s">
        <v>922</v>
      </c>
      <c r="GU9" t="s">
        <v>733</v>
      </c>
      <c r="GV9" t="s">
        <v>923</v>
      </c>
      <c r="GW9" t="s">
        <v>733</v>
      </c>
      <c r="GX9" t="s">
        <v>924</v>
      </c>
      <c r="GY9" t="s">
        <v>733</v>
      </c>
      <c r="GZ9" t="s">
        <v>924</v>
      </c>
      <c r="HA9" t="s">
        <v>746</v>
      </c>
      <c r="HB9" t="s">
        <v>925</v>
      </c>
      <c r="HC9" t="s">
        <v>733</v>
      </c>
      <c r="HD9" t="s">
        <v>926</v>
      </c>
      <c r="HE9" t="s">
        <v>798</v>
      </c>
      <c r="HF9" t="s">
        <v>927</v>
      </c>
      <c r="HG9" t="s">
        <v>733</v>
      </c>
      <c r="HH9" t="s">
        <v>928</v>
      </c>
      <c r="HI9" t="s">
        <v>733</v>
      </c>
      <c r="HJ9" t="s">
        <v>929</v>
      </c>
      <c r="HK9" t="s">
        <v>743</v>
      </c>
      <c r="HL9" t="s">
        <v>930</v>
      </c>
      <c r="HM9" t="s">
        <v>746</v>
      </c>
      <c r="HN9" t="s">
        <v>931</v>
      </c>
      <c r="HO9" t="s">
        <v>746</v>
      </c>
      <c r="HP9" t="s">
        <v>930</v>
      </c>
      <c r="HQ9" t="s">
        <v>746</v>
      </c>
      <c r="HR9" t="s">
        <v>932</v>
      </c>
      <c r="HS9" t="s">
        <v>736</v>
      </c>
      <c r="HT9" t="s">
        <v>933</v>
      </c>
      <c r="HU9" t="s">
        <v>733</v>
      </c>
      <c r="HV9" t="s">
        <v>913</v>
      </c>
      <c r="HW9" t="s">
        <v>736</v>
      </c>
      <c r="HX9" t="s">
        <v>934</v>
      </c>
      <c r="HY9" t="s">
        <v>736</v>
      </c>
      <c r="HZ9" t="s">
        <v>935</v>
      </c>
      <c r="IA9" t="s">
        <v>736</v>
      </c>
      <c r="IB9" t="s">
        <v>936</v>
      </c>
      <c r="IC9" t="s">
        <v>746</v>
      </c>
      <c r="ID9" t="s">
        <v>937</v>
      </c>
      <c r="IF9" t="s">
        <v>938</v>
      </c>
      <c r="IH9" t="s">
        <v>938</v>
      </c>
      <c r="IJ9" t="s">
        <v>938</v>
      </c>
      <c r="IL9" t="s">
        <v>938</v>
      </c>
      <c r="IM9" t="s">
        <v>746</v>
      </c>
      <c r="IN9" t="s">
        <v>939</v>
      </c>
      <c r="IO9" t="s">
        <v>746</v>
      </c>
      <c r="IP9" t="s">
        <v>940</v>
      </c>
      <c r="IQ9" t="s">
        <v>746</v>
      </c>
      <c r="IR9" t="s">
        <v>941</v>
      </c>
      <c r="IS9" t="s">
        <v>746</v>
      </c>
      <c r="IT9" t="s">
        <v>942</v>
      </c>
      <c r="IU9" t="s">
        <v>746</v>
      </c>
      <c r="IV9" t="s">
        <v>943</v>
      </c>
      <c r="IW9" t="s">
        <v>746</v>
      </c>
      <c r="IX9" t="s">
        <v>944</v>
      </c>
      <c r="IY9" t="s">
        <v>746</v>
      </c>
      <c r="IZ9" t="s">
        <v>945</v>
      </c>
      <c r="JA9" t="s">
        <v>746</v>
      </c>
      <c r="JB9" t="s">
        <v>946</v>
      </c>
      <c r="JC9" t="s">
        <v>746</v>
      </c>
      <c r="JD9" t="s">
        <v>947</v>
      </c>
      <c r="JE9" t="s">
        <v>746</v>
      </c>
      <c r="JF9" t="s">
        <v>948</v>
      </c>
      <c r="JG9" t="s">
        <v>746</v>
      </c>
      <c r="JH9" t="s">
        <v>949</v>
      </c>
      <c r="JI9" t="s">
        <v>746</v>
      </c>
      <c r="JJ9" t="s">
        <v>950</v>
      </c>
      <c r="JL9" t="s">
        <v>938</v>
      </c>
      <c r="JN9" t="s">
        <v>938</v>
      </c>
      <c r="JP9" t="s">
        <v>938</v>
      </c>
      <c r="JR9" t="s">
        <v>938</v>
      </c>
      <c r="JS9" t="s">
        <v>746</v>
      </c>
      <c r="JT9" t="s">
        <v>951</v>
      </c>
      <c r="JU9" t="s">
        <v>746</v>
      </c>
      <c r="JV9" t="s">
        <v>952</v>
      </c>
      <c r="JW9" t="s">
        <v>746</v>
      </c>
      <c r="JX9" t="s">
        <v>953</v>
      </c>
      <c r="JY9" t="s">
        <v>746</v>
      </c>
      <c r="JZ9" t="s">
        <v>949</v>
      </c>
      <c r="KA9" t="s">
        <v>746</v>
      </c>
      <c r="KB9" t="s">
        <v>951</v>
      </c>
      <c r="KC9" t="s">
        <v>743</v>
      </c>
      <c r="KD9" t="s">
        <v>954</v>
      </c>
      <c r="KE9" t="s">
        <v>746</v>
      </c>
      <c r="KF9" t="s">
        <v>955</v>
      </c>
      <c r="KG9" t="s">
        <v>746</v>
      </c>
      <c r="KH9" t="s">
        <v>956</v>
      </c>
      <c r="KI9" t="s">
        <v>746</v>
      </c>
      <c r="KJ9" t="s">
        <v>957</v>
      </c>
      <c r="KK9" t="s">
        <v>746</v>
      </c>
      <c r="KL9" t="s">
        <v>958</v>
      </c>
      <c r="KM9" t="s">
        <v>746</v>
      </c>
      <c r="KN9" t="s">
        <v>953</v>
      </c>
      <c r="KO9" t="s">
        <v>733</v>
      </c>
      <c r="KP9" t="s">
        <v>928</v>
      </c>
      <c r="KQ9" t="s">
        <v>746</v>
      </c>
      <c r="KR9" t="s">
        <v>959</v>
      </c>
      <c r="KS9" t="s">
        <v>746</v>
      </c>
      <c r="KT9" t="s">
        <v>960</v>
      </c>
      <c r="KU9" t="s">
        <v>733</v>
      </c>
      <c r="KV9" t="s">
        <v>961</v>
      </c>
      <c r="KW9" t="s">
        <v>746</v>
      </c>
      <c r="KX9" t="s">
        <v>962</v>
      </c>
      <c r="KY9" t="s">
        <v>746</v>
      </c>
      <c r="KZ9" t="s">
        <v>963</v>
      </c>
      <c r="LA9" t="s">
        <v>746</v>
      </c>
      <c r="LB9" t="s">
        <v>964</v>
      </c>
      <c r="LC9" t="s">
        <v>736</v>
      </c>
      <c r="LD9" t="s">
        <v>965</v>
      </c>
      <c r="LE9" t="s">
        <v>736</v>
      </c>
      <c r="LF9" t="s">
        <v>966</v>
      </c>
      <c r="LG9" t="s">
        <v>736</v>
      </c>
      <c r="LH9" t="s">
        <v>967</v>
      </c>
      <c r="LI9" t="s">
        <v>736</v>
      </c>
      <c r="LJ9" t="s">
        <v>968</v>
      </c>
      <c r="LK9" t="s">
        <v>746</v>
      </c>
      <c r="LL9" t="s">
        <v>969</v>
      </c>
      <c r="LM9" t="s">
        <v>746</v>
      </c>
      <c r="LN9" t="s">
        <v>970</v>
      </c>
      <c r="LO9" t="s">
        <v>746</v>
      </c>
      <c r="LP9" t="s">
        <v>943</v>
      </c>
      <c r="LQ9" t="s">
        <v>746</v>
      </c>
      <c r="LR9" t="s">
        <v>943</v>
      </c>
      <c r="LS9" t="s">
        <v>733</v>
      </c>
      <c r="LT9" t="s">
        <v>912</v>
      </c>
      <c r="LU9" t="s">
        <v>746</v>
      </c>
      <c r="LV9" t="s">
        <v>971</v>
      </c>
      <c r="LW9" t="s">
        <v>733</v>
      </c>
      <c r="LX9" t="s">
        <v>972</v>
      </c>
      <c r="LY9" t="s">
        <v>733</v>
      </c>
      <c r="LZ9" t="s">
        <v>973</v>
      </c>
      <c r="MA9" t="s">
        <v>746</v>
      </c>
      <c r="MB9" t="s">
        <v>974</v>
      </c>
      <c r="MC9" t="s">
        <v>746</v>
      </c>
      <c r="MD9" t="s">
        <v>972</v>
      </c>
      <c r="ME9" t="s">
        <v>733</v>
      </c>
      <c r="MF9" t="s">
        <v>912</v>
      </c>
      <c r="MG9" t="s">
        <v>736</v>
      </c>
      <c r="MH9" t="s">
        <v>965</v>
      </c>
      <c r="MI9" t="s">
        <v>733</v>
      </c>
      <c r="MJ9" t="s">
        <v>975</v>
      </c>
      <c r="MK9" t="s">
        <v>746</v>
      </c>
      <c r="ML9" t="s">
        <v>943</v>
      </c>
      <c r="MO9" t="s">
        <v>783</v>
      </c>
      <c r="MP9" t="s">
        <v>784</v>
      </c>
      <c r="MQ9" t="s">
        <v>907</v>
      </c>
      <c r="MR9" t="s">
        <v>907</v>
      </c>
      <c r="MS9" t="s">
        <v>783</v>
      </c>
      <c r="MT9" t="s">
        <v>784</v>
      </c>
      <c r="MU9" t="s">
        <v>783</v>
      </c>
      <c r="MV9" t="s">
        <v>781</v>
      </c>
      <c r="MW9" t="s">
        <v>783</v>
      </c>
      <c r="MX9" t="s">
        <v>781</v>
      </c>
      <c r="MZ9" t="s">
        <v>783</v>
      </c>
      <c r="NA9" t="s">
        <v>784</v>
      </c>
      <c r="NB9" t="s">
        <v>783</v>
      </c>
      <c r="NC9" t="s">
        <v>783</v>
      </c>
      <c r="ND9" t="s">
        <v>783</v>
      </c>
      <c r="NE9" t="s">
        <v>784</v>
      </c>
      <c r="NF9" t="s">
        <v>783</v>
      </c>
      <c r="NG9" t="s">
        <v>783</v>
      </c>
      <c r="NH9" t="s">
        <v>783</v>
      </c>
      <c r="NI9" t="s">
        <v>784</v>
      </c>
      <c r="NJ9" t="s">
        <v>783</v>
      </c>
      <c r="NK9" t="s">
        <v>783</v>
      </c>
      <c r="NL9" t="s">
        <v>783</v>
      </c>
      <c r="NM9" t="s">
        <v>783</v>
      </c>
      <c r="NN9" t="s">
        <v>784</v>
      </c>
      <c r="NO9" t="s">
        <v>782</v>
      </c>
      <c r="NP9" t="s">
        <v>783</v>
      </c>
      <c r="NQ9" t="s">
        <v>783</v>
      </c>
      <c r="NR9" t="s">
        <v>781</v>
      </c>
      <c r="NS9" t="s">
        <v>784</v>
      </c>
      <c r="NT9" t="s">
        <v>784</v>
      </c>
      <c r="NU9" t="s">
        <v>781</v>
      </c>
      <c r="NV9" t="s">
        <v>784</v>
      </c>
      <c r="NW9" t="s">
        <v>784</v>
      </c>
      <c r="NX9" t="s">
        <v>784</v>
      </c>
      <c r="NY9" t="s">
        <v>783</v>
      </c>
      <c r="NZ9" t="s">
        <v>783</v>
      </c>
      <c r="OA9" t="s">
        <v>783</v>
      </c>
      <c r="OB9" t="s">
        <v>784</v>
      </c>
      <c r="OC9" t="s">
        <v>784</v>
      </c>
      <c r="OD9" t="s">
        <v>783</v>
      </c>
      <c r="OE9" t="s">
        <v>783</v>
      </c>
      <c r="OF9" t="s">
        <v>783</v>
      </c>
      <c r="OG9" t="s">
        <v>783</v>
      </c>
      <c r="OH9" t="s">
        <v>782</v>
      </c>
      <c r="OI9" t="s">
        <v>783</v>
      </c>
      <c r="OJ9" t="s">
        <v>783</v>
      </c>
    </row>
    <row r="10" spans="1:400" x14ac:dyDescent="0.25">
      <c r="A10">
        <v>6</v>
      </c>
      <c r="B10" t="s">
        <v>111</v>
      </c>
      <c r="C10" t="s">
        <v>112</v>
      </c>
      <c r="D10" t="s">
        <v>57</v>
      </c>
      <c r="E10">
        <v>31</v>
      </c>
      <c r="F10" t="s">
        <v>58</v>
      </c>
      <c r="G10" t="s">
        <v>76</v>
      </c>
      <c r="H10" t="s">
        <v>60</v>
      </c>
      <c r="I10" t="s">
        <v>113</v>
      </c>
      <c r="J10" t="s">
        <v>62</v>
      </c>
      <c r="K10" t="s">
        <v>63</v>
      </c>
      <c r="M10" t="s">
        <v>77</v>
      </c>
      <c r="N10" t="s">
        <v>90</v>
      </c>
      <c r="O10">
        <v>3</v>
      </c>
      <c r="P10" s="1">
        <v>150000</v>
      </c>
      <c r="Q10" s="1">
        <v>0</v>
      </c>
      <c r="R10" t="s">
        <v>115</v>
      </c>
      <c r="S10" s="7">
        <v>150000</v>
      </c>
      <c r="T10" t="s">
        <v>70</v>
      </c>
      <c r="U10" s="5">
        <v>0</v>
      </c>
      <c r="V10" s="3" t="s">
        <v>70</v>
      </c>
      <c r="W10" s="5">
        <v>0</v>
      </c>
      <c r="X10" t="s">
        <v>73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 t="s">
        <v>63</v>
      </c>
      <c r="AR10">
        <v>1</v>
      </c>
      <c r="AS10" s="2">
        <v>0.5</v>
      </c>
      <c r="AT10" t="s">
        <v>516</v>
      </c>
      <c r="AU10">
        <v>1</v>
      </c>
      <c r="AV10">
        <v>0</v>
      </c>
      <c r="AW10">
        <v>0</v>
      </c>
      <c r="AX10">
        <v>0</v>
      </c>
      <c r="AY10">
        <v>0</v>
      </c>
      <c r="AZ10" t="s">
        <v>510</v>
      </c>
      <c r="BA10" t="s">
        <v>505</v>
      </c>
      <c r="BC10" t="s">
        <v>506</v>
      </c>
      <c r="BD10" t="s">
        <v>507</v>
      </c>
      <c r="BE10">
        <v>2019</v>
      </c>
      <c r="BF10">
        <v>4</v>
      </c>
      <c r="BG10" t="s">
        <v>508</v>
      </c>
      <c r="BH10">
        <v>1</v>
      </c>
      <c r="BI10">
        <v>0</v>
      </c>
      <c r="BJ10">
        <v>0</v>
      </c>
      <c r="BK10">
        <v>0</v>
      </c>
      <c r="BL10">
        <v>0</v>
      </c>
      <c r="BM10" t="s">
        <v>63</v>
      </c>
      <c r="BN10" t="s">
        <v>63</v>
      </c>
      <c r="BO10" t="s">
        <v>3849</v>
      </c>
      <c r="BP10" t="s">
        <v>71</v>
      </c>
      <c r="BQ10" t="s">
        <v>3850</v>
      </c>
      <c r="BR10" t="s">
        <v>3851</v>
      </c>
      <c r="BS10" t="s">
        <v>93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CA10" t="s">
        <v>3839</v>
      </c>
      <c r="CC10" t="s">
        <v>3840</v>
      </c>
      <c r="CD10" t="s">
        <v>3841</v>
      </c>
      <c r="CE10" t="s">
        <v>3842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N10" t="s">
        <v>84</v>
      </c>
      <c r="CO10" t="s">
        <v>84</v>
      </c>
      <c r="CZ10" s="26"/>
      <c r="DA10" s="27"/>
      <c r="DB10" t="s">
        <v>976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J10" t="s">
        <v>84</v>
      </c>
      <c r="DK10" s="35"/>
      <c r="DL10" s="37"/>
      <c r="FI10" t="s">
        <v>736</v>
      </c>
      <c r="FJ10" t="s">
        <v>977</v>
      </c>
      <c r="FK10" t="s">
        <v>733</v>
      </c>
      <c r="FL10" t="s">
        <v>876</v>
      </c>
      <c r="FM10" t="s">
        <v>777</v>
      </c>
      <c r="FN10" t="s">
        <v>828</v>
      </c>
      <c r="FO10" t="s">
        <v>777</v>
      </c>
      <c r="FP10" t="s">
        <v>756</v>
      </c>
      <c r="FQ10" t="s">
        <v>733</v>
      </c>
      <c r="FR10" t="s">
        <v>868</v>
      </c>
      <c r="FS10" t="s">
        <v>733</v>
      </c>
      <c r="FT10" t="s">
        <v>978</v>
      </c>
      <c r="FV10" t="s">
        <v>979</v>
      </c>
      <c r="FY10" t="s">
        <v>746</v>
      </c>
      <c r="FZ10" t="s">
        <v>980</v>
      </c>
      <c r="GA10" t="s">
        <v>746</v>
      </c>
      <c r="GB10" t="s">
        <v>981</v>
      </c>
      <c r="GC10" t="s">
        <v>746</v>
      </c>
      <c r="GD10" t="s">
        <v>982</v>
      </c>
      <c r="GE10" t="s">
        <v>746</v>
      </c>
      <c r="GF10" t="s">
        <v>983</v>
      </c>
      <c r="GG10" t="s">
        <v>746</v>
      </c>
      <c r="GH10" t="s">
        <v>984</v>
      </c>
      <c r="GI10" t="s">
        <v>746</v>
      </c>
      <c r="GK10" t="s">
        <v>733</v>
      </c>
      <c r="GL10" t="s">
        <v>985</v>
      </c>
      <c r="GM10" t="s">
        <v>733</v>
      </c>
      <c r="GO10" t="s">
        <v>733</v>
      </c>
      <c r="GP10" t="s">
        <v>986</v>
      </c>
      <c r="GQ10" t="s">
        <v>733</v>
      </c>
      <c r="GS10" t="s">
        <v>733</v>
      </c>
      <c r="GT10" t="s">
        <v>987</v>
      </c>
      <c r="GU10" t="s">
        <v>733</v>
      </c>
      <c r="GW10" t="s">
        <v>777</v>
      </c>
      <c r="GY10" t="s">
        <v>777</v>
      </c>
      <c r="HA10" t="s">
        <v>777</v>
      </c>
      <c r="HB10" t="s">
        <v>988</v>
      </c>
      <c r="HC10" t="s">
        <v>777</v>
      </c>
      <c r="HD10" t="s">
        <v>989</v>
      </c>
      <c r="HE10" t="s">
        <v>990</v>
      </c>
      <c r="HF10" t="s">
        <v>991</v>
      </c>
      <c r="HG10" t="s">
        <v>733</v>
      </c>
      <c r="HH10" t="s">
        <v>992</v>
      </c>
      <c r="HI10" t="s">
        <v>733</v>
      </c>
      <c r="HK10" t="s">
        <v>733</v>
      </c>
      <c r="HL10" t="s">
        <v>752</v>
      </c>
      <c r="HO10" t="s">
        <v>746</v>
      </c>
      <c r="HP10" t="s">
        <v>993</v>
      </c>
      <c r="HQ10" t="s">
        <v>746</v>
      </c>
      <c r="HR10" t="s">
        <v>994</v>
      </c>
      <c r="HS10" t="s">
        <v>736</v>
      </c>
      <c r="HT10" t="s">
        <v>995</v>
      </c>
      <c r="HU10" t="s">
        <v>736</v>
      </c>
      <c r="HW10" t="s">
        <v>736</v>
      </c>
      <c r="HX10" t="s">
        <v>996</v>
      </c>
      <c r="HY10" t="s">
        <v>736</v>
      </c>
      <c r="IE10" t="s">
        <v>746</v>
      </c>
      <c r="IF10" t="s">
        <v>997</v>
      </c>
      <c r="IG10" t="s">
        <v>746</v>
      </c>
      <c r="IM10" t="s">
        <v>746</v>
      </c>
      <c r="IN10" t="s">
        <v>998</v>
      </c>
      <c r="IO10" t="s">
        <v>746</v>
      </c>
      <c r="IQ10" t="s">
        <v>746</v>
      </c>
      <c r="IR10" t="s">
        <v>999</v>
      </c>
      <c r="IS10" t="s">
        <v>746</v>
      </c>
      <c r="IU10" t="s">
        <v>746</v>
      </c>
      <c r="IV10" t="s">
        <v>1000</v>
      </c>
      <c r="IW10" t="s">
        <v>746</v>
      </c>
      <c r="IY10" t="s">
        <v>746</v>
      </c>
      <c r="IZ10" t="s">
        <v>1001</v>
      </c>
      <c r="JA10" t="s">
        <v>746</v>
      </c>
      <c r="JC10" t="s">
        <v>746</v>
      </c>
      <c r="JD10" t="s">
        <v>1002</v>
      </c>
      <c r="JE10" t="s">
        <v>746</v>
      </c>
      <c r="JG10" t="s">
        <v>746</v>
      </c>
      <c r="JI10" t="s">
        <v>746</v>
      </c>
      <c r="JL10" t="s">
        <v>1003</v>
      </c>
      <c r="JO10" t="s">
        <v>746</v>
      </c>
      <c r="JP10" t="s">
        <v>1000</v>
      </c>
      <c r="JQ10" t="s">
        <v>746</v>
      </c>
      <c r="JS10" t="s">
        <v>746</v>
      </c>
      <c r="JU10" t="s">
        <v>746</v>
      </c>
      <c r="JW10" t="s">
        <v>746</v>
      </c>
      <c r="JY10" t="s">
        <v>746</v>
      </c>
      <c r="KE10" t="s">
        <v>746</v>
      </c>
      <c r="KF10" t="s">
        <v>1002</v>
      </c>
      <c r="KG10" t="s">
        <v>746</v>
      </c>
      <c r="KI10" t="s">
        <v>746</v>
      </c>
      <c r="KJ10" t="s">
        <v>1002</v>
      </c>
      <c r="KK10" t="s">
        <v>746</v>
      </c>
      <c r="KM10" t="s">
        <v>746</v>
      </c>
      <c r="KO10" t="s">
        <v>746</v>
      </c>
      <c r="KQ10" t="s">
        <v>746</v>
      </c>
      <c r="KS10" t="s">
        <v>746</v>
      </c>
      <c r="KU10" t="s">
        <v>746</v>
      </c>
      <c r="KV10" t="s">
        <v>1004</v>
      </c>
      <c r="KW10" t="s">
        <v>746</v>
      </c>
      <c r="KY10" t="s">
        <v>746</v>
      </c>
      <c r="KZ10" t="s">
        <v>1004</v>
      </c>
      <c r="LA10" t="s">
        <v>746</v>
      </c>
      <c r="LC10" t="s">
        <v>746</v>
      </c>
      <c r="LD10" t="s">
        <v>1005</v>
      </c>
      <c r="LG10" t="s">
        <v>746</v>
      </c>
      <c r="LH10" t="s">
        <v>1005</v>
      </c>
      <c r="LO10" t="s">
        <v>746</v>
      </c>
      <c r="LP10" t="s">
        <v>1006</v>
      </c>
      <c r="LS10" t="s">
        <v>746</v>
      </c>
      <c r="LT10" t="s">
        <v>1007</v>
      </c>
      <c r="LU10" t="s">
        <v>746</v>
      </c>
      <c r="LW10" t="s">
        <v>746</v>
      </c>
      <c r="LY10" t="s">
        <v>746</v>
      </c>
      <c r="MA10" t="s">
        <v>746</v>
      </c>
      <c r="MC10" t="s">
        <v>746</v>
      </c>
      <c r="ME10" t="s">
        <v>746</v>
      </c>
      <c r="MF10" t="s">
        <v>1008</v>
      </c>
      <c r="MG10" t="s">
        <v>746</v>
      </c>
      <c r="MI10" t="s">
        <v>746</v>
      </c>
      <c r="MJ10" t="s">
        <v>1008</v>
      </c>
      <c r="MK10" t="s">
        <v>746</v>
      </c>
      <c r="MO10" t="s">
        <v>781</v>
      </c>
      <c r="MP10" t="s">
        <v>784</v>
      </c>
      <c r="MQ10" t="s">
        <v>783</v>
      </c>
      <c r="MR10" t="s">
        <v>784</v>
      </c>
      <c r="MS10" t="s">
        <v>783</v>
      </c>
      <c r="MT10" t="s">
        <v>781</v>
      </c>
      <c r="MU10" t="s">
        <v>781</v>
      </c>
      <c r="MV10" t="s">
        <v>781</v>
      </c>
      <c r="MW10" t="s">
        <v>783</v>
      </c>
      <c r="MX10" t="s">
        <v>783</v>
      </c>
      <c r="MZ10" t="s">
        <v>781</v>
      </c>
      <c r="NA10" t="s">
        <v>781</v>
      </c>
      <c r="NB10" t="s">
        <v>781</v>
      </c>
      <c r="NC10" t="s">
        <v>781</v>
      </c>
      <c r="ND10" t="s">
        <v>784</v>
      </c>
      <c r="NE10" t="s">
        <v>784</v>
      </c>
      <c r="NF10" t="s">
        <v>783</v>
      </c>
      <c r="NG10" t="s">
        <v>781</v>
      </c>
      <c r="NH10" t="s">
        <v>783</v>
      </c>
      <c r="NI10" t="s">
        <v>783</v>
      </c>
      <c r="NJ10" t="s">
        <v>783</v>
      </c>
      <c r="NK10" t="s">
        <v>781</v>
      </c>
      <c r="NL10" t="s">
        <v>783</v>
      </c>
      <c r="NM10" t="s">
        <v>781</v>
      </c>
      <c r="NN10" t="s">
        <v>782</v>
      </c>
      <c r="NO10" t="s">
        <v>784</v>
      </c>
      <c r="NP10" t="s">
        <v>784</v>
      </c>
      <c r="NQ10" t="s">
        <v>783</v>
      </c>
      <c r="NR10" t="s">
        <v>783</v>
      </c>
      <c r="NS10" t="s">
        <v>783</v>
      </c>
      <c r="NT10" t="s">
        <v>782</v>
      </c>
      <c r="NU10" t="s">
        <v>783</v>
      </c>
      <c r="NV10" t="s">
        <v>784</v>
      </c>
      <c r="NW10" t="s">
        <v>784</v>
      </c>
      <c r="NX10" t="s">
        <v>783</v>
      </c>
      <c r="NY10" t="s">
        <v>783</v>
      </c>
      <c r="NZ10" t="s">
        <v>783</v>
      </c>
      <c r="OA10" t="s">
        <v>781</v>
      </c>
      <c r="OB10" t="s">
        <v>784</v>
      </c>
      <c r="OC10" t="s">
        <v>784</v>
      </c>
      <c r="OD10" t="s">
        <v>783</v>
      </c>
      <c r="OE10" t="s">
        <v>783</v>
      </c>
      <c r="OF10" t="s">
        <v>781</v>
      </c>
      <c r="OG10" t="s">
        <v>783</v>
      </c>
      <c r="OH10" t="s">
        <v>783</v>
      </c>
      <c r="OI10" t="s">
        <v>783</v>
      </c>
      <c r="OJ10" t="s">
        <v>783</v>
      </c>
    </row>
    <row r="11" spans="1:400" x14ac:dyDescent="0.25">
      <c r="A11">
        <v>7</v>
      </c>
      <c r="B11" t="s">
        <v>116</v>
      </c>
      <c r="C11" t="s">
        <v>117</v>
      </c>
      <c r="D11" t="s">
        <v>57</v>
      </c>
      <c r="E11">
        <v>24</v>
      </c>
      <c r="F11" t="s">
        <v>481</v>
      </c>
      <c r="G11" t="s">
        <v>76</v>
      </c>
      <c r="H11" t="s">
        <v>60</v>
      </c>
      <c r="I11" t="s">
        <v>61</v>
      </c>
      <c r="J11" t="s">
        <v>62</v>
      </c>
      <c r="K11" t="s">
        <v>63</v>
      </c>
      <c r="M11" t="s">
        <v>77</v>
      </c>
      <c r="N11" t="s">
        <v>70</v>
      </c>
      <c r="O11">
        <v>4</v>
      </c>
      <c r="P11" s="1">
        <v>50000</v>
      </c>
      <c r="Q11" s="1">
        <v>0</v>
      </c>
      <c r="R11" t="s">
        <v>119</v>
      </c>
      <c r="S11" s="7">
        <v>50000</v>
      </c>
      <c r="T11" t="s">
        <v>70</v>
      </c>
      <c r="U11" s="5">
        <v>0</v>
      </c>
      <c r="V11" s="3" t="s">
        <v>70</v>
      </c>
      <c r="W11" s="5">
        <v>0</v>
      </c>
      <c r="X11" t="s">
        <v>83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 t="s">
        <v>63</v>
      </c>
      <c r="AR11">
        <v>1</v>
      </c>
      <c r="AS11" s="2">
        <v>1</v>
      </c>
      <c r="AT11" t="s">
        <v>516</v>
      </c>
      <c r="AU11">
        <v>1</v>
      </c>
      <c r="AV11">
        <v>0</v>
      </c>
      <c r="AW11">
        <v>0</v>
      </c>
      <c r="AX11">
        <v>0</v>
      </c>
      <c r="AY11">
        <v>0</v>
      </c>
      <c r="AZ11" t="s">
        <v>522</v>
      </c>
      <c r="BA11" t="s">
        <v>71</v>
      </c>
      <c r="BB11" t="s">
        <v>523</v>
      </c>
      <c r="BC11" t="s">
        <v>524</v>
      </c>
      <c r="BD11" t="s">
        <v>507</v>
      </c>
      <c r="BE11">
        <v>2019</v>
      </c>
      <c r="BF11">
        <v>4</v>
      </c>
      <c r="BG11" t="s">
        <v>508</v>
      </c>
      <c r="BH11">
        <v>1</v>
      </c>
      <c r="BI11">
        <v>0</v>
      </c>
      <c r="BJ11">
        <v>0</v>
      </c>
      <c r="BK11">
        <v>0</v>
      </c>
      <c r="BL11">
        <v>0</v>
      </c>
      <c r="BM11" t="s">
        <v>84</v>
      </c>
      <c r="BN11" t="s">
        <v>84</v>
      </c>
      <c r="CM11" t="s">
        <v>785</v>
      </c>
      <c r="CN11" t="s">
        <v>84</v>
      </c>
      <c r="CO11" t="s">
        <v>84</v>
      </c>
      <c r="CZ11" s="26"/>
      <c r="DA11" s="27"/>
      <c r="DB11" t="s">
        <v>1009</v>
      </c>
      <c r="DC11">
        <v>1</v>
      </c>
      <c r="DD11">
        <v>0</v>
      </c>
      <c r="DE11">
        <v>1</v>
      </c>
      <c r="DF11">
        <v>0</v>
      </c>
      <c r="DG11">
        <v>0</v>
      </c>
      <c r="DH11">
        <v>0</v>
      </c>
      <c r="DJ11" t="s">
        <v>84</v>
      </c>
      <c r="DK11" s="35"/>
      <c r="DL11" s="37"/>
      <c r="FI11" t="s">
        <v>743</v>
      </c>
      <c r="FJ11" t="s">
        <v>1010</v>
      </c>
      <c r="FK11" t="s">
        <v>733</v>
      </c>
      <c r="FL11" t="s">
        <v>876</v>
      </c>
      <c r="FM11" t="s">
        <v>736</v>
      </c>
      <c r="FN11" t="s">
        <v>1011</v>
      </c>
      <c r="FO11" t="s">
        <v>736</v>
      </c>
      <c r="FP11" t="s">
        <v>1012</v>
      </c>
      <c r="FQ11" t="s">
        <v>733</v>
      </c>
      <c r="FS11" t="s">
        <v>733</v>
      </c>
      <c r="FU11" t="s">
        <v>733</v>
      </c>
      <c r="FV11" t="s">
        <v>883</v>
      </c>
      <c r="FW11" t="s">
        <v>733</v>
      </c>
      <c r="FY11" t="s">
        <v>736</v>
      </c>
      <c r="FZ11" t="s">
        <v>1013</v>
      </c>
      <c r="GA11" t="s">
        <v>736</v>
      </c>
      <c r="GB11" t="s">
        <v>797</v>
      </c>
      <c r="GC11" t="s">
        <v>736</v>
      </c>
      <c r="GD11" t="s">
        <v>1013</v>
      </c>
      <c r="GE11" t="s">
        <v>736</v>
      </c>
      <c r="GF11" t="s">
        <v>797</v>
      </c>
      <c r="GG11" t="s">
        <v>733</v>
      </c>
      <c r="GH11" t="s">
        <v>524</v>
      </c>
      <c r="GK11" t="s">
        <v>743</v>
      </c>
      <c r="GL11" t="s">
        <v>1014</v>
      </c>
      <c r="GM11" t="s">
        <v>743</v>
      </c>
      <c r="GO11" t="s">
        <v>736</v>
      </c>
      <c r="GP11" t="s">
        <v>1015</v>
      </c>
      <c r="GQ11" t="s">
        <v>736</v>
      </c>
      <c r="GR11" t="s">
        <v>1016</v>
      </c>
      <c r="GW11" t="s">
        <v>736</v>
      </c>
      <c r="GX11" t="s">
        <v>1017</v>
      </c>
      <c r="GY11" t="s">
        <v>736</v>
      </c>
      <c r="HA11" t="s">
        <v>736</v>
      </c>
      <c r="HB11" t="s">
        <v>1018</v>
      </c>
      <c r="HC11" t="s">
        <v>736</v>
      </c>
      <c r="HE11" t="s">
        <v>733</v>
      </c>
      <c r="HF11" t="s">
        <v>876</v>
      </c>
      <c r="HG11" t="s">
        <v>736</v>
      </c>
      <c r="HH11" t="s">
        <v>1019</v>
      </c>
      <c r="HI11" t="s">
        <v>736</v>
      </c>
      <c r="HL11" t="s">
        <v>752</v>
      </c>
      <c r="HO11" t="s">
        <v>746</v>
      </c>
      <c r="HP11" t="s">
        <v>1020</v>
      </c>
      <c r="HQ11" t="s">
        <v>746</v>
      </c>
      <c r="HS11" t="s">
        <v>736</v>
      </c>
      <c r="HT11" t="s">
        <v>1021</v>
      </c>
      <c r="HU11" t="s">
        <v>736</v>
      </c>
      <c r="HV11" t="s">
        <v>1022</v>
      </c>
      <c r="HW11" t="s">
        <v>736</v>
      </c>
      <c r="HX11" t="s">
        <v>1023</v>
      </c>
      <c r="HY11" t="s">
        <v>736</v>
      </c>
      <c r="HZ11" t="s">
        <v>1024</v>
      </c>
      <c r="IA11" t="s">
        <v>736</v>
      </c>
      <c r="IB11" t="s">
        <v>1025</v>
      </c>
      <c r="IC11" t="s">
        <v>736</v>
      </c>
      <c r="II11" t="s">
        <v>736</v>
      </c>
      <c r="IJ11" t="s">
        <v>1026</v>
      </c>
      <c r="IK11" t="s">
        <v>736</v>
      </c>
      <c r="IM11" t="s">
        <v>746</v>
      </c>
      <c r="IN11" t="s">
        <v>757</v>
      </c>
      <c r="IO11" t="s">
        <v>746</v>
      </c>
      <c r="IR11" t="s">
        <v>1027</v>
      </c>
      <c r="IU11" t="s">
        <v>746</v>
      </c>
      <c r="IV11" t="s">
        <v>1028</v>
      </c>
      <c r="IW11" t="s">
        <v>746</v>
      </c>
      <c r="IY11" t="s">
        <v>746</v>
      </c>
      <c r="JA11" t="s">
        <v>746</v>
      </c>
      <c r="JC11" t="s">
        <v>733</v>
      </c>
      <c r="JD11" t="s">
        <v>1029</v>
      </c>
      <c r="JE11" t="s">
        <v>733</v>
      </c>
      <c r="JG11" t="s">
        <v>746</v>
      </c>
      <c r="JI11" t="s">
        <v>746</v>
      </c>
      <c r="JL11" t="s">
        <v>1003</v>
      </c>
      <c r="JO11" t="s">
        <v>746</v>
      </c>
      <c r="JQ11" t="s">
        <v>746</v>
      </c>
      <c r="JS11" t="s">
        <v>746</v>
      </c>
      <c r="JT11" t="s">
        <v>1030</v>
      </c>
      <c r="JU11" t="s">
        <v>746</v>
      </c>
      <c r="JW11" t="s">
        <v>746</v>
      </c>
      <c r="JY11" t="s">
        <v>746</v>
      </c>
      <c r="KB11" t="s">
        <v>1031</v>
      </c>
      <c r="KE11" t="s">
        <v>746</v>
      </c>
      <c r="KF11" t="s">
        <v>1032</v>
      </c>
      <c r="KG11" t="s">
        <v>746</v>
      </c>
      <c r="KI11" t="s">
        <v>746</v>
      </c>
      <c r="KK11" t="s">
        <v>746</v>
      </c>
      <c r="KM11" t="s">
        <v>746</v>
      </c>
      <c r="KO11" t="s">
        <v>746</v>
      </c>
      <c r="KQ11" t="s">
        <v>746</v>
      </c>
      <c r="KS11" t="s">
        <v>746</v>
      </c>
      <c r="KV11" t="s">
        <v>1027</v>
      </c>
      <c r="KZ11" t="s">
        <v>1027</v>
      </c>
      <c r="LD11" t="s">
        <v>1027</v>
      </c>
      <c r="LH11" t="s">
        <v>1027</v>
      </c>
      <c r="LP11" t="s">
        <v>1027</v>
      </c>
      <c r="LS11" t="s">
        <v>733</v>
      </c>
      <c r="LT11" t="s">
        <v>883</v>
      </c>
      <c r="LU11" t="s">
        <v>733</v>
      </c>
      <c r="LW11" t="s">
        <v>733</v>
      </c>
      <c r="LX11" t="s">
        <v>1033</v>
      </c>
      <c r="LY11" t="s">
        <v>733</v>
      </c>
      <c r="MA11" t="s">
        <v>733</v>
      </c>
      <c r="MC11" t="s">
        <v>733</v>
      </c>
      <c r="ME11" t="s">
        <v>736</v>
      </c>
      <c r="MF11" t="s">
        <v>756</v>
      </c>
      <c r="MG11" t="s">
        <v>736</v>
      </c>
      <c r="MI11" t="s">
        <v>746</v>
      </c>
      <c r="MK11" t="s">
        <v>746</v>
      </c>
      <c r="MO11" t="s">
        <v>783</v>
      </c>
      <c r="MP11" t="s">
        <v>783</v>
      </c>
      <c r="MQ11" t="s">
        <v>783</v>
      </c>
      <c r="MR11" t="s">
        <v>783</v>
      </c>
      <c r="MS11" t="s">
        <v>783</v>
      </c>
      <c r="MT11" t="s">
        <v>783</v>
      </c>
      <c r="MU11" t="s">
        <v>783</v>
      </c>
      <c r="MV11" t="s">
        <v>783</v>
      </c>
      <c r="MW11" t="s">
        <v>783</v>
      </c>
      <c r="MX11" t="s">
        <v>783</v>
      </c>
      <c r="MZ11" t="s">
        <v>783</v>
      </c>
      <c r="NA11" t="s">
        <v>783</v>
      </c>
      <c r="NB11" t="s">
        <v>784</v>
      </c>
      <c r="NC11" t="s">
        <v>783</v>
      </c>
      <c r="ND11" t="s">
        <v>783</v>
      </c>
      <c r="NE11" t="s">
        <v>783</v>
      </c>
      <c r="NF11" t="s">
        <v>784</v>
      </c>
      <c r="NG11" t="s">
        <v>783</v>
      </c>
      <c r="NH11" t="s">
        <v>783</v>
      </c>
      <c r="NI11" t="s">
        <v>783</v>
      </c>
      <c r="NJ11" t="s">
        <v>783</v>
      </c>
      <c r="NK11" t="s">
        <v>783</v>
      </c>
      <c r="NL11" t="s">
        <v>783</v>
      </c>
      <c r="NM11" t="s">
        <v>783</v>
      </c>
      <c r="NN11" t="s">
        <v>783</v>
      </c>
      <c r="NO11" t="s">
        <v>783</v>
      </c>
      <c r="NP11" t="s">
        <v>783</v>
      </c>
      <c r="NQ11" t="s">
        <v>783</v>
      </c>
      <c r="NR11" t="s">
        <v>784</v>
      </c>
      <c r="NS11" t="s">
        <v>783</v>
      </c>
      <c r="NT11" t="s">
        <v>783</v>
      </c>
      <c r="NU11" t="s">
        <v>783</v>
      </c>
      <c r="NV11" t="s">
        <v>783</v>
      </c>
      <c r="NW11" t="s">
        <v>783</v>
      </c>
      <c r="NX11" t="s">
        <v>783</v>
      </c>
      <c r="NY11" t="s">
        <v>783</v>
      </c>
      <c r="NZ11" t="s">
        <v>783</v>
      </c>
      <c r="OA11" t="s">
        <v>783</v>
      </c>
      <c r="OB11" t="s">
        <v>784</v>
      </c>
      <c r="OC11" t="s">
        <v>783</v>
      </c>
      <c r="OD11" t="s">
        <v>783</v>
      </c>
      <c r="OE11" t="s">
        <v>783</v>
      </c>
      <c r="OF11" t="s">
        <v>783</v>
      </c>
      <c r="OG11" t="s">
        <v>783</v>
      </c>
      <c r="OH11" t="s">
        <v>784</v>
      </c>
      <c r="OI11" t="s">
        <v>783</v>
      </c>
      <c r="OJ11" t="s">
        <v>783</v>
      </c>
    </row>
    <row r="12" spans="1:400" x14ac:dyDescent="0.25">
      <c r="A12">
        <v>8</v>
      </c>
      <c r="B12" t="s">
        <v>120</v>
      </c>
      <c r="C12" t="s">
        <v>121</v>
      </c>
      <c r="D12" t="s">
        <v>97</v>
      </c>
      <c r="E12">
        <v>44</v>
      </c>
      <c r="F12" t="s">
        <v>58</v>
      </c>
      <c r="G12" t="s">
        <v>122</v>
      </c>
      <c r="H12" t="s">
        <v>60</v>
      </c>
      <c r="I12" t="s">
        <v>113</v>
      </c>
      <c r="J12" t="s">
        <v>62</v>
      </c>
      <c r="K12" t="s">
        <v>84</v>
      </c>
      <c r="L12" t="s">
        <v>98</v>
      </c>
      <c r="M12" t="s">
        <v>123</v>
      </c>
      <c r="N12" t="s">
        <v>70</v>
      </c>
      <c r="O12">
        <v>7</v>
      </c>
      <c r="P12" s="1">
        <v>50000</v>
      </c>
      <c r="Q12" s="1">
        <v>0</v>
      </c>
      <c r="R12" t="s">
        <v>124</v>
      </c>
      <c r="S12" s="7">
        <v>50000</v>
      </c>
      <c r="T12" t="s">
        <v>70</v>
      </c>
      <c r="U12" s="5">
        <v>0</v>
      </c>
      <c r="V12" s="3" t="s">
        <v>70</v>
      </c>
      <c r="W12" s="5">
        <v>0</v>
      </c>
      <c r="X12" t="s">
        <v>94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 t="s">
        <v>84</v>
      </c>
      <c r="AQ12" t="s">
        <v>125</v>
      </c>
      <c r="AR12">
        <v>1</v>
      </c>
      <c r="AS12" s="2">
        <v>2</v>
      </c>
      <c r="AT12" t="s">
        <v>503</v>
      </c>
      <c r="AU12">
        <v>0</v>
      </c>
      <c r="AV12">
        <v>0</v>
      </c>
      <c r="AW12">
        <v>0</v>
      </c>
      <c r="AX12">
        <v>1</v>
      </c>
      <c r="AY12">
        <v>0</v>
      </c>
      <c r="AZ12" t="s">
        <v>525</v>
      </c>
      <c r="BA12" t="s">
        <v>505</v>
      </c>
      <c r="BC12" t="s">
        <v>512</v>
      </c>
      <c r="BD12" t="s">
        <v>507</v>
      </c>
      <c r="BE12">
        <v>1999</v>
      </c>
      <c r="BF12">
        <v>24</v>
      </c>
      <c r="BG12" t="s">
        <v>508</v>
      </c>
      <c r="BH12">
        <v>1</v>
      </c>
      <c r="BI12">
        <v>0</v>
      </c>
      <c r="BJ12">
        <v>0</v>
      </c>
      <c r="BK12">
        <v>0</v>
      </c>
      <c r="BL12">
        <v>0</v>
      </c>
      <c r="BM12" t="s">
        <v>63</v>
      </c>
      <c r="BN12" t="s">
        <v>63</v>
      </c>
      <c r="BO12" t="s">
        <v>3852</v>
      </c>
      <c r="BP12" t="s">
        <v>3845</v>
      </c>
      <c r="BR12" t="s">
        <v>3853</v>
      </c>
      <c r="BS12" t="s">
        <v>3838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CA12" t="s">
        <v>3839</v>
      </c>
      <c r="CC12" t="s">
        <v>3840</v>
      </c>
      <c r="CD12" t="s">
        <v>3841</v>
      </c>
      <c r="CE12" t="s">
        <v>3842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 t="s">
        <v>3859</v>
      </c>
      <c r="CN12" t="s">
        <v>63</v>
      </c>
      <c r="CO12" t="s">
        <v>732</v>
      </c>
      <c r="CP12" t="s">
        <v>3951</v>
      </c>
      <c r="CQ12" t="s">
        <v>2996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 t="s">
        <v>3938</v>
      </c>
      <c r="CY12" t="s">
        <v>3952</v>
      </c>
      <c r="CZ12" s="26" t="s">
        <v>3953</v>
      </c>
      <c r="DA12" s="27" t="s">
        <v>4192</v>
      </c>
      <c r="DJ12" t="s">
        <v>84</v>
      </c>
      <c r="DK12" s="35"/>
      <c r="DL12" s="37"/>
      <c r="FI12" t="s">
        <v>733</v>
      </c>
      <c r="FJ12" t="s">
        <v>1034</v>
      </c>
      <c r="FK12" t="s">
        <v>733</v>
      </c>
      <c r="FM12" t="s">
        <v>736</v>
      </c>
      <c r="FN12" t="s">
        <v>1035</v>
      </c>
      <c r="FO12" t="s">
        <v>736</v>
      </c>
      <c r="FQ12" t="s">
        <v>733</v>
      </c>
      <c r="FR12" t="s">
        <v>1036</v>
      </c>
      <c r="FS12" t="s">
        <v>733</v>
      </c>
      <c r="FU12" t="s">
        <v>733</v>
      </c>
      <c r="FV12" t="s">
        <v>869</v>
      </c>
      <c r="FW12" t="s">
        <v>733</v>
      </c>
      <c r="FY12" t="s">
        <v>733</v>
      </c>
      <c r="FZ12" t="s">
        <v>1037</v>
      </c>
      <c r="GA12" t="s">
        <v>736</v>
      </c>
      <c r="GB12" t="s">
        <v>1038</v>
      </c>
      <c r="GC12" t="s">
        <v>733</v>
      </c>
      <c r="GD12" t="s">
        <v>1039</v>
      </c>
      <c r="GE12" t="s">
        <v>736</v>
      </c>
      <c r="GF12" t="s">
        <v>1040</v>
      </c>
      <c r="GG12" t="s">
        <v>746</v>
      </c>
      <c r="GH12" t="s">
        <v>1041</v>
      </c>
      <c r="GI12" t="s">
        <v>733</v>
      </c>
      <c r="GJ12" t="s">
        <v>1042</v>
      </c>
      <c r="GK12" t="s">
        <v>733</v>
      </c>
      <c r="GL12" t="s">
        <v>741</v>
      </c>
      <c r="GM12" t="s">
        <v>733</v>
      </c>
      <c r="GN12" t="s">
        <v>1043</v>
      </c>
      <c r="GO12" t="s">
        <v>743</v>
      </c>
      <c r="GP12" t="s">
        <v>1044</v>
      </c>
      <c r="GQ12" t="s">
        <v>743</v>
      </c>
      <c r="GR12" t="s">
        <v>1045</v>
      </c>
      <c r="GW12" t="s">
        <v>733</v>
      </c>
      <c r="GX12" t="s">
        <v>1046</v>
      </c>
      <c r="GY12" t="s">
        <v>733</v>
      </c>
      <c r="HA12" t="s">
        <v>736</v>
      </c>
      <c r="HB12" t="s">
        <v>1047</v>
      </c>
      <c r="HC12" t="s">
        <v>736</v>
      </c>
      <c r="HE12" t="s">
        <v>798</v>
      </c>
      <c r="HF12" t="s">
        <v>1048</v>
      </c>
      <c r="HG12" t="s">
        <v>733</v>
      </c>
      <c r="HH12" t="s">
        <v>1049</v>
      </c>
      <c r="HI12" t="s">
        <v>733</v>
      </c>
      <c r="HK12" t="s">
        <v>733</v>
      </c>
      <c r="HL12" t="s">
        <v>1049</v>
      </c>
      <c r="HM12" t="s">
        <v>733</v>
      </c>
      <c r="HO12" t="s">
        <v>746</v>
      </c>
      <c r="HP12" t="s">
        <v>1050</v>
      </c>
      <c r="HQ12" t="s">
        <v>746</v>
      </c>
      <c r="HS12" t="s">
        <v>736</v>
      </c>
      <c r="HT12" t="s">
        <v>1051</v>
      </c>
      <c r="HU12" t="s">
        <v>736</v>
      </c>
      <c r="HW12" t="s">
        <v>736</v>
      </c>
      <c r="HX12" t="s">
        <v>1052</v>
      </c>
      <c r="HY12" t="s">
        <v>736</v>
      </c>
      <c r="IA12" t="s">
        <v>733</v>
      </c>
      <c r="IC12" t="s">
        <v>733</v>
      </c>
      <c r="II12" t="s">
        <v>736</v>
      </c>
      <c r="IJ12" t="s">
        <v>1053</v>
      </c>
      <c r="IK12" t="s">
        <v>736</v>
      </c>
      <c r="IM12" t="s">
        <v>746</v>
      </c>
      <c r="IN12" t="s">
        <v>1054</v>
      </c>
      <c r="IO12" t="s">
        <v>733</v>
      </c>
      <c r="IP12" t="s">
        <v>1055</v>
      </c>
      <c r="IQ12" t="s">
        <v>746</v>
      </c>
      <c r="IR12" t="s">
        <v>1056</v>
      </c>
      <c r="IS12" t="s">
        <v>736</v>
      </c>
      <c r="IT12" t="s">
        <v>1057</v>
      </c>
      <c r="IU12" t="s">
        <v>746</v>
      </c>
      <c r="IV12" t="s">
        <v>1058</v>
      </c>
      <c r="IW12" t="s">
        <v>746</v>
      </c>
      <c r="IY12" t="s">
        <v>746</v>
      </c>
      <c r="IZ12" t="s">
        <v>1058</v>
      </c>
      <c r="JA12" t="s">
        <v>746</v>
      </c>
      <c r="JC12" t="s">
        <v>733</v>
      </c>
      <c r="JD12" t="s">
        <v>1059</v>
      </c>
      <c r="JE12" t="s">
        <v>733</v>
      </c>
      <c r="JS12" t="s">
        <v>733</v>
      </c>
      <c r="JT12" t="s">
        <v>1060</v>
      </c>
      <c r="JU12" t="s">
        <v>733</v>
      </c>
      <c r="JW12" t="s">
        <v>733</v>
      </c>
      <c r="JX12" t="s">
        <v>1061</v>
      </c>
      <c r="JY12" t="s">
        <v>733</v>
      </c>
      <c r="JZ12" t="s">
        <v>1062</v>
      </c>
      <c r="KE12" t="s">
        <v>746</v>
      </c>
      <c r="KF12" t="s">
        <v>1063</v>
      </c>
      <c r="KG12" t="s">
        <v>746</v>
      </c>
      <c r="KI12" t="s">
        <v>743</v>
      </c>
      <c r="KK12" t="s">
        <v>746</v>
      </c>
      <c r="KM12" t="s">
        <v>743</v>
      </c>
      <c r="KN12" t="s">
        <v>1064</v>
      </c>
      <c r="KO12" t="s">
        <v>733</v>
      </c>
      <c r="KP12" t="s">
        <v>1065</v>
      </c>
      <c r="KQ12" t="s">
        <v>746</v>
      </c>
      <c r="KS12" t="s">
        <v>733</v>
      </c>
      <c r="KU12" t="s">
        <v>733</v>
      </c>
      <c r="KV12" t="s">
        <v>1066</v>
      </c>
      <c r="KW12" t="s">
        <v>733</v>
      </c>
      <c r="KY12" t="s">
        <v>733</v>
      </c>
      <c r="KZ12" t="s">
        <v>1066</v>
      </c>
      <c r="LA12" t="s">
        <v>733</v>
      </c>
      <c r="LD12" t="s">
        <v>1067</v>
      </c>
      <c r="LH12" t="s">
        <v>1067</v>
      </c>
      <c r="LK12" t="s">
        <v>733</v>
      </c>
      <c r="LL12" t="s">
        <v>1068</v>
      </c>
      <c r="LM12" t="s">
        <v>733</v>
      </c>
      <c r="LO12" t="s">
        <v>743</v>
      </c>
      <c r="LP12" t="s">
        <v>1069</v>
      </c>
      <c r="LQ12" t="s">
        <v>736</v>
      </c>
      <c r="LR12" t="s">
        <v>1070</v>
      </c>
      <c r="LS12" t="s">
        <v>733</v>
      </c>
      <c r="LT12" t="s">
        <v>883</v>
      </c>
      <c r="LU12" t="s">
        <v>733</v>
      </c>
      <c r="LW12" t="s">
        <v>733</v>
      </c>
      <c r="LX12" t="s">
        <v>734</v>
      </c>
      <c r="LY12" t="s">
        <v>733</v>
      </c>
      <c r="MA12" t="s">
        <v>733</v>
      </c>
      <c r="MB12" t="s">
        <v>734</v>
      </c>
      <c r="MC12" t="s">
        <v>733</v>
      </c>
      <c r="ME12" t="s">
        <v>746</v>
      </c>
      <c r="MF12" t="s">
        <v>1071</v>
      </c>
      <c r="MG12" t="s">
        <v>746</v>
      </c>
      <c r="MO12" t="s">
        <v>781</v>
      </c>
      <c r="MP12" t="s">
        <v>781</v>
      </c>
      <c r="MQ12" t="s">
        <v>781</v>
      </c>
      <c r="MR12" t="s">
        <v>781</v>
      </c>
      <c r="MS12" t="s">
        <v>783</v>
      </c>
      <c r="MT12" t="s">
        <v>783</v>
      </c>
      <c r="MU12" t="s">
        <v>907</v>
      </c>
      <c r="MV12" t="s">
        <v>783</v>
      </c>
      <c r="MW12" t="s">
        <v>781</v>
      </c>
      <c r="MX12" t="s">
        <v>783</v>
      </c>
      <c r="MZ12" t="s">
        <v>783</v>
      </c>
      <c r="NA12" t="s">
        <v>783</v>
      </c>
      <c r="NB12" t="s">
        <v>783</v>
      </c>
      <c r="NC12" t="s">
        <v>907</v>
      </c>
      <c r="ND12" t="s">
        <v>783</v>
      </c>
      <c r="NE12" t="s">
        <v>783</v>
      </c>
      <c r="NF12" t="s">
        <v>783</v>
      </c>
      <c r="NG12" t="s">
        <v>783</v>
      </c>
      <c r="NH12" t="s">
        <v>783</v>
      </c>
      <c r="NI12" t="s">
        <v>783</v>
      </c>
      <c r="NJ12" t="s">
        <v>783</v>
      </c>
      <c r="NK12" t="s">
        <v>907</v>
      </c>
      <c r="NL12" t="s">
        <v>783</v>
      </c>
      <c r="NM12" t="s">
        <v>783</v>
      </c>
      <c r="NN12" t="s">
        <v>782</v>
      </c>
      <c r="NO12" t="s">
        <v>784</v>
      </c>
      <c r="NP12" t="s">
        <v>784</v>
      </c>
      <c r="NQ12" t="s">
        <v>781</v>
      </c>
      <c r="NR12" t="s">
        <v>781</v>
      </c>
      <c r="NS12" t="s">
        <v>784</v>
      </c>
      <c r="NT12" t="s">
        <v>782</v>
      </c>
      <c r="NU12" t="s">
        <v>783</v>
      </c>
      <c r="NV12" t="s">
        <v>784</v>
      </c>
      <c r="NW12" t="s">
        <v>784</v>
      </c>
      <c r="NX12" t="s">
        <v>783</v>
      </c>
      <c r="NY12" t="s">
        <v>783</v>
      </c>
      <c r="NZ12" t="s">
        <v>783</v>
      </c>
      <c r="OA12" t="s">
        <v>907</v>
      </c>
      <c r="OB12" t="s">
        <v>783</v>
      </c>
      <c r="OC12" t="s">
        <v>784</v>
      </c>
      <c r="OD12" t="s">
        <v>783</v>
      </c>
      <c r="OE12" t="s">
        <v>783</v>
      </c>
      <c r="OF12" t="s">
        <v>783</v>
      </c>
      <c r="OG12" t="s">
        <v>783</v>
      </c>
      <c r="OH12" t="s">
        <v>783</v>
      </c>
      <c r="OI12" t="s">
        <v>783</v>
      </c>
      <c r="OJ12" t="s">
        <v>783</v>
      </c>
    </row>
    <row r="13" spans="1:400" x14ac:dyDescent="0.25">
      <c r="A13">
        <v>9</v>
      </c>
      <c r="B13" t="s">
        <v>126</v>
      </c>
      <c r="C13" t="s">
        <v>70</v>
      </c>
      <c r="D13" t="s">
        <v>57</v>
      </c>
      <c r="E13">
        <v>67</v>
      </c>
      <c r="F13" t="s">
        <v>58</v>
      </c>
      <c r="G13" t="s">
        <v>105</v>
      </c>
      <c r="H13" t="s">
        <v>60</v>
      </c>
      <c r="I13" t="s">
        <v>61</v>
      </c>
      <c r="J13" t="s">
        <v>62</v>
      </c>
      <c r="K13" t="s">
        <v>63</v>
      </c>
      <c r="M13" t="s">
        <v>64</v>
      </c>
      <c r="N13" t="s">
        <v>70</v>
      </c>
      <c r="O13">
        <v>7</v>
      </c>
      <c r="P13" s="1">
        <v>100000</v>
      </c>
      <c r="Q13" s="1">
        <v>0</v>
      </c>
      <c r="R13" t="s">
        <v>127</v>
      </c>
      <c r="S13" s="7">
        <v>100000</v>
      </c>
      <c r="T13" t="s">
        <v>70</v>
      </c>
      <c r="U13" s="5">
        <v>0</v>
      </c>
      <c r="V13" s="3" t="s">
        <v>70</v>
      </c>
      <c r="W13" s="5">
        <v>0</v>
      </c>
      <c r="X13" t="s">
        <v>129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P13" t="s">
        <v>63</v>
      </c>
      <c r="AR13">
        <v>1</v>
      </c>
      <c r="AS13" s="2">
        <v>1</v>
      </c>
      <c r="AT13" t="s">
        <v>509</v>
      </c>
      <c r="AU13">
        <v>0</v>
      </c>
      <c r="AV13">
        <v>1</v>
      </c>
      <c r="AW13">
        <v>0</v>
      </c>
      <c r="AX13">
        <v>0</v>
      </c>
      <c r="AY13">
        <v>0</v>
      </c>
      <c r="AZ13" t="s">
        <v>526</v>
      </c>
      <c r="BA13" t="s">
        <v>505</v>
      </c>
      <c r="BC13" t="s">
        <v>512</v>
      </c>
      <c r="BD13" t="s">
        <v>507</v>
      </c>
      <c r="BE13">
        <v>1982</v>
      </c>
      <c r="BF13">
        <v>41</v>
      </c>
      <c r="BG13" t="s">
        <v>508</v>
      </c>
      <c r="BH13">
        <v>1</v>
      </c>
      <c r="BI13">
        <v>0</v>
      </c>
      <c r="BJ13">
        <v>0</v>
      </c>
      <c r="BK13">
        <v>0</v>
      </c>
      <c r="BL13">
        <v>0</v>
      </c>
      <c r="BM13" t="s">
        <v>84</v>
      </c>
      <c r="BN13" t="s">
        <v>84</v>
      </c>
      <c r="CM13" t="s">
        <v>1072</v>
      </c>
      <c r="CN13" t="s">
        <v>63</v>
      </c>
      <c r="CO13" t="s">
        <v>732</v>
      </c>
      <c r="CP13" t="s">
        <v>3954</v>
      </c>
      <c r="CQ13" t="s">
        <v>3945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Y13" t="s">
        <v>3955</v>
      </c>
      <c r="CZ13" s="26" t="s">
        <v>3956</v>
      </c>
      <c r="DA13" s="27" t="s">
        <v>4214</v>
      </c>
      <c r="DJ13" t="s">
        <v>63</v>
      </c>
      <c r="DK13" s="35" t="s">
        <v>4117</v>
      </c>
      <c r="DL13" s="37" t="s">
        <v>4258</v>
      </c>
      <c r="DM13" t="s">
        <v>4118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O13" t="s">
        <v>4111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Y13" t="s">
        <v>4105</v>
      </c>
      <c r="EZ13">
        <v>0</v>
      </c>
      <c r="FA13">
        <v>0</v>
      </c>
      <c r="FB13">
        <v>1</v>
      </c>
      <c r="FC13">
        <v>0</v>
      </c>
      <c r="FF13" t="s">
        <v>4116</v>
      </c>
      <c r="FI13" t="s">
        <v>736</v>
      </c>
      <c r="FJ13" t="s">
        <v>1073</v>
      </c>
      <c r="FK13" t="s">
        <v>736</v>
      </c>
      <c r="FL13" t="s">
        <v>1074</v>
      </c>
      <c r="FM13" t="s">
        <v>733</v>
      </c>
      <c r="FN13" t="s">
        <v>1075</v>
      </c>
      <c r="FO13" t="s">
        <v>733</v>
      </c>
      <c r="FP13" t="s">
        <v>1076</v>
      </c>
      <c r="FQ13" t="s">
        <v>733</v>
      </c>
      <c r="FR13" t="s">
        <v>1077</v>
      </c>
      <c r="FS13" t="s">
        <v>743</v>
      </c>
      <c r="FT13" t="s">
        <v>956</v>
      </c>
      <c r="FU13" t="s">
        <v>733</v>
      </c>
      <c r="FV13" t="s">
        <v>1078</v>
      </c>
      <c r="FW13" t="s">
        <v>736</v>
      </c>
      <c r="FX13" t="s">
        <v>1079</v>
      </c>
      <c r="FY13" t="s">
        <v>733</v>
      </c>
      <c r="FZ13" t="s">
        <v>912</v>
      </c>
      <c r="GA13" t="s">
        <v>777</v>
      </c>
      <c r="GB13" t="s">
        <v>1080</v>
      </c>
      <c r="GC13" t="s">
        <v>736</v>
      </c>
      <c r="GD13" t="s">
        <v>1081</v>
      </c>
      <c r="GE13" t="s">
        <v>733</v>
      </c>
      <c r="GF13" t="s">
        <v>868</v>
      </c>
      <c r="GG13" t="s">
        <v>743</v>
      </c>
      <c r="GH13" t="s">
        <v>1082</v>
      </c>
      <c r="GI13" t="s">
        <v>746</v>
      </c>
      <c r="GJ13" t="s">
        <v>1083</v>
      </c>
      <c r="GK13" t="s">
        <v>736</v>
      </c>
      <c r="GL13" t="s">
        <v>1084</v>
      </c>
      <c r="GO13" t="s">
        <v>736</v>
      </c>
      <c r="GQ13" t="s">
        <v>733</v>
      </c>
      <c r="GR13" t="s">
        <v>868</v>
      </c>
      <c r="GS13" t="s">
        <v>736</v>
      </c>
      <c r="GT13" t="s">
        <v>923</v>
      </c>
      <c r="GU13" t="s">
        <v>733</v>
      </c>
      <c r="GV13" t="s">
        <v>923</v>
      </c>
      <c r="GW13" t="s">
        <v>736</v>
      </c>
      <c r="GX13" t="s">
        <v>1085</v>
      </c>
      <c r="GY13" t="s">
        <v>736</v>
      </c>
      <c r="GZ13" t="s">
        <v>1086</v>
      </c>
      <c r="HA13" t="s">
        <v>736</v>
      </c>
      <c r="HB13" t="s">
        <v>1085</v>
      </c>
      <c r="HC13" t="s">
        <v>733</v>
      </c>
      <c r="HD13" t="s">
        <v>926</v>
      </c>
      <c r="HE13" t="s">
        <v>798</v>
      </c>
      <c r="HF13" t="s">
        <v>1085</v>
      </c>
      <c r="HG13" t="s">
        <v>736</v>
      </c>
      <c r="HH13" t="s">
        <v>1087</v>
      </c>
      <c r="HI13" t="s">
        <v>733</v>
      </c>
      <c r="HJ13" t="s">
        <v>928</v>
      </c>
      <c r="HK13" t="s">
        <v>746</v>
      </c>
      <c r="HL13" t="s">
        <v>1088</v>
      </c>
      <c r="HM13" t="s">
        <v>746</v>
      </c>
      <c r="HN13" t="s">
        <v>1089</v>
      </c>
      <c r="HO13" t="s">
        <v>746</v>
      </c>
      <c r="HP13" t="s">
        <v>949</v>
      </c>
      <c r="HQ13" t="s">
        <v>746</v>
      </c>
      <c r="HR13" t="s">
        <v>950</v>
      </c>
      <c r="HS13" t="s">
        <v>736</v>
      </c>
      <c r="HT13" t="s">
        <v>1090</v>
      </c>
      <c r="HU13" t="s">
        <v>736</v>
      </c>
      <c r="HV13" t="s">
        <v>936</v>
      </c>
      <c r="HW13" t="s">
        <v>746</v>
      </c>
      <c r="HX13" t="s">
        <v>1091</v>
      </c>
      <c r="HY13" t="s">
        <v>777</v>
      </c>
      <c r="HZ13" t="s">
        <v>1092</v>
      </c>
      <c r="IA13" t="s">
        <v>746</v>
      </c>
      <c r="IB13" t="s">
        <v>1093</v>
      </c>
      <c r="IC13" t="s">
        <v>746</v>
      </c>
      <c r="ID13" t="s">
        <v>1094</v>
      </c>
      <c r="IE13" t="s">
        <v>746</v>
      </c>
      <c r="IF13" t="s">
        <v>1095</v>
      </c>
      <c r="IG13" t="s">
        <v>746</v>
      </c>
      <c r="IH13" t="s">
        <v>1096</v>
      </c>
      <c r="II13" t="s">
        <v>736</v>
      </c>
      <c r="IJ13" t="s">
        <v>1097</v>
      </c>
      <c r="IK13" t="s">
        <v>733</v>
      </c>
      <c r="IL13" t="s">
        <v>926</v>
      </c>
      <c r="IM13" t="s">
        <v>746</v>
      </c>
      <c r="IN13" t="s">
        <v>1098</v>
      </c>
      <c r="IO13" t="s">
        <v>746</v>
      </c>
      <c r="IP13" t="s">
        <v>945</v>
      </c>
      <c r="IQ13" t="s">
        <v>733</v>
      </c>
      <c r="IR13" t="s">
        <v>912</v>
      </c>
      <c r="IS13" t="s">
        <v>733</v>
      </c>
      <c r="IT13" t="s">
        <v>734</v>
      </c>
      <c r="IU13" t="s">
        <v>746</v>
      </c>
      <c r="IV13" t="s">
        <v>1099</v>
      </c>
      <c r="IW13" t="s">
        <v>746</v>
      </c>
      <c r="IX13" t="s">
        <v>1100</v>
      </c>
      <c r="IY13" t="s">
        <v>746</v>
      </c>
      <c r="IZ13" t="s">
        <v>959</v>
      </c>
      <c r="JA13" t="s">
        <v>746</v>
      </c>
      <c r="JB13" t="s">
        <v>1101</v>
      </c>
      <c r="JC13" t="s">
        <v>733</v>
      </c>
      <c r="JD13" t="s">
        <v>1102</v>
      </c>
      <c r="JE13" t="s">
        <v>733</v>
      </c>
      <c r="JF13" t="s">
        <v>928</v>
      </c>
      <c r="JG13" t="s">
        <v>746</v>
      </c>
      <c r="JH13" t="s">
        <v>959</v>
      </c>
      <c r="JI13" t="s">
        <v>746</v>
      </c>
      <c r="JJ13" t="s">
        <v>1103</v>
      </c>
      <c r="JL13" t="s">
        <v>1104</v>
      </c>
      <c r="JN13" t="s">
        <v>1104</v>
      </c>
      <c r="JP13" t="s">
        <v>1104</v>
      </c>
      <c r="JR13" t="s">
        <v>1104</v>
      </c>
      <c r="JS13" t="s">
        <v>746</v>
      </c>
      <c r="JT13" t="s">
        <v>951</v>
      </c>
      <c r="JU13" t="s">
        <v>746</v>
      </c>
      <c r="JV13" t="s">
        <v>1105</v>
      </c>
      <c r="JW13" t="s">
        <v>746</v>
      </c>
      <c r="JX13" t="s">
        <v>959</v>
      </c>
      <c r="JY13" t="s">
        <v>746</v>
      </c>
      <c r="JZ13" t="s">
        <v>956</v>
      </c>
      <c r="KA13" t="s">
        <v>746</v>
      </c>
      <c r="KB13" t="s">
        <v>1106</v>
      </c>
      <c r="KC13" t="s">
        <v>746</v>
      </c>
      <c r="KD13" t="s">
        <v>945</v>
      </c>
      <c r="KE13" t="s">
        <v>733</v>
      </c>
      <c r="KF13" t="s">
        <v>961</v>
      </c>
      <c r="KG13" t="s">
        <v>746</v>
      </c>
      <c r="KH13" t="s">
        <v>959</v>
      </c>
      <c r="KI13" t="s">
        <v>733</v>
      </c>
      <c r="KJ13" t="s">
        <v>961</v>
      </c>
      <c r="KK13" t="s">
        <v>746</v>
      </c>
      <c r="KL13" t="s">
        <v>946</v>
      </c>
      <c r="KM13" t="s">
        <v>746</v>
      </c>
      <c r="KN13" t="s">
        <v>953</v>
      </c>
      <c r="KO13" t="s">
        <v>733</v>
      </c>
      <c r="KP13" t="s">
        <v>1107</v>
      </c>
      <c r="KQ13" t="s">
        <v>746</v>
      </c>
      <c r="KR13" t="s">
        <v>1108</v>
      </c>
      <c r="KS13" t="s">
        <v>746</v>
      </c>
      <c r="KT13" t="s">
        <v>958</v>
      </c>
      <c r="KU13" t="s">
        <v>736</v>
      </c>
      <c r="KV13" t="s">
        <v>1109</v>
      </c>
      <c r="KW13" t="s">
        <v>736</v>
      </c>
      <c r="KX13" t="s">
        <v>1110</v>
      </c>
      <c r="KY13" t="s">
        <v>736</v>
      </c>
      <c r="KZ13" t="s">
        <v>1111</v>
      </c>
      <c r="LA13" t="s">
        <v>736</v>
      </c>
      <c r="LB13" t="s">
        <v>1112</v>
      </c>
      <c r="LC13" t="s">
        <v>736</v>
      </c>
      <c r="LD13" t="s">
        <v>1113</v>
      </c>
      <c r="LE13" t="s">
        <v>736</v>
      </c>
      <c r="LF13" t="s">
        <v>1114</v>
      </c>
      <c r="LG13" t="s">
        <v>746</v>
      </c>
      <c r="LH13" t="s">
        <v>953</v>
      </c>
      <c r="LI13" t="s">
        <v>733</v>
      </c>
      <c r="LJ13" t="s">
        <v>1115</v>
      </c>
      <c r="LK13" t="s">
        <v>746</v>
      </c>
      <c r="LL13" t="s">
        <v>955</v>
      </c>
      <c r="LM13" t="s">
        <v>746</v>
      </c>
      <c r="LN13" t="s">
        <v>955</v>
      </c>
      <c r="LO13" t="s">
        <v>736</v>
      </c>
      <c r="LP13" t="s">
        <v>1116</v>
      </c>
      <c r="LQ13" t="s">
        <v>736</v>
      </c>
      <c r="LR13" t="s">
        <v>1117</v>
      </c>
      <c r="LS13" t="s">
        <v>733</v>
      </c>
      <c r="LT13" t="s">
        <v>912</v>
      </c>
      <c r="LU13" t="s">
        <v>746</v>
      </c>
      <c r="LV13" t="s">
        <v>1118</v>
      </c>
      <c r="LW13" t="s">
        <v>746</v>
      </c>
      <c r="LX13" t="s">
        <v>1119</v>
      </c>
      <c r="LY13" t="s">
        <v>746</v>
      </c>
      <c r="LZ13" t="s">
        <v>972</v>
      </c>
      <c r="ME13" t="s">
        <v>733</v>
      </c>
      <c r="MF13" t="s">
        <v>1115</v>
      </c>
      <c r="MG13" t="s">
        <v>733</v>
      </c>
      <c r="MH13" t="s">
        <v>1120</v>
      </c>
      <c r="MI13" t="s">
        <v>746</v>
      </c>
      <c r="MO13" t="s">
        <v>781</v>
      </c>
      <c r="MP13" t="s">
        <v>784</v>
      </c>
      <c r="MQ13" t="s">
        <v>783</v>
      </c>
      <c r="MR13" t="s">
        <v>784</v>
      </c>
      <c r="MS13" t="s">
        <v>784</v>
      </c>
      <c r="MT13" t="s">
        <v>783</v>
      </c>
      <c r="MU13" t="s">
        <v>781</v>
      </c>
      <c r="MV13" t="s">
        <v>784</v>
      </c>
      <c r="MW13" t="s">
        <v>784</v>
      </c>
      <c r="MX13" t="s">
        <v>783</v>
      </c>
      <c r="MZ13" t="s">
        <v>783</v>
      </c>
      <c r="NA13" t="s">
        <v>784</v>
      </c>
      <c r="NB13" t="s">
        <v>781</v>
      </c>
      <c r="NC13" t="s">
        <v>781</v>
      </c>
      <c r="ND13" t="s">
        <v>783</v>
      </c>
      <c r="NE13" t="s">
        <v>783</v>
      </c>
      <c r="NF13" t="s">
        <v>783</v>
      </c>
      <c r="NG13" t="s">
        <v>781</v>
      </c>
      <c r="NH13" t="s">
        <v>783</v>
      </c>
      <c r="NI13" t="s">
        <v>783</v>
      </c>
      <c r="NJ13" t="s">
        <v>783</v>
      </c>
      <c r="NK13" t="s">
        <v>784</v>
      </c>
      <c r="NL13" t="s">
        <v>781</v>
      </c>
      <c r="NM13" t="s">
        <v>783</v>
      </c>
      <c r="NN13" t="s">
        <v>784</v>
      </c>
      <c r="NO13" t="s">
        <v>784</v>
      </c>
      <c r="NP13" t="s">
        <v>783</v>
      </c>
      <c r="NQ13" t="s">
        <v>781</v>
      </c>
      <c r="NR13" t="s">
        <v>783</v>
      </c>
      <c r="NS13" t="s">
        <v>784</v>
      </c>
      <c r="NT13" t="s">
        <v>784</v>
      </c>
      <c r="NU13" t="s">
        <v>783</v>
      </c>
      <c r="NV13" t="s">
        <v>784</v>
      </c>
      <c r="NW13" t="s">
        <v>782</v>
      </c>
      <c r="NX13" t="s">
        <v>783</v>
      </c>
      <c r="NY13" t="s">
        <v>783</v>
      </c>
      <c r="NZ13" t="s">
        <v>783</v>
      </c>
      <c r="OA13" t="s">
        <v>781</v>
      </c>
      <c r="OB13" t="s">
        <v>782</v>
      </c>
      <c r="OC13" t="s">
        <v>784</v>
      </c>
      <c r="OD13" t="s">
        <v>783</v>
      </c>
      <c r="OE13" t="s">
        <v>783</v>
      </c>
      <c r="OF13" t="s">
        <v>781</v>
      </c>
      <c r="OG13" t="s">
        <v>783</v>
      </c>
      <c r="OH13" t="s">
        <v>783</v>
      </c>
      <c r="OI13" t="s">
        <v>783</v>
      </c>
      <c r="OJ13" t="s">
        <v>783</v>
      </c>
    </row>
    <row r="14" spans="1:400" x14ac:dyDescent="0.25">
      <c r="A14">
        <v>10</v>
      </c>
      <c r="B14" t="s">
        <v>130</v>
      </c>
      <c r="C14" t="s">
        <v>131</v>
      </c>
      <c r="D14" t="s">
        <v>97</v>
      </c>
      <c r="E14">
        <v>41</v>
      </c>
      <c r="F14" t="s">
        <v>58</v>
      </c>
      <c r="G14" t="s">
        <v>105</v>
      </c>
      <c r="H14" t="s">
        <v>60</v>
      </c>
      <c r="I14" t="s">
        <v>88</v>
      </c>
      <c r="J14" t="s">
        <v>62</v>
      </c>
      <c r="K14" t="s">
        <v>84</v>
      </c>
      <c r="L14" t="s">
        <v>98</v>
      </c>
      <c r="M14" t="s">
        <v>64</v>
      </c>
      <c r="N14" t="s">
        <v>70</v>
      </c>
      <c r="O14">
        <v>6</v>
      </c>
      <c r="P14" s="1">
        <v>200000</v>
      </c>
      <c r="Q14" s="1">
        <v>0</v>
      </c>
      <c r="R14" t="s">
        <v>115</v>
      </c>
      <c r="S14" s="7">
        <v>200000</v>
      </c>
      <c r="T14" t="s">
        <v>70</v>
      </c>
      <c r="U14" s="5">
        <v>0</v>
      </c>
      <c r="V14" s="3" t="s">
        <v>70</v>
      </c>
      <c r="W14" s="5">
        <v>0</v>
      </c>
      <c r="X14" t="s">
        <v>83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P14" t="s">
        <v>63</v>
      </c>
      <c r="AR14">
        <v>1</v>
      </c>
      <c r="AS14" s="2">
        <v>1.25</v>
      </c>
      <c r="AT14" t="s">
        <v>509</v>
      </c>
      <c r="AU14">
        <v>0</v>
      </c>
      <c r="AV14">
        <v>1</v>
      </c>
      <c r="AW14">
        <v>0</v>
      </c>
      <c r="AX14">
        <v>0</v>
      </c>
      <c r="AY14">
        <v>0</v>
      </c>
      <c r="AZ14" t="s">
        <v>527</v>
      </c>
      <c r="BA14" t="s">
        <v>505</v>
      </c>
      <c r="BC14" t="s">
        <v>512</v>
      </c>
      <c r="BD14" t="s">
        <v>513</v>
      </c>
      <c r="BE14">
        <v>2007</v>
      </c>
      <c r="BF14">
        <v>16</v>
      </c>
      <c r="BG14" t="s">
        <v>508</v>
      </c>
      <c r="BH14">
        <v>1</v>
      </c>
      <c r="BI14">
        <v>0</v>
      </c>
      <c r="BJ14">
        <v>0</v>
      </c>
      <c r="BK14">
        <v>0</v>
      </c>
      <c r="BL14">
        <v>0</v>
      </c>
      <c r="BM14" t="s">
        <v>63</v>
      </c>
      <c r="BN14" t="s">
        <v>63</v>
      </c>
      <c r="BO14" t="s">
        <v>3856</v>
      </c>
      <c r="BP14" t="s">
        <v>3845</v>
      </c>
      <c r="BR14" t="s">
        <v>3857</v>
      </c>
      <c r="BS14" t="s">
        <v>3838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CA14" t="s">
        <v>3847</v>
      </c>
      <c r="CB14" t="s">
        <v>3858</v>
      </c>
      <c r="CC14" t="s">
        <v>3840</v>
      </c>
      <c r="CD14" t="s">
        <v>3843</v>
      </c>
      <c r="CE14" t="s">
        <v>71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 t="s">
        <v>3865</v>
      </c>
      <c r="CN14" t="s">
        <v>84</v>
      </c>
      <c r="CO14" t="s">
        <v>84</v>
      </c>
      <c r="CZ14" s="26"/>
      <c r="DA14" s="27"/>
      <c r="DB14" t="s">
        <v>976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J14" t="s">
        <v>63</v>
      </c>
      <c r="DK14" s="35" t="s">
        <v>4120</v>
      </c>
      <c r="DL14" s="37" t="s">
        <v>4257</v>
      </c>
      <c r="DM14" t="s">
        <v>4121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M14" t="s">
        <v>3988</v>
      </c>
      <c r="EO14" t="s">
        <v>4111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Y14" t="s">
        <v>4105</v>
      </c>
      <c r="EZ14">
        <v>0</v>
      </c>
      <c r="FA14">
        <v>0</v>
      </c>
      <c r="FB14">
        <v>1</v>
      </c>
      <c r="FC14">
        <v>0</v>
      </c>
      <c r="FF14" t="s">
        <v>4123</v>
      </c>
      <c r="FI14" t="s">
        <v>736</v>
      </c>
      <c r="FJ14" t="s">
        <v>1121</v>
      </c>
      <c r="FK14" t="s">
        <v>743</v>
      </c>
      <c r="FL14" t="s">
        <v>1122</v>
      </c>
      <c r="FM14" t="s">
        <v>736</v>
      </c>
      <c r="FN14" t="s">
        <v>1123</v>
      </c>
      <c r="FO14" t="s">
        <v>736</v>
      </c>
      <c r="FP14" t="s">
        <v>1124</v>
      </c>
      <c r="FQ14" t="s">
        <v>736</v>
      </c>
      <c r="FR14" t="s">
        <v>1125</v>
      </c>
      <c r="FS14" t="s">
        <v>736</v>
      </c>
      <c r="FT14" t="s">
        <v>1126</v>
      </c>
      <c r="FU14" t="s">
        <v>736</v>
      </c>
      <c r="FV14" t="s">
        <v>1127</v>
      </c>
      <c r="FW14" t="s">
        <v>733</v>
      </c>
      <c r="FX14" t="s">
        <v>1128</v>
      </c>
      <c r="FY14" t="s">
        <v>746</v>
      </c>
      <c r="FZ14" t="s">
        <v>1129</v>
      </c>
      <c r="GA14" t="s">
        <v>736</v>
      </c>
      <c r="GB14" t="s">
        <v>1126</v>
      </c>
      <c r="GC14" t="s">
        <v>733</v>
      </c>
      <c r="GD14" t="s">
        <v>912</v>
      </c>
      <c r="GE14" t="s">
        <v>733</v>
      </c>
      <c r="GF14" t="s">
        <v>1130</v>
      </c>
      <c r="GG14" t="s">
        <v>743</v>
      </c>
      <c r="GH14" t="s">
        <v>1131</v>
      </c>
      <c r="GI14" t="s">
        <v>736</v>
      </c>
      <c r="GJ14" t="s">
        <v>1132</v>
      </c>
      <c r="GK14" t="s">
        <v>733</v>
      </c>
      <c r="GL14" t="s">
        <v>912</v>
      </c>
      <c r="GM14" t="s">
        <v>736</v>
      </c>
      <c r="GN14" t="s">
        <v>1133</v>
      </c>
      <c r="GO14" t="s">
        <v>733</v>
      </c>
      <c r="GP14" t="s">
        <v>868</v>
      </c>
      <c r="GQ14" t="s">
        <v>736</v>
      </c>
      <c r="GR14" t="s">
        <v>1126</v>
      </c>
      <c r="GS14" t="s">
        <v>733</v>
      </c>
      <c r="GT14" t="s">
        <v>912</v>
      </c>
      <c r="GU14" t="s">
        <v>736</v>
      </c>
      <c r="GV14" t="s">
        <v>1134</v>
      </c>
      <c r="GW14" t="s">
        <v>736</v>
      </c>
      <c r="GX14" t="s">
        <v>1122</v>
      </c>
      <c r="GY14" t="s">
        <v>736</v>
      </c>
      <c r="GZ14" t="s">
        <v>1135</v>
      </c>
      <c r="HA14" t="s">
        <v>736</v>
      </c>
      <c r="HB14" t="s">
        <v>1136</v>
      </c>
      <c r="HC14" t="s">
        <v>736</v>
      </c>
      <c r="HD14" t="s">
        <v>1137</v>
      </c>
      <c r="HE14" t="s">
        <v>798</v>
      </c>
      <c r="HF14" t="s">
        <v>1138</v>
      </c>
      <c r="HG14" t="s">
        <v>736</v>
      </c>
      <c r="HH14" t="s">
        <v>1139</v>
      </c>
      <c r="HI14" t="s">
        <v>736</v>
      </c>
      <c r="HJ14" t="s">
        <v>1140</v>
      </c>
      <c r="HK14" t="s">
        <v>736</v>
      </c>
      <c r="HL14" t="s">
        <v>1141</v>
      </c>
      <c r="HM14" t="s">
        <v>746</v>
      </c>
      <c r="HN14" t="s">
        <v>1142</v>
      </c>
      <c r="HO14" t="s">
        <v>736</v>
      </c>
      <c r="HP14" t="s">
        <v>949</v>
      </c>
      <c r="HQ14" t="s">
        <v>746</v>
      </c>
      <c r="HR14" t="s">
        <v>1143</v>
      </c>
      <c r="HS14" t="s">
        <v>736</v>
      </c>
      <c r="HT14" t="s">
        <v>1144</v>
      </c>
      <c r="HU14" t="s">
        <v>736</v>
      </c>
      <c r="HV14" t="s">
        <v>1145</v>
      </c>
      <c r="HW14" t="s">
        <v>736</v>
      </c>
      <c r="HX14" t="s">
        <v>1146</v>
      </c>
      <c r="HY14" t="s">
        <v>736</v>
      </c>
      <c r="HZ14" t="s">
        <v>1147</v>
      </c>
      <c r="IA14" t="s">
        <v>736</v>
      </c>
      <c r="IB14" t="s">
        <v>1148</v>
      </c>
      <c r="IC14" t="s">
        <v>736</v>
      </c>
      <c r="ID14" t="s">
        <v>1149</v>
      </c>
      <c r="IE14" t="s">
        <v>743</v>
      </c>
      <c r="IF14" t="s">
        <v>1150</v>
      </c>
      <c r="IG14" t="s">
        <v>746</v>
      </c>
      <c r="IH14" t="s">
        <v>1151</v>
      </c>
      <c r="II14" t="s">
        <v>736</v>
      </c>
      <c r="IJ14" t="s">
        <v>1152</v>
      </c>
      <c r="IK14" t="s">
        <v>736</v>
      </c>
      <c r="IL14" t="s">
        <v>1153</v>
      </c>
      <c r="IM14" t="s">
        <v>743</v>
      </c>
      <c r="IN14" t="s">
        <v>1154</v>
      </c>
      <c r="IO14" t="s">
        <v>743</v>
      </c>
      <c r="IP14" t="s">
        <v>1155</v>
      </c>
      <c r="IQ14" t="s">
        <v>746</v>
      </c>
      <c r="IR14" t="s">
        <v>1156</v>
      </c>
      <c r="IS14" t="s">
        <v>736</v>
      </c>
      <c r="IT14" t="s">
        <v>1157</v>
      </c>
      <c r="IU14" t="s">
        <v>746</v>
      </c>
      <c r="IV14" t="s">
        <v>1158</v>
      </c>
      <c r="IW14" t="s">
        <v>746</v>
      </c>
      <c r="IX14" t="s">
        <v>1159</v>
      </c>
      <c r="IY14" t="s">
        <v>746</v>
      </c>
      <c r="IZ14" t="s">
        <v>1160</v>
      </c>
      <c r="JA14" t="s">
        <v>746</v>
      </c>
      <c r="JB14" t="s">
        <v>1161</v>
      </c>
      <c r="JC14" t="s">
        <v>733</v>
      </c>
      <c r="JD14" t="s">
        <v>1162</v>
      </c>
      <c r="JE14" t="s">
        <v>733</v>
      </c>
      <c r="JF14" t="s">
        <v>928</v>
      </c>
      <c r="JG14" t="s">
        <v>743</v>
      </c>
      <c r="JH14" t="s">
        <v>1143</v>
      </c>
      <c r="JI14" t="s">
        <v>746</v>
      </c>
      <c r="JJ14" t="s">
        <v>1143</v>
      </c>
      <c r="JS14" t="s">
        <v>743</v>
      </c>
      <c r="JT14" t="s">
        <v>1163</v>
      </c>
      <c r="JU14" t="s">
        <v>746</v>
      </c>
      <c r="JV14" t="s">
        <v>1164</v>
      </c>
      <c r="JW14" t="s">
        <v>743</v>
      </c>
      <c r="JX14" t="s">
        <v>1165</v>
      </c>
      <c r="JY14" t="s">
        <v>746</v>
      </c>
      <c r="JZ14" t="s">
        <v>1166</v>
      </c>
      <c r="KA14" t="s">
        <v>743</v>
      </c>
      <c r="KB14" t="s">
        <v>1158</v>
      </c>
      <c r="KC14" t="s">
        <v>746</v>
      </c>
      <c r="KD14" t="s">
        <v>930</v>
      </c>
      <c r="KE14" t="s">
        <v>746</v>
      </c>
      <c r="KF14" t="s">
        <v>1158</v>
      </c>
      <c r="KG14" t="s">
        <v>746</v>
      </c>
      <c r="KH14" t="s">
        <v>1143</v>
      </c>
      <c r="KI14" t="s">
        <v>746</v>
      </c>
      <c r="KJ14" t="s">
        <v>1167</v>
      </c>
      <c r="KK14" t="s">
        <v>746</v>
      </c>
      <c r="KL14" t="s">
        <v>949</v>
      </c>
      <c r="KM14" t="s">
        <v>746</v>
      </c>
      <c r="KN14" t="s">
        <v>1168</v>
      </c>
      <c r="KO14" t="s">
        <v>733</v>
      </c>
      <c r="KP14" t="s">
        <v>1169</v>
      </c>
      <c r="KQ14" t="s">
        <v>746</v>
      </c>
      <c r="KR14" t="s">
        <v>1088</v>
      </c>
      <c r="KS14" t="s">
        <v>746</v>
      </c>
      <c r="KT14" t="s">
        <v>1170</v>
      </c>
      <c r="KU14" t="s">
        <v>733</v>
      </c>
      <c r="KV14" t="s">
        <v>961</v>
      </c>
      <c r="KW14" t="s">
        <v>777</v>
      </c>
      <c r="KX14" t="s">
        <v>1171</v>
      </c>
      <c r="LC14" t="s">
        <v>736</v>
      </c>
      <c r="LD14" t="s">
        <v>1172</v>
      </c>
      <c r="LE14" t="s">
        <v>746</v>
      </c>
      <c r="LF14" t="s">
        <v>1173</v>
      </c>
      <c r="LG14" t="s">
        <v>736</v>
      </c>
      <c r="LH14" t="s">
        <v>1174</v>
      </c>
      <c r="LI14" t="s">
        <v>736</v>
      </c>
      <c r="LJ14" t="s">
        <v>1175</v>
      </c>
      <c r="LK14" t="s">
        <v>746</v>
      </c>
      <c r="LL14" t="s">
        <v>1176</v>
      </c>
      <c r="LM14" t="s">
        <v>746</v>
      </c>
      <c r="LN14" t="s">
        <v>1177</v>
      </c>
      <c r="LO14" t="s">
        <v>736</v>
      </c>
      <c r="LP14" t="s">
        <v>1178</v>
      </c>
      <c r="LQ14" t="s">
        <v>736</v>
      </c>
      <c r="LR14" t="s">
        <v>1179</v>
      </c>
      <c r="LS14" t="s">
        <v>733</v>
      </c>
      <c r="LT14" t="s">
        <v>1180</v>
      </c>
      <c r="LU14" t="s">
        <v>733</v>
      </c>
      <c r="LV14" t="s">
        <v>1181</v>
      </c>
      <c r="LW14" t="s">
        <v>733</v>
      </c>
      <c r="LX14" t="s">
        <v>1182</v>
      </c>
      <c r="LY14" t="s">
        <v>733</v>
      </c>
      <c r="LZ14" t="s">
        <v>1183</v>
      </c>
      <c r="MA14" t="s">
        <v>746</v>
      </c>
      <c r="MB14" t="s">
        <v>1184</v>
      </c>
      <c r="MC14" t="s">
        <v>746</v>
      </c>
      <c r="MD14" t="s">
        <v>1185</v>
      </c>
      <c r="ME14" t="s">
        <v>736</v>
      </c>
      <c r="MF14" t="s">
        <v>1186</v>
      </c>
      <c r="MG14" t="s">
        <v>736</v>
      </c>
      <c r="MH14" t="s">
        <v>1179</v>
      </c>
      <c r="MI14" t="s">
        <v>733</v>
      </c>
      <c r="MJ14" t="s">
        <v>1187</v>
      </c>
      <c r="MK14" t="s">
        <v>733</v>
      </c>
      <c r="ML14" t="s">
        <v>1188</v>
      </c>
      <c r="MO14" t="s">
        <v>784</v>
      </c>
      <c r="MP14" t="s">
        <v>784</v>
      </c>
      <c r="MQ14" t="s">
        <v>783</v>
      </c>
      <c r="MR14" t="s">
        <v>783</v>
      </c>
      <c r="MS14" t="s">
        <v>784</v>
      </c>
      <c r="MT14" t="s">
        <v>784</v>
      </c>
      <c r="MU14" t="s">
        <v>783</v>
      </c>
      <c r="MV14" t="s">
        <v>781</v>
      </c>
      <c r="MW14" t="s">
        <v>783</v>
      </c>
      <c r="MX14" t="s">
        <v>783</v>
      </c>
      <c r="MZ14" t="s">
        <v>784</v>
      </c>
      <c r="NA14" t="s">
        <v>783</v>
      </c>
      <c r="NB14" t="s">
        <v>781</v>
      </c>
      <c r="NC14" t="s">
        <v>781</v>
      </c>
      <c r="ND14" t="s">
        <v>783</v>
      </c>
      <c r="NE14" t="s">
        <v>784</v>
      </c>
      <c r="NF14" t="s">
        <v>783</v>
      </c>
      <c r="NG14" t="s">
        <v>781</v>
      </c>
      <c r="NH14" t="s">
        <v>783</v>
      </c>
      <c r="NI14" t="s">
        <v>784</v>
      </c>
      <c r="NJ14" t="s">
        <v>783</v>
      </c>
      <c r="NK14" t="s">
        <v>783</v>
      </c>
      <c r="NL14" t="s">
        <v>781</v>
      </c>
      <c r="NM14" t="s">
        <v>783</v>
      </c>
      <c r="NN14" t="s">
        <v>784</v>
      </c>
      <c r="NO14" t="s">
        <v>782</v>
      </c>
      <c r="NP14" t="s">
        <v>783</v>
      </c>
      <c r="NQ14" t="s">
        <v>781</v>
      </c>
      <c r="NR14" t="s">
        <v>783</v>
      </c>
      <c r="NS14" t="s">
        <v>907</v>
      </c>
      <c r="NT14" t="s">
        <v>782</v>
      </c>
      <c r="NU14" t="s">
        <v>781</v>
      </c>
      <c r="NV14" t="s">
        <v>782</v>
      </c>
      <c r="NW14" t="s">
        <v>782</v>
      </c>
      <c r="NX14" t="s">
        <v>783</v>
      </c>
      <c r="NY14" t="s">
        <v>783</v>
      </c>
      <c r="NZ14" t="s">
        <v>783</v>
      </c>
      <c r="OA14" t="s">
        <v>783</v>
      </c>
      <c r="OB14" t="s">
        <v>782</v>
      </c>
      <c r="OC14" t="s">
        <v>784</v>
      </c>
      <c r="OD14" t="s">
        <v>783</v>
      </c>
      <c r="OE14" t="s">
        <v>784</v>
      </c>
      <c r="OF14" t="s">
        <v>781</v>
      </c>
      <c r="OG14" t="s">
        <v>781</v>
      </c>
      <c r="OH14" t="s">
        <v>781</v>
      </c>
      <c r="OI14" t="s">
        <v>783</v>
      </c>
      <c r="OJ14" t="s">
        <v>783</v>
      </c>
    </row>
    <row r="15" spans="1:400" x14ac:dyDescent="0.25">
      <c r="A15">
        <v>11</v>
      </c>
      <c r="B15" t="s">
        <v>134</v>
      </c>
      <c r="C15" t="s">
        <v>135</v>
      </c>
      <c r="D15" t="s">
        <v>97</v>
      </c>
      <c r="E15">
        <v>50</v>
      </c>
      <c r="F15" t="s">
        <v>87</v>
      </c>
      <c r="G15" t="s">
        <v>76</v>
      </c>
      <c r="H15" t="s">
        <v>60</v>
      </c>
      <c r="I15" t="s">
        <v>113</v>
      </c>
      <c r="J15" t="s">
        <v>62</v>
      </c>
      <c r="K15" t="s">
        <v>63</v>
      </c>
      <c r="M15" t="s">
        <v>64</v>
      </c>
      <c r="N15" t="s">
        <v>70</v>
      </c>
      <c r="O15">
        <v>1</v>
      </c>
      <c r="P15" s="1">
        <v>300000</v>
      </c>
      <c r="Q15" s="1">
        <v>0</v>
      </c>
      <c r="R15" t="s">
        <v>137</v>
      </c>
      <c r="S15" s="7">
        <v>30000</v>
      </c>
      <c r="T15" t="s">
        <v>70</v>
      </c>
      <c r="U15" s="5">
        <v>0</v>
      </c>
      <c r="V15" s="3" t="s">
        <v>70</v>
      </c>
      <c r="W15" s="5">
        <v>0</v>
      </c>
      <c r="X15" t="s">
        <v>73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 t="s">
        <v>63</v>
      </c>
      <c r="AR15">
        <v>1</v>
      </c>
      <c r="AS15" s="2">
        <v>0.25</v>
      </c>
      <c r="AT15" t="s">
        <v>509</v>
      </c>
      <c r="AU15">
        <v>0</v>
      </c>
      <c r="AV15">
        <v>1</v>
      </c>
      <c r="AW15">
        <v>0</v>
      </c>
      <c r="AX15">
        <v>0</v>
      </c>
      <c r="AY15">
        <v>0</v>
      </c>
      <c r="AZ15" t="s">
        <v>528</v>
      </c>
      <c r="BA15" t="s">
        <v>511</v>
      </c>
      <c r="BC15" t="s">
        <v>506</v>
      </c>
      <c r="BD15" t="s">
        <v>507</v>
      </c>
      <c r="BE15">
        <v>2017</v>
      </c>
      <c r="BF15">
        <v>6</v>
      </c>
      <c r="BG15" t="s">
        <v>508</v>
      </c>
      <c r="BH15">
        <v>1</v>
      </c>
      <c r="BI15">
        <v>0</v>
      </c>
      <c r="BJ15">
        <v>0</v>
      </c>
      <c r="BK15">
        <v>0</v>
      </c>
      <c r="BL15">
        <v>0</v>
      </c>
      <c r="BM15" t="s">
        <v>63</v>
      </c>
      <c r="BN15" t="s">
        <v>63</v>
      </c>
      <c r="BO15" t="s">
        <v>3924</v>
      </c>
      <c r="BP15" t="s">
        <v>3845</v>
      </c>
      <c r="BR15" t="s">
        <v>3860</v>
      </c>
      <c r="BS15" t="s">
        <v>3838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CA15" t="s">
        <v>3847</v>
      </c>
      <c r="CB15" t="s">
        <v>3861</v>
      </c>
      <c r="CC15" t="s">
        <v>3840</v>
      </c>
      <c r="CD15" t="s">
        <v>3841</v>
      </c>
      <c r="CE15" t="s">
        <v>3862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1</v>
      </c>
      <c r="CN15" t="s">
        <v>63</v>
      </c>
      <c r="CO15" t="s">
        <v>732</v>
      </c>
      <c r="CP15" t="s">
        <v>3958</v>
      </c>
      <c r="CQ15" t="s">
        <v>3959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Y15" t="s">
        <v>3960</v>
      </c>
      <c r="CZ15" s="26" t="s">
        <v>3961</v>
      </c>
      <c r="DA15" s="27"/>
      <c r="DJ15" t="s">
        <v>63</v>
      </c>
      <c r="DK15" s="35" t="s">
        <v>4122</v>
      </c>
      <c r="DL15" s="37" t="s">
        <v>4254</v>
      </c>
      <c r="DM15" t="s">
        <v>2996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N15" t="s">
        <v>3970</v>
      </c>
      <c r="EO15" t="s">
        <v>4111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Y15" t="s">
        <v>4105</v>
      </c>
      <c r="EZ15">
        <v>0</v>
      </c>
      <c r="FA15">
        <v>0</v>
      </c>
      <c r="FB15">
        <v>1</v>
      </c>
      <c r="FC15">
        <v>0</v>
      </c>
      <c r="FF15" t="s">
        <v>4116</v>
      </c>
      <c r="FI15" t="s">
        <v>736</v>
      </c>
      <c r="FJ15" t="s">
        <v>1189</v>
      </c>
      <c r="FK15" t="s">
        <v>736</v>
      </c>
      <c r="FL15" t="s">
        <v>1189</v>
      </c>
      <c r="FM15" t="s">
        <v>736</v>
      </c>
      <c r="FN15" t="s">
        <v>1189</v>
      </c>
      <c r="FO15" t="s">
        <v>736</v>
      </c>
      <c r="FP15" t="s">
        <v>1189</v>
      </c>
      <c r="FQ15" t="s">
        <v>736</v>
      </c>
      <c r="FR15" t="s">
        <v>1189</v>
      </c>
      <c r="FS15" t="s">
        <v>736</v>
      </c>
      <c r="FT15" t="s">
        <v>1189</v>
      </c>
      <c r="FV15" t="s">
        <v>938</v>
      </c>
      <c r="FX15" t="s">
        <v>938</v>
      </c>
      <c r="FY15" t="s">
        <v>736</v>
      </c>
      <c r="FZ15" t="s">
        <v>1189</v>
      </c>
      <c r="GA15" t="s">
        <v>736</v>
      </c>
      <c r="GB15" t="s">
        <v>1189</v>
      </c>
      <c r="GC15" t="s">
        <v>736</v>
      </c>
      <c r="GD15" t="s">
        <v>1189</v>
      </c>
      <c r="GE15" t="s">
        <v>736</v>
      </c>
      <c r="GF15" t="s">
        <v>1189</v>
      </c>
      <c r="GG15" t="s">
        <v>736</v>
      </c>
      <c r="GH15" t="s">
        <v>1189</v>
      </c>
      <c r="GI15" t="s">
        <v>736</v>
      </c>
      <c r="GJ15" t="s">
        <v>1189</v>
      </c>
      <c r="GK15" t="s">
        <v>736</v>
      </c>
      <c r="GL15" t="s">
        <v>1189</v>
      </c>
      <c r="GM15" t="s">
        <v>736</v>
      </c>
      <c r="GN15" t="s">
        <v>1189</v>
      </c>
      <c r="GO15" t="s">
        <v>736</v>
      </c>
      <c r="GP15" t="s">
        <v>1189</v>
      </c>
      <c r="GQ15" t="s">
        <v>736</v>
      </c>
      <c r="GR15" t="s">
        <v>1189</v>
      </c>
      <c r="GS15" t="s">
        <v>736</v>
      </c>
      <c r="GT15" t="s">
        <v>1189</v>
      </c>
      <c r="GU15" t="s">
        <v>736</v>
      </c>
      <c r="GV15" t="s">
        <v>1189</v>
      </c>
      <c r="GW15" t="s">
        <v>736</v>
      </c>
      <c r="GX15" t="s">
        <v>1189</v>
      </c>
      <c r="GY15" t="s">
        <v>736</v>
      </c>
      <c r="GZ15" t="s">
        <v>1189</v>
      </c>
      <c r="HA15" t="s">
        <v>736</v>
      </c>
      <c r="HB15" t="s">
        <v>1189</v>
      </c>
      <c r="HC15" t="s">
        <v>736</v>
      </c>
      <c r="HD15" t="s">
        <v>1189</v>
      </c>
      <c r="HE15" t="s">
        <v>798</v>
      </c>
      <c r="HF15" t="s">
        <v>1189</v>
      </c>
      <c r="HG15" t="s">
        <v>736</v>
      </c>
      <c r="HH15" t="s">
        <v>1189</v>
      </c>
      <c r="HI15" t="s">
        <v>736</v>
      </c>
      <c r="HJ15" t="s">
        <v>1189</v>
      </c>
      <c r="HK15" t="s">
        <v>736</v>
      </c>
      <c r="HL15" t="s">
        <v>1189</v>
      </c>
      <c r="HM15" t="s">
        <v>736</v>
      </c>
      <c r="HN15" t="s">
        <v>1189</v>
      </c>
      <c r="HO15" t="s">
        <v>736</v>
      </c>
      <c r="HP15" t="s">
        <v>1189</v>
      </c>
      <c r="HQ15" t="s">
        <v>736</v>
      </c>
      <c r="HR15" t="s">
        <v>1189</v>
      </c>
      <c r="HT15" t="s">
        <v>938</v>
      </c>
      <c r="HV15" t="s">
        <v>938</v>
      </c>
      <c r="HW15" t="s">
        <v>736</v>
      </c>
      <c r="HX15" t="s">
        <v>1189</v>
      </c>
      <c r="HY15" t="s">
        <v>736</v>
      </c>
      <c r="HZ15" t="s">
        <v>1189</v>
      </c>
      <c r="IA15" t="s">
        <v>736</v>
      </c>
      <c r="IB15" t="s">
        <v>1189</v>
      </c>
      <c r="IC15" t="s">
        <v>736</v>
      </c>
      <c r="ID15" t="s">
        <v>1189</v>
      </c>
      <c r="IE15" t="s">
        <v>736</v>
      </c>
      <c r="IF15" t="s">
        <v>1189</v>
      </c>
      <c r="IG15" t="s">
        <v>736</v>
      </c>
      <c r="IH15" t="s">
        <v>1189</v>
      </c>
      <c r="IJ15" t="s">
        <v>938</v>
      </c>
      <c r="IL15" t="s">
        <v>938</v>
      </c>
      <c r="IM15" t="s">
        <v>736</v>
      </c>
      <c r="IN15" t="s">
        <v>1189</v>
      </c>
      <c r="IO15" t="s">
        <v>736</v>
      </c>
      <c r="IP15" t="s">
        <v>1189</v>
      </c>
      <c r="IQ15" t="s">
        <v>736</v>
      </c>
      <c r="IR15" t="s">
        <v>1189</v>
      </c>
      <c r="IS15" t="s">
        <v>736</v>
      </c>
      <c r="IT15" t="s">
        <v>1189</v>
      </c>
      <c r="IU15" t="s">
        <v>736</v>
      </c>
      <c r="IV15" t="s">
        <v>1189</v>
      </c>
      <c r="IW15" t="s">
        <v>736</v>
      </c>
      <c r="IX15" t="s">
        <v>1189</v>
      </c>
      <c r="IY15" t="s">
        <v>736</v>
      </c>
      <c r="IZ15" t="s">
        <v>1189</v>
      </c>
      <c r="JA15" t="s">
        <v>736</v>
      </c>
      <c r="JB15" t="s">
        <v>1189</v>
      </c>
      <c r="JC15" t="s">
        <v>736</v>
      </c>
      <c r="JD15" t="s">
        <v>1189</v>
      </c>
      <c r="JE15" t="s">
        <v>736</v>
      </c>
      <c r="JF15" t="s">
        <v>1189</v>
      </c>
      <c r="JG15" t="s">
        <v>736</v>
      </c>
      <c r="JH15" t="s">
        <v>1189</v>
      </c>
      <c r="JI15" t="s">
        <v>736</v>
      </c>
      <c r="JJ15" t="s">
        <v>1189</v>
      </c>
      <c r="JL15" t="s">
        <v>1104</v>
      </c>
      <c r="JN15" t="s">
        <v>1104</v>
      </c>
      <c r="JP15" t="s">
        <v>1104</v>
      </c>
      <c r="JR15" t="s">
        <v>1104</v>
      </c>
      <c r="JS15" t="s">
        <v>736</v>
      </c>
      <c r="JT15" t="s">
        <v>1189</v>
      </c>
      <c r="JU15" t="s">
        <v>736</v>
      </c>
      <c r="JV15" t="s">
        <v>1189</v>
      </c>
      <c r="JW15" t="s">
        <v>736</v>
      </c>
      <c r="JX15" t="s">
        <v>1189</v>
      </c>
      <c r="JY15" t="s">
        <v>736</v>
      </c>
      <c r="JZ15" t="s">
        <v>1189</v>
      </c>
      <c r="KA15" t="s">
        <v>736</v>
      </c>
      <c r="KB15" t="s">
        <v>1189</v>
      </c>
      <c r="KC15" t="s">
        <v>736</v>
      </c>
      <c r="KD15" t="s">
        <v>1189</v>
      </c>
      <c r="KE15" t="s">
        <v>736</v>
      </c>
      <c r="KF15" t="s">
        <v>1189</v>
      </c>
      <c r="KG15" t="s">
        <v>736</v>
      </c>
      <c r="KH15" t="s">
        <v>1189</v>
      </c>
      <c r="KI15" t="s">
        <v>736</v>
      </c>
      <c r="KJ15" t="s">
        <v>1189</v>
      </c>
      <c r="KK15" t="s">
        <v>736</v>
      </c>
      <c r="KL15" t="s">
        <v>1189</v>
      </c>
      <c r="KM15" t="s">
        <v>736</v>
      </c>
      <c r="KN15" t="s">
        <v>1189</v>
      </c>
      <c r="KO15" t="s">
        <v>736</v>
      </c>
      <c r="KP15" t="s">
        <v>1189</v>
      </c>
      <c r="KQ15" t="s">
        <v>736</v>
      </c>
      <c r="KR15" t="s">
        <v>1189</v>
      </c>
      <c r="KS15" t="s">
        <v>736</v>
      </c>
      <c r="KT15" t="s">
        <v>1189</v>
      </c>
      <c r="KU15" t="s">
        <v>736</v>
      </c>
      <c r="KV15" t="s">
        <v>1189</v>
      </c>
      <c r="KW15" t="s">
        <v>736</v>
      </c>
      <c r="KX15" t="s">
        <v>1189</v>
      </c>
      <c r="KY15" t="s">
        <v>736</v>
      </c>
      <c r="KZ15" t="s">
        <v>1189</v>
      </c>
      <c r="LA15" t="s">
        <v>736</v>
      </c>
      <c r="LB15" t="s">
        <v>1189</v>
      </c>
      <c r="LC15" t="s">
        <v>736</v>
      </c>
      <c r="LD15" t="s">
        <v>1189</v>
      </c>
      <c r="LE15" t="s">
        <v>736</v>
      </c>
      <c r="LF15" t="s">
        <v>1189</v>
      </c>
      <c r="LG15" t="s">
        <v>736</v>
      </c>
      <c r="LH15" t="s">
        <v>1189</v>
      </c>
      <c r="LI15" t="s">
        <v>736</v>
      </c>
      <c r="LJ15" t="s">
        <v>1189</v>
      </c>
      <c r="LL15" t="s">
        <v>938</v>
      </c>
      <c r="LN15" t="s">
        <v>938</v>
      </c>
      <c r="LO15" t="s">
        <v>736</v>
      </c>
      <c r="LP15" t="s">
        <v>1189</v>
      </c>
      <c r="LQ15" t="s">
        <v>736</v>
      </c>
      <c r="LR15" t="s">
        <v>1189</v>
      </c>
      <c r="LS15" t="s">
        <v>736</v>
      </c>
      <c r="LT15" t="s">
        <v>1189</v>
      </c>
      <c r="LU15" t="s">
        <v>736</v>
      </c>
      <c r="LV15" t="s">
        <v>1189</v>
      </c>
      <c r="LW15" t="s">
        <v>736</v>
      </c>
      <c r="LX15" t="s">
        <v>1189</v>
      </c>
      <c r="LY15" t="s">
        <v>736</v>
      </c>
      <c r="LZ15" t="s">
        <v>1189</v>
      </c>
      <c r="MA15" t="s">
        <v>736</v>
      </c>
      <c r="MB15" t="s">
        <v>1189</v>
      </c>
      <c r="MC15" t="s">
        <v>736</v>
      </c>
      <c r="MD15" t="s">
        <v>1189</v>
      </c>
      <c r="ME15" t="s">
        <v>736</v>
      </c>
      <c r="MF15" t="s">
        <v>1189</v>
      </c>
      <c r="MG15" t="s">
        <v>736</v>
      </c>
      <c r="MH15" t="s">
        <v>1189</v>
      </c>
      <c r="MI15" t="s">
        <v>736</v>
      </c>
      <c r="MJ15" t="s">
        <v>1189</v>
      </c>
      <c r="MK15" t="s">
        <v>736</v>
      </c>
      <c r="ML15" t="s">
        <v>1189</v>
      </c>
      <c r="MO15" t="s">
        <v>783</v>
      </c>
      <c r="MP15" t="s">
        <v>782</v>
      </c>
      <c r="MQ15" t="s">
        <v>783</v>
      </c>
      <c r="MR15" t="s">
        <v>783</v>
      </c>
      <c r="MS15" t="s">
        <v>781</v>
      </c>
      <c r="MT15" t="s">
        <v>783</v>
      </c>
      <c r="MU15" t="s">
        <v>783</v>
      </c>
      <c r="MV15" t="s">
        <v>781</v>
      </c>
      <c r="MW15" t="s">
        <v>783</v>
      </c>
      <c r="MX15" t="s">
        <v>783</v>
      </c>
      <c r="MZ15" t="s">
        <v>783</v>
      </c>
      <c r="NA15" t="s">
        <v>783</v>
      </c>
      <c r="NB15" t="s">
        <v>781</v>
      </c>
      <c r="NC15" t="s">
        <v>783</v>
      </c>
      <c r="ND15" t="s">
        <v>782</v>
      </c>
      <c r="NE15" t="s">
        <v>784</v>
      </c>
      <c r="NF15" t="s">
        <v>783</v>
      </c>
      <c r="NG15" t="s">
        <v>782</v>
      </c>
      <c r="NH15" t="s">
        <v>783</v>
      </c>
      <c r="NI15" t="s">
        <v>784</v>
      </c>
      <c r="NJ15" t="s">
        <v>783</v>
      </c>
      <c r="NK15" t="s">
        <v>783</v>
      </c>
      <c r="NL15" t="s">
        <v>784</v>
      </c>
      <c r="NM15" t="s">
        <v>783</v>
      </c>
      <c r="NN15" t="s">
        <v>784</v>
      </c>
      <c r="NO15" t="s">
        <v>784</v>
      </c>
      <c r="NP15" t="s">
        <v>783</v>
      </c>
      <c r="NQ15" t="s">
        <v>784</v>
      </c>
      <c r="NR15" t="s">
        <v>784</v>
      </c>
      <c r="NS15" t="s">
        <v>784</v>
      </c>
      <c r="NT15" t="s">
        <v>784</v>
      </c>
      <c r="NU15" t="s">
        <v>784</v>
      </c>
      <c r="NV15" t="s">
        <v>784</v>
      </c>
      <c r="NW15" t="s">
        <v>784</v>
      </c>
      <c r="NX15" t="s">
        <v>783</v>
      </c>
      <c r="NY15" t="s">
        <v>782</v>
      </c>
      <c r="NZ15" t="s">
        <v>783</v>
      </c>
      <c r="OA15" t="s">
        <v>783</v>
      </c>
      <c r="OB15" t="s">
        <v>784</v>
      </c>
      <c r="OC15" t="s">
        <v>784</v>
      </c>
      <c r="OD15" t="s">
        <v>783</v>
      </c>
      <c r="OE15" t="s">
        <v>781</v>
      </c>
      <c r="OF15" t="s">
        <v>783</v>
      </c>
      <c r="OG15" t="s">
        <v>783</v>
      </c>
      <c r="OH15" t="s">
        <v>781</v>
      </c>
      <c r="OI15" t="s">
        <v>781</v>
      </c>
      <c r="OJ15" t="s">
        <v>783</v>
      </c>
    </row>
    <row r="16" spans="1:400" x14ac:dyDescent="0.25">
      <c r="A16">
        <v>12</v>
      </c>
      <c r="B16" t="s">
        <v>138</v>
      </c>
      <c r="C16" t="s">
        <v>70</v>
      </c>
      <c r="D16" t="s">
        <v>57</v>
      </c>
      <c r="E16">
        <v>38</v>
      </c>
      <c r="F16" t="s">
        <v>58</v>
      </c>
      <c r="G16" t="s">
        <v>76</v>
      </c>
      <c r="H16" t="s">
        <v>60</v>
      </c>
      <c r="I16" t="s">
        <v>139</v>
      </c>
      <c r="J16" t="s">
        <v>62</v>
      </c>
      <c r="K16" t="s">
        <v>63</v>
      </c>
      <c r="M16" t="s">
        <v>64</v>
      </c>
      <c r="N16" t="s">
        <v>70</v>
      </c>
      <c r="O16">
        <v>3</v>
      </c>
      <c r="P16" s="1">
        <v>80000</v>
      </c>
      <c r="Q16" s="1">
        <v>0</v>
      </c>
      <c r="R16" t="s">
        <v>140</v>
      </c>
      <c r="S16" s="7">
        <v>50000</v>
      </c>
      <c r="T16" t="s">
        <v>70</v>
      </c>
      <c r="U16" s="5">
        <v>0</v>
      </c>
      <c r="V16" s="3" t="s">
        <v>70</v>
      </c>
      <c r="W16" s="5">
        <v>0</v>
      </c>
      <c r="X16" t="s">
        <v>83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 t="s">
        <v>63</v>
      </c>
      <c r="AR16">
        <v>1</v>
      </c>
      <c r="AS16" s="2">
        <v>0.25</v>
      </c>
      <c r="AT16" t="s">
        <v>503</v>
      </c>
      <c r="AU16">
        <v>0</v>
      </c>
      <c r="AV16">
        <v>0</v>
      </c>
      <c r="AW16">
        <v>0</v>
      </c>
      <c r="AX16">
        <v>1</v>
      </c>
      <c r="AY16">
        <v>0</v>
      </c>
      <c r="AZ16" t="s">
        <v>529</v>
      </c>
      <c r="BA16" t="s">
        <v>530</v>
      </c>
      <c r="BC16" t="s">
        <v>515</v>
      </c>
      <c r="BD16" t="s">
        <v>513</v>
      </c>
      <c r="BE16">
        <v>2004</v>
      </c>
      <c r="BF16">
        <v>19</v>
      </c>
      <c r="BG16" t="s">
        <v>508</v>
      </c>
      <c r="BH16">
        <v>1</v>
      </c>
      <c r="BI16">
        <v>0</v>
      </c>
      <c r="BJ16">
        <v>0</v>
      </c>
      <c r="BK16">
        <v>0</v>
      </c>
      <c r="BL16">
        <v>0</v>
      </c>
      <c r="BM16" t="s">
        <v>63</v>
      </c>
      <c r="BN16" t="s">
        <v>63</v>
      </c>
      <c r="BO16" t="s">
        <v>3856</v>
      </c>
      <c r="BP16" t="s">
        <v>3845</v>
      </c>
      <c r="BR16" t="s">
        <v>3860</v>
      </c>
      <c r="BS16" t="s">
        <v>3838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CA16" t="s">
        <v>3839</v>
      </c>
      <c r="CC16" t="s">
        <v>3920</v>
      </c>
      <c r="CD16" t="s">
        <v>3869</v>
      </c>
      <c r="CE16" t="s">
        <v>71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 t="s">
        <v>3874</v>
      </c>
      <c r="CN16" t="s">
        <v>63</v>
      </c>
      <c r="CO16" t="s">
        <v>732</v>
      </c>
      <c r="CP16" t="s">
        <v>3962</v>
      </c>
      <c r="CQ16" t="s">
        <v>3963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1</v>
      </c>
      <c r="CX16" t="s">
        <v>3964</v>
      </c>
      <c r="CY16" t="s">
        <v>3965</v>
      </c>
      <c r="CZ16" s="26" t="s">
        <v>3966</v>
      </c>
      <c r="DA16" s="27" t="s">
        <v>4214</v>
      </c>
      <c r="DJ16" t="s">
        <v>84</v>
      </c>
      <c r="DK16" s="35"/>
      <c r="DL16" s="37"/>
      <c r="FI16" t="s">
        <v>733</v>
      </c>
      <c r="FJ16" t="s">
        <v>1190</v>
      </c>
      <c r="FK16" t="s">
        <v>736</v>
      </c>
      <c r="FL16" t="s">
        <v>1191</v>
      </c>
      <c r="FM16" t="s">
        <v>733</v>
      </c>
      <c r="FN16" t="s">
        <v>868</v>
      </c>
      <c r="FO16" t="s">
        <v>736</v>
      </c>
      <c r="FP16" t="s">
        <v>1081</v>
      </c>
      <c r="FQ16" t="s">
        <v>733</v>
      </c>
      <c r="FS16" t="s">
        <v>736</v>
      </c>
      <c r="FT16" t="s">
        <v>1192</v>
      </c>
      <c r="FU16" t="s">
        <v>733</v>
      </c>
      <c r="FV16" t="s">
        <v>1193</v>
      </c>
      <c r="FW16" t="s">
        <v>733</v>
      </c>
      <c r="FX16" t="s">
        <v>1194</v>
      </c>
      <c r="FY16" t="s">
        <v>733</v>
      </c>
      <c r="FZ16" t="s">
        <v>1195</v>
      </c>
      <c r="GA16" t="s">
        <v>733</v>
      </c>
      <c r="GB16" t="s">
        <v>1196</v>
      </c>
      <c r="GC16" t="s">
        <v>733</v>
      </c>
      <c r="GD16" t="s">
        <v>734</v>
      </c>
      <c r="GE16" t="s">
        <v>733</v>
      </c>
      <c r="GG16" t="s">
        <v>746</v>
      </c>
      <c r="GH16" t="s">
        <v>1006</v>
      </c>
      <c r="GI16" t="s">
        <v>746</v>
      </c>
      <c r="GJ16" t="s">
        <v>1197</v>
      </c>
      <c r="GK16" t="s">
        <v>733</v>
      </c>
      <c r="GL16" t="s">
        <v>961</v>
      </c>
      <c r="GM16" t="s">
        <v>736</v>
      </c>
      <c r="GN16" t="s">
        <v>1198</v>
      </c>
      <c r="GO16" t="s">
        <v>733</v>
      </c>
      <c r="GP16" t="s">
        <v>1199</v>
      </c>
      <c r="GQ16" t="s">
        <v>736</v>
      </c>
      <c r="GR16" t="s">
        <v>1116</v>
      </c>
      <c r="GS16" t="s">
        <v>733</v>
      </c>
      <c r="GT16" t="s">
        <v>868</v>
      </c>
      <c r="GU16" t="s">
        <v>733</v>
      </c>
      <c r="GV16" t="s">
        <v>912</v>
      </c>
      <c r="GW16" t="s">
        <v>736</v>
      </c>
      <c r="GX16" t="s">
        <v>1079</v>
      </c>
      <c r="GY16" t="s">
        <v>736</v>
      </c>
      <c r="GZ16" t="s">
        <v>1200</v>
      </c>
      <c r="HA16" t="s">
        <v>733</v>
      </c>
      <c r="HB16" t="s">
        <v>924</v>
      </c>
      <c r="HC16" t="s">
        <v>733</v>
      </c>
      <c r="HD16" t="s">
        <v>1201</v>
      </c>
      <c r="HE16" t="s">
        <v>798</v>
      </c>
      <c r="HF16" t="s">
        <v>1200</v>
      </c>
      <c r="HG16" t="s">
        <v>736</v>
      </c>
      <c r="HH16" t="s">
        <v>1200</v>
      </c>
      <c r="HI16" t="s">
        <v>736</v>
      </c>
      <c r="HJ16" t="s">
        <v>1200</v>
      </c>
      <c r="HL16" t="s">
        <v>1104</v>
      </c>
      <c r="HN16" t="s">
        <v>1104</v>
      </c>
      <c r="HO16" t="s">
        <v>733</v>
      </c>
      <c r="HP16" t="s">
        <v>1202</v>
      </c>
      <c r="HQ16" t="s">
        <v>743</v>
      </c>
      <c r="HR16" t="s">
        <v>1203</v>
      </c>
      <c r="HS16" t="s">
        <v>733</v>
      </c>
      <c r="HT16" t="s">
        <v>1204</v>
      </c>
      <c r="HU16" t="s">
        <v>733</v>
      </c>
      <c r="HV16" t="s">
        <v>1205</v>
      </c>
      <c r="HW16" t="s">
        <v>736</v>
      </c>
      <c r="HX16" t="s">
        <v>1206</v>
      </c>
      <c r="HY16" t="s">
        <v>736</v>
      </c>
      <c r="HZ16" t="s">
        <v>1207</v>
      </c>
      <c r="IA16" t="s">
        <v>733</v>
      </c>
      <c r="IB16" t="s">
        <v>1208</v>
      </c>
      <c r="IC16" t="s">
        <v>733</v>
      </c>
      <c r="ID16" t="s">
        <v>1209</v>
      </c>
      <c r="IE16" t="s">
        <v>746</v>
      </c>
      <c r="IF16" t="s">
        <v>1210</v>
      </c>
      <c r="IG16" t="s">
        <v>746</v>
      </c>
      <c r="IH16" t="s">
        <v>1210</v>
      </c>
      <c r="II16" t="s">
        <v>733</v>
      </c>
      <c r="IJ16" t="s">
        <v>1211</v>
      </c>
      <c r="IK16" t="s">
        <v>733</v>
      </c>
      <c r="IL16" t="s">
        <v>1211</v>
      </c>
      <c r="IM16" t="s">
        <v>733</v>
      </c>
      <c r="IN16" t="s">
        <v>1212</v>
      </c>
      <c r="IO16" t="s">
        <v>733</v>
      </c>
      <c r="IP16" t="s">
        <v>1212</v>
      </c>
      <c r="IQ16" t="s">
        <v>733</v>
      </c>
      <c r="IR16" t="s">
        <v>1213</v>
      </c>
      <c r="IS16" t="s">
        <v>746</v>
      </c>
      <c r="IT16" t="s">
        <v>1214</v>
      </c>
      <c r="IU16" t="s">
        <v>746</v>
      </c>
      <c r="IV16" t="s">
        <v>956</v>
      </c>
      <c r="IW16" t="s">
        <v>746</v>
      </c>
      <c r="IX16" t="s">
        <v>1140</v>
      </c>
      <c r="IY16" t="s">
        <v>746</v>
      </c>
      <c r="IZ16" t="s">
        <v>945</v>
      </c>
      <c r="JA16" t="s">
        <v>746</v>
      </c>
      <c r="JB16" t="s">
        <v>956</v>
      </c>
      <c r="JC16" t="s">
        <v>733</v>
      </c>
      <c r="JD16" t="s">
        <v>1215</v>
      </c>
      <c r="JE16" t="s">
        <v>746</v>
      </c>
      <c r="JF16" t="s">
        <v>1100</v>
      </c>
      <c r="JH16" t="s">
        <v>1104</v>
      </c>
      <c r="JJ16" t="s">
        <v>1104</v>
      </c>
      <c r="JL16" t="s">
        <v>1104</v>
      </c>
      <c r="JN16" t="s">
        <v>1104</v>
      </c>
      <c r="JP16" t="s">
        <v>1104</v>
      </c>
      <c r="JR16" t="s">
        <v>1104</v>
      </c>
      <c r="JS16" t="s">
        <v>746</v>
      </c>
      <c r="JT16" t="s">
        <v>1216</v>
      </c>
      <c r="JU16" t="s">
        <v>746</v>
      </c>
      <c r="JV16" t="s">
        <v>1216</v>
      </c>
      <c r="JW16" t="s">
        <v>746</v>
      </c>
      <c r="JX16" t="s">
        <v>1217</v>
      </c>
      <c r="JY16" t="s">
        <v>746</v>
      </c>
      <c r="JZ16" t="s">
        <v>951</v>
      </c>
      <c r="KB16" t="s">
        <v>1104</v>
      </c>
      <c r="KD16" t="s">
        <v>1104</v>
      </c>
      <c r="KE16" t="s">
        <v>746</v>
      </c>
      <c r="KF16" t="s">
        <v>956</v>
      </c>
      <c r="KG16" t="s">
        <v>746</v>
      </c>
      <c r="KH16" t="s">
        <v>1218</v>
      </c>
      <c r="KI16" t="s">
        <v>746</v>
      </c>
      <c r="KJ16" t="s">
        <v>1219</v>
      </c>
      <c r="KK16" t="s">
        <v>746</v>
      </c>
      <c r="KL16" t="s">
        <v>1220</v>
      </c>
      <c r="KM16" t="s">
        <v>733</v>
      </c>
      <c r="KN16" t="s">
        <v>1188</v>
      </c>
      <c r="KO16" t="s">
        <v>733</v>
      </c>
      <c r="KP16" t="s">
        <v>1188</v>
      </c>
      <c r="KQ16" t="s">
        <v>733</v>
      </c>
      <c r="KR16" t="s">
        <v>928</v>
      </c>
      <c r="KS16" t="s">
        <v>746</v>
      </c>
      <c r="KT16" t="s">
        <v>1221</v>
      </c>
      <c r="KU16" t="s">
        <v>733</v>
      </c>
      <c r="KV16" t="s">
        <v>961</v>
      </c>
      <c r="KW16" t="s">
        <v>733</v>
      </c>
      <c r="KX16" t="s">
        <v>1222</v>
      </c>
      <c r="KY16" t="s">
        <v>736</v>
      </c>
      <c r="KZ16" t="s">
        <v>1223</v>
      </c>
      <c r="LA16" t="s">
        <v>736</v>
      </c>
      <c r="LB16" t="s">
        <v>1224</v>
      </c>
      <c r="LC16" t="s">
        <v>746</v>
      </c>
      <c r="LD16" t="s">
        <v>1225</v>
      </c>
      <c r="LE16" t="s">
        <v>736</v>
      </c>
      <c r="LF16" t="s">
        <v>1226</v>
      </c>
      <c r="LG16" t="s">
        <v>733</v>
      </c>
      <c r="LH16" t="s">
        <v>1227</v>
      </c>
      <c r="LI16" t="s">
        <v>736</v>
      </c>
      <c r="LJ16" t="s">
        <v>1226</v>
      </c>
      <c r="LL16" t="s">
        <v>1228</v>
      </c>
      <c r="LM16" t="s">
        <v>746</v>
      </c>
      <c r="LN16" t="s">
        <v>1229</v>
      </c>
      <c r="LO16" t="s">
        <v>733</v>
      </c>
      <c r="LP16" t="s">
        <v>912</v>
      </c>
      <c r="LQ16" t="s">
        <v>733</v>
      </c>
      <c r="LR16" t="s">
        <v>912</v>
      </c>
      <c r="LS16" t="s">
        <v>746</v>
      </c>
      <c r="LT16" t="s">
        <v>974</v>
      </c>
      <c r="LU16" t="s">
        <v>746</v>
      </c>
      <c r="LV16" t="s">
        <v>1230</v>
      </c>
      <c r="LW16" t="s">
        <v>733</v>
      </c>
      <c r="LX16" t="s">
        <v>912</v>
      </c>
      <c r="LY16" t="s">
        <v>733</v>
      </c>
      <c r="LZ16" t="s">
        <v>1231</v>
      </c>
      <c r="MA16" t="s">
        <v>746</v>
      </c>
      <c r="MB16" t="s">
        <v>1232</v>
      </c>
      <c r="MC16" t="s">
        <v>746</v>
      </c>
      <c r="MD16" t="s">
        <v>1232</v>
      </c>
      <c r="ME16" t="s">
        <v>733</v>
      </c>
      <c r="MF16" t="s">
        <v>924</v>
      </c>
      <c r="MG16" t="s">
        <v>733</v>
      </c>
      <c r="MH16" t="s">
        <v>924</v>
      </c>
      <c r="MI16" t="s">
        <v>733</v>
      </c>
      <c r="MJ16" t="s">
        <v>1233</v>
      </c>
      <c r="MK16" t="s">
        <v>733</v>
      </c>
      <c r="ML16" t="s">
        <v>1234</v>
      </c>
      <c r="MO16" t="s">
        <v>783</v>
      </c>
      <c r="MP16" t="s">
        <v>783</v>
      </c>
      <c r="MQ16" t="s">
        <v>781</v>
      </c>
      <c r="MR16" t="s">
        <v>783</v>
      </c>
      <c r="MS16" t="s">
        <v>783</v>
      </c>
      <c r="MT16" t="s">
        <v>783</v>
      </c>
      <c r="MU16" t="s">
        <v>781</v>
      </c>
      <c r="MV16" t="s">
        <v>783</v>
      </c>
      <c r="MW16" t="s">
        <v>783</v>
      </c>
      <c r="MX16" t="s">
        <v>781</v>
      </c>
      <c r="MZ16" t="s">
        <v>783</v>
      </c>
      <c r="NA16" t="s">
        <v>783</v>
      </c>
      <c r="NB16" t="s">
        <v>783</v>
      </c>
      <c r="NC16" t="s">
        <v>781</v>
      </c>
      <c r="ND16" t="s">
        <v>784</v>
      </c>
      <c r="NE16" t="s">
        <v>784</v>
      </c>
      <c r="NF16" t="s">
        <v>784</v>
      </c>
      <c r="NG16" t="s">
        <v>783</v>
      </c>
      <c r="NH16" t="s">
        <v>783</v>
      </c>
      <c r="NI16" t="s">
        <v>907</v>
      </c>
      <c r="NJ16" t="s">
        <v>907</v>
      </c>
      <c r="NK16" t="s">
        <v>783</v>
      </c>
      <c r="NL16" t="s">
        <v>783</v>
      </c>
      <c r="NM16" t="s">
        <v>783</v>
      </c>
      <c r="NN16" t="s">
        <v>784</v>
      </c>
      <c r="NO16" t="s">
        <v>784</v>
      </c>
      <c r="NP16" t="s">
        <v>783</v>
      </c>
      <c r="NQ16" t="s">
        <v>783</v>
      </c>
      <c r="NR16" t="s">
        <v>783</v>
      </c>
      <c r="NS16" t="s">
        <v>783</v>
      </c>
      <c r="NT16" t="s">
        <v>907</v>
      </c>
      <c r="NU16" t="s">
        <v>783</v>
      </c>
      <c r="NV16" t="s">
        <v>784</v>
      </c>
      <c r="NW16" t="s">
        <v>907</v>
      </c>
      <c r="NX16" t="s">
        <v>783</v>
      </c>
      <c r="NY16" t="s">
        <v>784</v>
      </c>
      <c r="NZ16" t="s">
        <v>783</v>
      </c>
      <c r="OA16" t="s">
        <v>783</v>
      </c>
      <c r="OB16" t="s">
        <v>784</v>
      </c>
      <c r="OC16" t="s">
        <v>782</v>
      </c>
      <c r="OD16" t="s">
        <v>783</v>
      </c>
      <c r="OE16" t="s">
        <v>783</v>
      </c>
      <c r="OF16" t="s">
        <v>783</v>
      </c>
      <c r="OG16" t="s">
        <v>783</v>
      </c>
      <c r="OH16" t="s">
        <v>783</v>
      </c>
      <c r="OI16" t="s">
        <v>783</v>
      </c>
      <c r="OJ16" t="s">
        <v>783</v>
      </c>
    </row>
    <row r="17" spans="1:400" x14ac:dyDescent="0.25">
      <c r="A17">
        <v>13</v>
      </c>
      <c r="B17" t="s">
        <v>141</v>
      </c>
      <c r="C17" t="s">
        <v>142</v>
      </c>
      <c r="D17" t="s">
        <v>57</v>
      </c>
      <c r="E17">
        <v>54</v>
      </c>
      <c r="F17" t="s">
        <v>58</v>
      </c>
      <c r="G17" t="s">
        <v>105</v>
      </c>
      <c r="H17" t="s">
        <v>60</v>
      </c>
      <c r="I17" t="s">
        <v>61</v>
      </c>
      <c r="J17" t="s">
        <v>62</v>
      </c>
      <c r="K17" t="s">
        <v>63</v>
      </c>
      <c r="M17" t="s">
        <v>64</v>
      </c>
      <c r="N17" t="s">
        <v>70</v>
      </c>
      <c r="O17">
        <v>6</v>
      </c>
      <c r="P17" s="1">
        <v>250000</v>
      </c>
      <c r="Q17" s="1">
        <v>0</v>
      </c>
      <c r="R17" t="s">
        <v>115</v>
      </c>
      <c r="S17" s="7">
        <v>130000</v>
      </c>
      <c r="T17" t="s">
        <v>70</v>
      </c>
      <c r="U17" s="5">
        <v>0</v>
      </c>
      <c r="V17" s="3" t="s">
        <v>70</v>
      </c>
      <c r="W17" s="5">
        <v>0</v>
      </c>
      <c r="X17" t="s">
        <v>83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 t="s">
        <v>63</v>
      </c>
      <c r="AR17">
        <v>1</v>
      </c>
      <c r="AS17" s="2">
        <v>1.25</v>
      </c>
      <c r="AT17" t="s">
        <v>503</v>
      </c>
      <c r="AU17">
        <v>0</v>
      </c>
      <c r="AV17">
        <v>0</v>
      </c>
      <c r="AW17">
        <v>0</v>
      </c>
      <c r="AX17">
        <v>1</v>
      </c>
      <c r="AY17">
        <v>0</v>
      </c>
      <c r="AZ17" t="s">
        <v>527</v>
      </c>
      <c r="BA17" t="s">
        <v>511</v>
      </c>
      <c r="BC17" t="s">
        <v>515</v>
      </c>
      <c r="BD17" t="s">
        <v>507</v>
      </c>
      <c r="BE17">
        <v>1992</v>
      </c>
      <c r="BF17">
        <v>31</v>
      </c>
      <c r="BG17" t="s">
        <v>508</v>
      </c>
      <c r="BH17">
        <v>1</v>
      </c>
      <c r="BI17">
        <v>0</v>
      </c>
      <c r="BJ17">
        <v>0</v>
      </c>
      <c r="BK17">
        <v>0</v>
      </c>
      <c r="BL17">
        <v>0</v>
      </c>
      <c r="BM17" t="s">
        <v>63</v>
      </c>
      <c r="BN17" t="s">
        <v>63</v>
      </c>
      <c r="BO17" t="s">
        <v>3856</v>
      </c>
      <c r="BP17" t="s">
        <v>3845</v>
      </c>
      <c r="BR17" t="s">
        <v>3860</v>
      </c>
      <c r="BS17" t="s">
        <v>3870</v>
      </c>
      <c r="BT17">
        <v>0</v>
      </c>
      <c r="BU17">
        <v>0</v>
      </c>
      <c r="BV17">
        <v>1</v>
      </c>
      <c r="BW17">
        <v>1</v>
      </c>
      <c r="BX17">
        <v>0</v>
      </c>
      <c r="BY17">
        <v>0</v>
      </c>
      <c r="CA17" t="s">
        <v>3847</v>
      </c>
      <c r="CB17" t="s">
        <v>3871</v>
      </c>
      <c r="CC17" t="s">
        <v>3840</v>
      </c>
      <c r="CD17" t="s">
        <v>3841</v>
      </c>
      <c r="CE17" t="s">
        <v>3872</v>
      </c>
      <c r="CF17">
        <v>0</v>
      </c>
      <c r="CG17">
        <v>1</v>
      </c>
      <c r="CH17">
        <v>1</v>
      </c>
      <c r="CI17">
        <v>0</v>
      </c>
      <c r="CJ17">
        <v>0</v>
      </c>
      <c r="CK17">
        <v>0</v>
      </c>
      <c r="CL17" t="s">
        <v>3874</v>
      </c>
      <c r="CN17" t="s">
        <v>63</v>
      </c>
      <c r="CO17" t="s">
        <v>732</v>
      </c>
      <c r="CP17" t="s">
        <v>3967</v>
      </c>
      <c r="CQ17" t="s">
        <v>3945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Z17" s="26" t="s">
        <v>3968</v>
      </c>
      <c r="DA17" s="27" t="s">
        <v>4215</v>
      </c>
      <c r="DJ17" t="s">
        <v>63</v>
      </c>
      <c r="DK17" s="35" t="s">
        <v>3962</v>
      </c>
      <c r="DL17" s="37" t="s">
        <v>4256</v>
      </c>
      <c r="DM17" t="s">
        <v>4118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O17" t="s">
        <v>4111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 t="s">
        <v>4105</v>
      </c>
      <c r="EZ17">
        <v>0</v>
      </c>
      <c r="FA17">
        <v>0</v>
      </c>
      <c r="FB17">
        <v>1</v>
      </c>
      <c r="FC17">
        <v>0</v>
      </c>
      <c r="FF17" t="s">
        <v>4127</v>
      </c>
      <c r="FI17" t="s">
        <v>733</v>
      </c>
      <c r="FJ17" t="s">
        <v>1235</v>
      </c>
      <c r="FK17" t="s">
        <v>746</v>
      </c>
      <c r="FL17" t="s">
        <v>1236</v>
      </c>
      <c r="FM17" t="s">
        <v>736</v>
      </c>
      <c r="FN17" t="s">
        <v>1237</v>
      </c>
      <c r="FO17" t="s">
        <v>733</v>
      </c>
      <c r="FP17" t="s">
        <v>1238</v>
      </c>
      <c r="FQ17" t="s">
        <v>746</v>
      </c>
      <c r="FR17" t="s">
        <v>1239</v>
      </c>
      <c r="FS17" t="s">
        <v>746</v>
      </c>
      <c r="FT17" t="s">
        <v>1240</v>
      </c>
      <c r="FU17" t="s">
        <v>733</v>
      </c>
      <c r="FV17" t="s">
        <v>734</v>
      </c>
      <c r="FW17" t="s">
        <v>733</v>
      </c>
      <c r="FX17" t="s">
        <v>868</v>
      </c>
      <c r="FY17" t="s">
        <v>733</v>
      </c>
      <c r="FZ17" t="s">
        <v>868</v>
      </c>
      <c r="GA17" t="s">
        <v>733</v>
      </c>
      <c r="GB17" t="s">
        <v>1241</v>
      </c>
      <c r="GC17" t="s">
        <v>733</v>
      </c>
      <c r="GD17" t="s">
        <v>883</v>
      </c>
      <c r="GE17" t="s">
        <v>736</v>
      </c>
      <c r="GF17" t="s">
        <v>1242</v>
      </c>
      <c r="GG17" t="s">
        <v>746</v>
      </c>
      <c r="GH17" t="s">
        <v>1243</v>
      </c>
      <c r="GI17" t="s">
        <v>746</v>
      </c>
      <c r="GJ17" t="s">
        <v>1244</v>
      </c>
      <c r="GK17" t="s">
        <v>733</v>
      </c>
      <c r="GL17" t="s">
        <v>912</v>
      </c>
      <c r="GM17" t="s">
        <v>733</v>
      </c>
      <c r="GN17" t="s">
        <v>1245</v>
      </c>
      <c r="GO17" t="s">
        <v>733</v>
      </c>
      <c r="GP17" t="s">
        <v>912</v>
      </c>
      <c r="GQ17" t="s">
        <v>733</v>
      </c>
      <c r="GR17" t="s">
        <v>912</v>
      </c>
      <c r="GS17" t="s">
        <v>733</v>
      </c>
      <c r="GT17" t="s">
        <v>883</v>
      </c>
      <c r="GU17" t="s">
        <v>736</v>
      </c>
      <c r="GV17" t="s">
        <v>1246</v>
      </c>
      <c r="GW17" t="s">
        <v>736</v>
      </c>
      <c r="GX17" t="s">
        <v>1247</v>
      </c>
      <c r="GY17" t="s">
        <v>736</v>
      </c>
      <c r="GZ17" t="s">
        <v>1248</v>
      </c>
      <c r="HA17" t="s">
        <v>733</v>
      </c>
      <c r="HB17" t="s">
        <v>924</v>
      </c>
      <c r="HC17" t="s">
        <v>733</v>
      </c>
      <c r="HD17" t="s">
        <v>1188</v>
      </c>
      <c r="HE17" t="s">
        <v>733</v>
      </c>
      <c r="HF17" t="s">
        <v>1120</v>
      </c>
      <c r="HG17" t="s">
        <v>736</v>
      </c>
      <c r="HH17" t="s">
        <v>1249</v>
      </c>
      <c r="HI17" t="s">
        <v>736</v>
      </c>
      <c r="HJ17" t="s">
        <v>1200</v>
      </c>
      <c r="HL17" t="s">
        <v>1104</v>
      </c>
      <c r="HN17" t="s">
        <v>1104</v>
      </c>
      <c r="HP17" t="s">
        <v>1104</v>
      </c>
      <c r="HR17" t="s">
        <v>1104</v>
      </c>
      <c r="HS17" t="s">
        <v>736</v>
      </c>
      <c r="HT17" t="s">
        <v>1250</v>
      </c>
      <c r="HU17" t="s">
        <v>733</v>
      </c>
      <c r="HV17" t="s">
        <v>1115</v>
      </c>
      <c r="HW17" t="s">
        <v>733</v>
      </c>
      <c r="HX17" t="s">
        <v>912</v>
      </c>
      <c r="HY17" t="s">
        <v>733</v>
      </c>
      <c r="HZ17" t="s">
        <v>912</v>
      </c>
      <c r="IA17" t="s">
        <v>746</v>
      </c>
      <c r="IB17" t="s">
        <v>1140</v>
      </c>
      <c r="IC17" t="s">
        <v>733</v>
      </c>
      <c r="ID17" t="s">
        <v>1251</v>
      </c>
      <c r="IF17" t="s">
        <v>938</v>
      </c>
      <c r="IH17" t="s">
        <v>938</v>
      </c>
      <c r="II17" t="s">
        <v>733</v>
      </c>
      <c r="IJ17" t="s">
        <v>1252</v>
      </c>
      <c r="IK17" t="s">
        <v>733</v>
      </c>
      <c r="IL17" t="s">
        <v>924</v>
      </c>
      <c r="IM17" t="s">
        <v>733</v>
      </c>
      <c r="IN17" t="s">
        <v>1253</v>
      </c>
      <c r="IO17" t="s">
        <v>733</v>
      </c>
      <c r="IP17" t="s">
        <v>912</v>
      </c>
      <c r="IQ17" t="s">
        <v>733</v>
      </c>
      <c r="IR17" t="s">
        <v>1254</v>
      </c>
      <c r="IS17" t="s">
        <v>746</v>
      </c>
      <c r="IT17" t="s">
        <v>945</v>
      </c>
      <c r="IU17" t="s">
        <v>733</v>
      </c>
      <c r="IV17" t="s">
        <v>1255</v>
      </c>
      <c r="IW17" t="s">
        <v>743</v>
      </c>
      <c r="IX17" t="s">
        <v>1256</v>
      </c>
      <c r="IY17" t="s">
        <v>746</v>
      </c>
      <c r="IZ17" t="s">
        <v>1257</v>
      </c>
      <c r="JA17" t="s">
        <v>746</v>
      </c>
      <c r="JB17" t="s">
        <v>1257</v>
      </c>
      <c r="JC17" t="s">
        <v>746</v>
      </c>
      <c r="JD17" t="s">
        <v>1257</v>
      </c>
      <c r="JE17" t="s">
        <v>746</v>
      </c>
      <c r="JF17" t="s">
        <v>1257</v>
      </c>
      <c r="JG17" t="s">
        <v>746</v>
      </c>
      <c r="JH17" t="s">
        <v>1257</v>
      </c>
      <c r="JI17" t="s">
        <v>746</v>
      </c>
      <c r="JJ17" t="s">
        <v>1257</v>
      </c>
      <c r="JL17" t="s">
        <v>1104</v>
      </c>
      <c r="JN17" t="s">
        <v>1104</v>
      </c>
      <c r="JP17" t="s">
        <v>1104</v>
      </c>
      <c r="JR17" t="s">
        <v>1104</v>
      </c>
      <c r="JS17" t="s">
        <v>746</v>
      </c>
      <c r="JT17" t="s">
        <v>1257</v>
      </c>
      <c r="JU17" t="s">
        <v>746</v>
      </c>
      <c r="JV17" t="s">
        <v>1257</v>
      </c>
      <c r="JW17" t="s">
        <v>746</v>
      </c>
      <c r="JX17" t="s">
        <v>1257</v>
      </c>
      <c r="JY17" t="s">
        <v>746</v>
      </c>
      <c r="JZ17" t="s">
        <v>1257</v>
      </c>
      <c r="KA17" t="s">
        <v>746</v>
      </c>
      <c r="KB17" t="s">
        <v>1257</v>
      </c>
      <c r="KC17" t="s">
        <v>746</v>
      </c>
      <c r="KD17" t="s">
        <v>1257</v>
      </c>
      <c r="KE17" t="s">
        <v>746</v>
      </c>
      <c r="KF17" t="s">
        <v>1257</v>
      </c>
      <c r="KG17" t="s">
        <v>746</v>
      </c>
      <c r="KH17" t="s">
        <v>1257</v>
      </c>
      <c r="KI17" t="s">
        <v>746</v>
      </c>
      <c r="KJ17" t="s">
        <v>1257</v>
      </c>
      <c r="KK17" t="s">
        <v>746</v>
      </c>
      <c r="KL17" t="s">
        <v>1257</v>
      </c>
      <c r="KM17" t="s">
        <v>733</v>
      </c>
      <c r="KN17" t="s">
        <v>1258</v>
      </c>
      <c r="KO17" t="s">
        <v>733</v>
      </c>
      <c r="KP17" t="s">
        <v>1188</v>
      </c>
      <c r="KQ17" t="s">
        <v>746</v>
      </c>
      <c r="KR17" t="s">
        <v>945</v>
      </c>
      <c r="KS17" t="s">
        <v>746</v>
      </c>
      <c r="KT17" t="s">
        <v>1257</v>
      </c>
      <c r="KU17" t="s">
        <v>733</v>
      </c>
      <c r="KV17" t="s">
        <v>1259</v>
      </c>
      <c r="KW17" t="s">
        <v>736</v>
      </c>
      <c r="KX17" t="s">
        <v>1260</v>
      </c>
      <c r="KY17" t="s">
        <v>733</v>
      </c>
      <c r="KZ17" t="s">
        <v>1261</v>
      </c>
      <c r="LA17" t="s">
        <v>733</v>
      </c>
      <c r="LB17" t="s">
        <v>1261</v>
      </c>
      <c r="LC17" t="s">
        <v>733</v>
      </c>
      <c r="LD17" t="s">
        <v>1262</v>
      </c>
      <c r="LE17" t="s">
        <v>736</v>
      </c>
      <c r="LF17" t="s">
        <v>1263</v>
      </c>
      <c r="LG17" t="s">
        <v>733</v>
      </c>
      <c r="LH17" t="s">
        <v>1264</v>
      </c>
      <c r="LI17" t="s">
        <v>733</v>
      </c>
      <c r="LJ17" t="s">
        <v>1265</v>
      </c>
      <c r="LK17" t="s">
        <v>733</v>
      </c>
      <c r="LL17" t="s">
        <v>1266</v>
      </c>
      <c r="LM17" t="s">
        <v>746</v>
      </c>
      <c r="LN17" t="s">
        <v>1267</v>
      </c>
      <c r="LO17" t="s">
        <v>733</v>
      </c>
      <c r="LP17" t="s">
        <v>1268</v>
      </c>
      <c r="LQ17" t="s">
        <v>746</v>
      </c>
      <c r="LR17" t="s">
        <v>1269</v>
      </c>
      <c r="LS17" t="s">
        <v>746</v>
      </c>
      <c r="LT17" t="s">
        <v>974</v>
      </c>
      <c r="LU17" t="s">
        <v>746</v>
      </c>
      <c r="LV17" t="s">
        <v>974</v>
      </c>
      <c r="LW17" t="s">
        <v>746</v>
      </c>
      <c r="LX17" t="s">
        <v>1270</v>
      </c>
      <c r="LY17" t="s">
        <v>733</v>
      </c>
      <c r="LZ17" t="s">
        <v>1231</v>
      </c>
      <c r="MB17" t="s">
        <v>1271</v>
      </c>
      <c r="MD17" t="s">
        <v>1271</v>
      </c>
      <c r="ME17" t="s">
        <v>733</v>
      </c>
      <c r="MF17" t="s">
        <v>1120</v>
      </c>
      <c r="MG17" t="s">
        <v>733</v>
      </c>
      <c r="MH17" t="s">
        <v>1115</v>
      </c>
      <c r="MI17" t="s">
        <v>733</v>
      </c>
      <c r="MJ17" t="s">
        <v>1272</v>
      </c>
      <c r="MK17" t="s">
        <v>746</v>
      </c>
      <c r="ML17" t="s">
        <v>1273</v>
      </c>
      <c r="MO17" t="s">
        <v>783</v>
      </c>
      <c r="MP17" t="s">
        <v>784</v>
      </c>
      <c r="MQ17" t="s">
        <v>783</v>
      </c>
      <c r="MR17" t="s">
        <v>783</v>
      </c>
      <c r="MS17" t="s">
        <v>783</v>
      </c>
      <c r="MT17" t="s">
        <v>783</v>
      </c>
      <c r="MU17" t="s">
        <v>783</v>
      </c>
      <c r="MV17" t="s">
        <v>783</v>
      </c>
      <c r="MW17" t="s">
        <v>783</v>
      </c>
      <c r="MX17" t="s">
        <v>784</v>
      </c>
      <c r="MZ17" t="s">
        <v>783</v>
      </c>
      <c r="NA17" t="s">
        <v>783</v>
      </c>
      <c r="NB17" t="s">
        <v>907</v>
      </c>
      <c r="NC17" t="s">
        <v>781</v>
      </c>
      <c r="ND17" t="s">
        <v>783</v>
      </c>
      <c r="NE17" t="s">
        <v>784</v>
      </c>
      <c r="NF17" t="s">
        <v>784</v>
      </c>
      <c r="NG17" t="s">
        <v>783</v>
      </c>
      <c r="NH17" t="s">
        <v>783</v>
      </c>
      <c r="NI17" t="s">
        <v>783</v>
      </c>
      <c r="NJ17" t="s">
        <v>783</v>
      </c>
      <c r="NK17" t="s">
        <v>783</v>
      </c>
      <c r="NL17" t="s">
        <v>783</v>
      </c>
      <c r="NM17" t="s">
        <v>783</v>
      </c>
      <c r="NN17" t="s">
        <v>784</v>
      </c>
      <c r="NO17" t="s">
        <v>782</v>
      </c>
      <c r="NP17" t="s">
        <v>783</v>
      </c>
      <c r="NQ17" t="s">
        <v>783</v>
      </c>
      <c r="NR17" t="s">
        <v>783</v>
      </c>
      <c r="NS17" t="s">
        <v>782</v>
      </c>
      <c r="NT17" t="s">
        <v>784</v>
      </c>
      <c r="NU17" t="s">
        <v>783</v>
      </c>
      <c r="NV17" t="s">
        <v>782</v>
      </c>
      <c r="NW17" t="s">
        <v>784</v>
      </c>
      <c r="NX17" t="s">
        <v>783</v>
      </c>
      <c r="NY17" t="s">
        <v>784</v>
      </c>
      <c r="NZ17" t="s">
        <v>783</v>
      </c>
      <c r="OA17" t="s">
        <v>783</v>
      </c>
      <c r="OB17" t="s">
        <v>784</v>
      </c>
      <c r="OC17" t="s">
        <v>783</v>
      </c>
      <c r="OD17" t="s">
        <v>783</v>
      </c>
      <c r="OE17" t="s">
        <v>783</v>
      </c>
      <c r="OF17" t="s">
        <v>781</v>
      </c>
      <c r="OG17" t="s">
        <v>783</v>
      </c>
      <c r="OH17" t="s">
        <v>783</v>
      </c>
      <c r="OI17" t="s">
        <v>783</v>
      </c>
      <c r="OJ17" t="s">
        <v>783</v>
      </c>
    </row>
    <row r="18" spans="1:400" x14ac:dyDescent="0.25">
      <c r="A18">
        <v>14</v>
      </c>
      <c r="B18" t="s">
        <v>144</v>
      </c>
      <c r="C18" t="s">
        <v>145</v>
      </c>
      <c r="D18" t="s">
        <v>57</v>
      </c>
      <c r="E18">
        <v>52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M18" t="s">
        <v>146</v>
      </c>
      <c r="N18" t="s">
        <v>70</v>
      </c>
      <c r="O18">
        <v>5</v>
      </c>
      <c r="P18" s="1">
        <v>159000</v>
      </c>
      <c r="Q18" s="1">
        <v>0</v>
      </c>
      <c r="R18" t="s">
        <v>81</v>
      </c>
      <c r="S18" s="7">
        <v>130000</v>
      </c>
      <c r="T18" t="s">
        <v>148</v>
      </c>
      <c r="U18" s="5">
        <v>29000</v>
      </c>
      <c r="V18" s="3" t="s">
        <v>70</v>
      </c>
      <c r="W18" s="5">
        <v>0</v>
      </c>
      <c r="X18" t="s">
        <v>94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P18" t="s">
        <v>63</v>
      </c>
      <c r="AR18">
        <v>1</v>
      </c>
      <c r="AS18" s="2">
        <v>0.25</v>
      </c>
      <c r="AT18" t="s">
        <v>516</v>
      </c>
      <c r="AU18">
        <v>1</v>
      </c>
      <c r="AV18">
        <v>0</v>
      </c>
      <c r="AW18">
        <v>0</v>
      </c>
      <c r="AX18">
        <v>0</v>
      </c>
      <c r="AY18">
        <v>0</v>
      </c>
      <c r="AZ18" t="s">
        <v>527</v>
      </c>
      <c r="BA18" t="s">
        <v>511</v>
      </c>
      <c r="BC18" t="s">
        <v>512</v>
      </c>
      <c r="BD18" t="s">
        <v>513</v>
      </c>
      <c r="BE18">
        <v>1998</v>
      </c>
      <c r="BF18">
        <v>25</v>
      </c>
      <c r="BG18" t="s">
        <v>508</v>
      </c>
      <c r="BH18">
        <v>1</v>
      </c>
      <c r="BI18">
        <v>0</v>
      </c>
      <c r="BJ18">
        <v>0</v>
      </c>
      <c r="BK18">
        <v>0</v>
      </c>
      <c r="BL18">
        <v>0</v>
      </c>
      <c r="BM18" t="s">
        <v>63</v>
      </c>
      <c r="BN18" t="s">
        <v>63</v>
      </c>
      <c r="BO18" t="s">
        <v>3835</v>
      </c>
      <c r="BP18" t="s">
        <v>3836</v>
      </c>
      <c r="BR18" t="s">
        <v>3854</v>
      </c>
      <c r="BS18" t="s">
        <v>71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 t="s">
        <v>3873</v>
      </c>
      <c r="CA18" t="s">
        <v>3839</v>
      </c>
      <c r="CC18" t="s">
        <v>3840</v>
      </c>
      <c r="CD18" t="s">
        <v>3841</v>
      </c>
      <c r="CE18" t="s">
        <v>71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N18" t="s">
        <v>63</v>
      </c>
      <c r="CO18" t="s">
        <v>732</v>
      </c>
      <c r="CP18" t="s">
        <v>3969</v>
      </c>
      <c r="CQ18" t="s">
        <v>2996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 t="s">
        <v>3970</v>
      </c>
      <c r="CY18" t="s">
        <v>3971</v>
      </c>
      <c r="CZ18" s="26" t="s">
        <v>3972</v>
      </c>
      <c r="DA18" s="27" t="s">
        <v>4216</v>
      </c>
      <c r="DJ18" t="s">
        <v>84</v>
      </c>
      <c r="DK18" s="35"/>
      <c r="DL18" s="37"/>
      <c r="FI18" t="s">
        <v>733</v>
      </c>
      <c r="FJ18" t="s">
        <v>1274</v>
      </c>
      <c r="FK18" t="s">
        <v>777</v>
      </c>
      <c r="FL18" t="s">
        <v>1275</v>
      </c>
      <c r="FM18" t="s">
        <v>736</v>
      </c>
      <c r="FN18" t="s">
        <v>1276</v>
      </c>
      <c r="FO18" t="s">
        <v>736</v>
      </c>
      <c r="FP18" t="s">
        <v>1277</v>
      </c>
      <c r="FQ18" t="s">
        <v>733</v>
      </c>
      <c r="FR18" t="s">
        <v>1278</v>
      </c>
      <c r="FS18" t="s">
        <v>733</v>
      </c>
      <c r="FT18" t="s">
        <v>1278</v>
      </c>
      <c r="FU18" t="s">
        <v>736</v>
      </c>
      <c r="FV18" t="s">
        <v>1279</v>
      </c>
      <c r="FW18" t="s">
        <v>736</v>
      </c>
      <c r="FX18" t="s">
        <v>1279</v>
      </c>
      <c r="FY18" t="s">
        <v>733</v>
      </c>
      <c r="FZ18" t="s">
        <v>1280</v>
      </c>
      <c r="GA18" t="s">
        <v>733</v>
      </c>
      <c r="GB18" t="s">
        <v>1280</v>
      </c>
      <c r="GC18" t="s">
        <v>733</v>
      </c>
      <c r="GD18" t="s">
        <v>1280</v>
      </c>
      <c r="GE18" t="s">
        <v>733</v>
      </c>
      <c r="GF18" t="s">
        <v>1280</v>
      </c>
      <c r="GG18" t="s">
        <v>746</v>
      </c>
      <c r="GH18" t="s">
        <v>1281</v>
      </c>
      <c r="GI18" t="s">
        <v>746</v>
      </c>
      <c r="GJ18" t="s">
        <v>1281</v>
      </c>
      <c r="GK18" t="s">
        <v>736</v>
      </c>
      <c r="GL18" t="s">
        <v>1282</v>
      </c>
      <c r="GM18" t="s">
        <v>736</v>
      </c>
      <c r="GN18" t="s">
        <v>1282</v>
      </c>
      <c r="GO18" t="s">
        <v>746</v>
      </c>
      <c r="GP18" t="s">
        <v>1283</v>
      </c>
      <c r="GQ18" t="s">
        <v>746</v>
      </c>
      <c r="GR18" t="s">
        <v>1283</v>
      </c>
      <c r="GS18" t="s">
        <v>736</v>
      </c>
      <c r="GT18" t="s">
        <v>1284</v>
      </c>
      <c r="GU18" t="s">
        <v>777</v>
      </c>
      <c r="GV18" t="s">
        <v>1284</v>
      </c>
      <c r="GW18" t="s">
        <v>777</v>
      </c>
      <c r="GX18" t="s">
        <v>1285</v>
      </c>
      <c r="GY18" t="s">
        <v>777</v>
      </c>
      <c r="GZ18" t="s">
        <v>1285</v>
      </c>
      <c r="HA18" t="s">
        <v>777</v>
      </c>
      <c r="HB18" t="s">
        <v>1286</v>
      </c>
      <c r="HC18" t="s">
        <v>777</v>
      </c>
      <c r="HD18" t="s">
        <v>1286</v>
      </c>
      <c r="HE18" t="s">
        <v>990</v>
      </c>
      <c r="HF18" t="s">
        <v>1286</v>
      </c>
      <c r="HG18" t="s">
        <v>777</v>
      </c>
      <c r="HH18" t="s">
        <v>1287</v>
      </c>
      <c r="HI18" t="s">
        <v>777</v>
      </c>
      <c r="HJ18" t="s">
        <v>1288</v>
      </c>
      <c r="HK18" t="s">
        <v>733</v>
      </c>
      <c r="HL18" t="s">
        <v>1289</v>
      </c>
      <c r="HM18" t="s">
        <v>777</v>
      </c>
      <c r="HN18" t="s">
        <v>1290</v>
      </c>
      <c r="HO18" t="s">
        <v>746</v>
      </c>
      <c r="HP18" t="s">
        <v>1291</v>
      </c>
      <c r="HQ18" t="s">
        <v>746</v>
      </c>
      <c r="HR18" t="s">
        <v>1292</v>
      </c>
      <c r="HS18" t="s">
        <v>736</v>
      </c>
      <c r="HT18" t="s">
        <v>1293</v>
      </c>
      <c r="HU18" t="s">
        <v>777</v>
      </c>
      <c r="HV18" t="s">
        <v>1294</v>
      </c>
      <c r="HW18" t="s">
        <v>736</v>
      </c>
      <c r="HX18" t="s">
        <v>1295</v>
      </c>
      <c r="HY18" t="s">
        <v>777</v>
      </c>
      <c r="HZ18" t="s">
        <v>1295</v>
      </c>
      <c r="IA18" t="s">
        <v>777</v>
      </c>
      <c r="IB18" t="s">
        <v>1296</v>
      </c>
      <c r="IC18" t="s">
        <v>777</v>
      </c>
      <c r="ID18" t="s">
        <v>1296</v>
      </c>
      <c r="IE18" t="s">
        <v>746</v>
      </c>
      <c r="IF18" t="s">
        <v>1295</v>
      </c>
      <c r="IG18" t="s">
        <v>746</v>
      </c>
      <c r="IH18" t="s">
        <v>1295</v>
      </c>
      <c r="II18" t="s">
        <v>736</v>
      </c>
      <c r="IJ18" t="s">
        <v>1297</v>
      </c>
      <c r="IK18" t="s">
        <v>736</v>
      </c>
      <c r="IL18" t="s">
        <v>1297</v>
      </c>
      <c r="IM18" t="s">
        <v>746</v>
      </c>
      <c r="IN18" t="s">
        <v>1298</v>
      </c>
      <c r="IO18" t="s">
        <v>746</v>
      </c>
      <c r="IP18" t="s">
        <v>1298</v>
      </c>
      <c r="IQ18" t="s">
        <v>746</v>
      </c>
      <c r="IR18" t="s">
        <v>1298</v>
      </c>
      <c r="IS18" t="s">
        <v>746</v>
      </c>
      <c r="IT18" t="s">
        <v>1298</v>
      </c>
      <c r="IU18" t="s">
        <v>746</v>
      </c>
      <c r="IV18" t="s">
        <v>1298</v>
      </c>
      <c r="IW18" t="s">
        <v>746</v>
      </c>
      <c r="IX18" t="s">
        <v>1298</v>
      </c>
      <c r="IY18" t="s">
        <v>746</v>
      </c>
      <c r="IZ18" t="s">
        <v>1298</v>
      </c>
      <c r="JA18" t="s">
        <v>746</v>
      </c>
      <c r="JB18" t="s">
        <v>1298</v>
      </c>
      <c r="JC18" t="s">
        <v>746</v>
      </c>
      <c r="JD18" t="s">
        <v>1298</v>
      </c>
      <c r="JE18" t="s">
        <v>746</v>
      </c>
      <c r="JF18" t="s">
        <v>1298</v>
      </c>
      <c r="JS18" t="s">
        <v>746</v>
      </c>
      <c r="JT18" t="s">
        <v>1298</v>
      </c>
      <c r="JU18" t="s">
        <v>746</v>
      </c>
      <c r="JV18" t="s">
        <v>1298</v>
      </c>
      <c r="JW18" t="s">
        <v>746</v>
      </c>
      <c r="JX18" t="s">
        <v>1298</v>
      </c>
      <c r="JY18" t="s">
        <v>746</v>
      </c>
      <c r="JZ18" t="s">
        <v>1298</v>
      </c>
      <c r="KE18" t="s">
        <v>746</v>
      </c>
      <c r="KF18" t="s">
        <v>1298</v>
      </c>
      <c r="KG18" t="s">
        <v>746</v>
      </c>
      <c r="KH18" t="s">
        <v>1298</v>
      </c>
      <c r="KI18" t="s">
        <v>746</v>
      </c>
      <c r="KJ18" t="s">
        <v>1298</v>
      </c>
      <c r="KK18" t="s">
        <v>746</v>
      </c>
      <c r="KL18" t="s">
        <v>1298</v>
      </c>
      <c r="KM18" t="s">
        <v>746</v>
      </c>
      <c r="KN18" t="s">
        <v>1298</v>
      </c>
      <c r="KO18" t="s">
        <v>743</v>
      </c>
      <c r="KP18" t="s">
        <v>1299</v>
      </c>
      <c r="KU18" t="s">
        <v>746</v>
      </c>
      <c r="KV18" t="s">
        <v>1300</v>
      </c>
      <c r="KW18" t="s">
        <v>746</v>
      </c>
      <c r="KX18" t="s">
        <v>1300</v>
      </c>
      <c r="KY18" t="s">
        <v>746</v>
      </c>
      <c r="KZ18" t="s">
        <v>1301</v>
      </c>
      <c r="LA18" t="s">
        <v>746</v>
      </c>
      <c r="LB18" t="s">
        <v>1301</v>
      </c>
      <c r="LC18" t="s">
        <v>736</v>
      </c>
      <c r="LD18" t="s">
        <v>1302</v>
      </c>
      <c r="LE18" t="s">
        <v>736</v>
      </c>
      <c r="LF18" t="s">
        <v>1303</v>
      </c>
      <c r="LG18" t="s">
        <v>736</v>
      </c>
      <c r="LH18" t="s">
        <v>1304</v>
      </c>
      <c r="LI18" t="s">
        <v>736</v>
      </c>
      <c r="LJ18" t="s">
        <v>1305</v>
      </c>
      <c r="LK18" t="s">
        <v>746</v>
      </c>
      <c r="LL18" t="s">
        <v>1306</v>
      </c>
      <c r="LM18" t="s">
        <v>746</v>
      </c>
      <c r="LN18" t="s">
        <v>1306</v>
      </c>
      <c r="LO18" t="s">
        <v>746</v>
      </c>
      <c r="LP18" t="s">
        <v>1307</v>
      </c>
      <c r="LQ18" t="s">
        <v>746</v>
      </c>
      <c r="LR18" t="s">
        <v>1307</v>
      </c>
      <c r="LS18" t="s">
        <v>733</v>
      </c>
      <c r="LT18" t="s">
        <v>1308</v>
      </c>
      <c r="LU18" t="s">
        <v>733</v>
      </c>
      <c r="LV18" t="s">
        <v>1308</v>
      </c>
      <c r="LW18" t="s">
        <v>746</v>
      </c>
      <c r="LX18" t="s">
        <v>1309</v>
      </c>
      <c r="LY18" t="s">
        <v>746</v>
      </c>
      <c r="LZ18" t="s">
        <v>1309</v>
      </c>
      <c r="MA18" t="s">
        <v>746</v>
      </c>
      <c r="MB18" t="s">
        <v>1309</v>
      </c>
      <c r="MC18" t="s">
        <v>746</v>
      </c>
      <c r="MD18" t="s">
        <v>1310</v>
      </c>
      <c r="ME18" t="s">
        <v>736</v>
      </c>
      <c r="MF18" t="s">
        <v>1311</v>
      </c>
      <c r="MG18" t="s">
        <v>736</v>
      </c>
      <c r="MH18" t="s">
        <v>1312</v>
      </c>
      <c r="MI18" t="s">
        <v>746</v>
      </c>
      <c r="MJ18" t="s">
        <v>1313</v>
      </c>
      <c r="MK18" t="s">
        <v>746</v>
      </c>
      <c r="ML18" t="s">
        <v>1314</v>
      </c>
      <c r="MO18" t="s">
        <v>783</v>
      </c>
      <c r="MP18" t="s">
        <v>784</v>
      </c>
      <c r="MQ18" t="s">
        <v>783</v>
      </c>
      <c r="MR18" t="s">
        <v>783</v>
      </c>
      <c r="MS18" t="s">
        <v>783</v>
      </c>
      <c r="MT18" t="s">
        <v>783</v>
      </c>
      <c r="MU18" t="s">
        <v>783</v>
      </c>
      <c r="MV18" t="s">
        <v>783</v>
      </c>
      <c r="MW18" t="s">
        <v>783</v>
      </c>
      <c r="MX18" t="s">
        <v>783</v>
      </c>
      <c r="MZ18" t="s">
        <v>783</v>
      </c>
      <c r="NA18" t="s">
        <v>783</v>
      </c>
      <c r="NB18" t="s">
        <v>783</v>
      </c>
      <c r="NC18" t="s">
        <v>783</v>
      </c>
      <c r="ND18" t="s">
        <v>783</v>
      </c>
      <c r="NE18" t="s">
        <v>783</v>
      </c>
      <c r="NF18" t="s">
        <v>784</v>
      </c>
      <c r="NG18" t="s">
        <v>783</v>
      </c>
      <c r="NH18" t="s">
        <v>783</v>
      </c>
      <c r="NI18" t="s">
        <v>783</v>
      </c>
      <c r="NJ18" t="s">
        <v>783</v>
      </c>
      <c r="NK18" t="s">
        <v>783</v>
      </c>
      <c r="NL18" t="s">
        <v>783</v>
      </c>
      <c r="NM18" t="s">
        <v>783</v>
      </c>
      <c r="NN18" t="s">
        <v>784</v>
      </c>
      <c r="NO18" t="s">
        <v>784</v>
      </c>
      <c r="NP18" t="s">
        <v>783</v>
      </c>
      <c r="NQ18" t="s">
        <v>783</v>
      </c>
      <c r="NR18" t="s">
        <v>783</v>
      </c>
      <c r="NS18" t="s">
        <v>784</v>
      </c>
      <c r="NT18" t="s">
        <v>784</v>
      </c>
      <c r="NU18" t="s">
        <v>783</v>
      </c>
      <c r="NV18" t="s">
        <v>784</v>
      </c>
      <c r="NW18" t="s">
        <v>784</v>
      </c>
      <c r="NX18" t="s">
        <v>783</v>
      </c>
      <c r="NY18" t="s">
        <v>784</v>
      </c>
      <c r="NZ18" t="s">
        <v>783</v>
      </c>
      <c r="OA18" t="s">
        <v>783</v>
      </c>
      <c r="OB18" t="s">
        <v>783</v>
      </c>
      <c r="OC18" t="s">
        <v>783</v>
      </c>
      <c r="OD18" t="s">
        <v>783</v>
      </c>
      <c r="OE18" t="s">
        <v>783</v>
      </c>
      <c r="OF18" t="s">
        <v>783</v>
      </c>
      <c r="OG18" t="s">
        <v>783</v>
      </c>
      <c r="OH18" t="s">
        <v>783</v>
      </c>
      <c r="OI18" t="s">
        <v>783</v>
      </c>
      <c r="OJ18" t="s">
        <v>784</v>
      </c>
    </row>
    <row r="19" spans="1:400" x14ac:dyDescent="0.25">
      <c r="A19">
        <v>15</v>
      </c>
      <c r="B19" t="s">
        <v>150</v>
      </c>
      <c r="C19" t="s">
        <v>151</v>
      </c>
      <c r="D19" t="s">
        <v>97</v>
      </c>
      <c r="E19">
        <v>24</v>
      </c>
      <c r="F19" t="s">
        <v>87</v>
      </c>
      <c r="G19" t="s">
        <v>76</v>
      </c>
      <c r="H19" t="s">
        <v>60</v>
      </c>
      <c r="I19" t="s">
        <v>113</v>
      </c>
      <c r="J19" t="s">
        <v>62</v>
      </c>
      <c r="K19" t="s">
        <v>84</v>
      </c>
      <c r="L19" t="s">
        <v>98</v>
      </c>
      <c r="M19" t="s">
        <v>89</v>
      </c>
      <c r="N19" t="s">
        <v>70</v>
      </c>
      <c r="O19">
        <v>7</v>
      </c>
      <c r="P19" s="1">
        <v>40000</v>
      </c>
      <c r="Q19" s="1">
        <v>0</v>
      </c>
      <c r="R19" t="s">
        <v>316</v>
      </c>
      <c r="S19" s="7">
        <v>30000</v>
      </c>
      <c r="T19" t="s">
        <v>70</v>
      </c>
      <c r="U19" s="5">
        <v>0</v>
      </c>
      <c r="V19" s="3" t="s">
        <v>70</v>
      </c>
      <c r="W19" s="5">
        <v>0</v>
      </c>
      <c r="X19" t="s">
        <v>94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P19" t="s">
        <v>63</v>
      </c>
      <c r="AR19">
        <v>1</v>
      </c>
      <c r="AS19" s="2">
        <v>0.75</v>
      </c>
      <c r="AT19" t="s">
        <v>531</v>
      </c>
      <c r="AU19">
        <v>0</v>
      </c>
      <c r="AV19">
        <v>0</v>
      </c>
      <c r="AW19">
        <v>1</v>
      </c>
      <c r="AX19">
        <v>0</v>
      </c>
      <c r="AY19">
        <v>0</v>
      </c>
      <c r="AZ19" t="s">
        <v>532</v>
      </c>
      <c r="BA19" t="s">
        <v>519</v>
      </c>
      <c r="BC19" t="s">
        <v>533</v>
      </c>
      <c r="BD19" t="s">
        <v>521</v>
      </c>
      <c r="BE19">
        <v>2019</v>
      </c>
      <c r="BF19">
        <v>4</v>
      </c>
      <c r="BG19" t="s">
        <v>508</v>
      </c>
      <c r="BH19">
        <v>1</v>
      </c>
      <c r="BI19">
        <v>0</v>
      </c>
      <c r="BJ19">
        <v>0</v>
      </c>
      <c r="BK19">
        <v>0</v>
      </c>
      <c r="BL19">
        <v>0</v>
      </c>
      <c r="BM19" t="s">
        <v>63</v>
      </c>
      <c r="BN19" t="s">
        <v>84</v>
      </c>
      <c r="CM19" t="s">
        <v>785</v>
      </c>
      <c r="CN19" t="s">
        <v>84</v>
      </c>
      <c r="CO19" t="s">
        <v>84</v>
      </c>
      <c r="CZ19" s="26"/>
      <c r="DA19" s="27"/>
      <c r="DB19" t="s">
        <v>976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J19" t="s">
        <v>84</v>
      </c>
      <c r="DK19" s="35"/>
      <c r="DL19" s="37"/>
      <c r="FI19" t="s">
        <v>733</v>
      </c>
      <c r="FJ19" t="s">
        <v>1316</v>
      </c>
      <c r="FK19" t="s">
        <v>733</v>
      </c>
      <c r="FL19" t="s">
        <v>1317</v>
      </c>
      <c r="FM19" t="s">
        <v>736</v>
      </c>
      <c r="FN19" t="s">
        <v>1318</v>
      </c>
      <c r="FO19" t="s">
        <v>736</v>
      </c>
      <c r="FP19" t="s">
        <v>1319</v>
      </c>
      <c r="FQ19" t="s">
        <v>736</v>
      </c>
      <c r="FR19" t="s">
        <v>1320</v>
      </c>
      <c r="FS19" t="s">
        <v>736</v>
      </c>
      <c r="FT19" t="s">
        <v>1321</v>
      </c>
      <c r="FU19" t="s">
        <v>736</v>
      </c>
      <c r="FV19" t="s">
        <v>1322</v>
      </c>
      <c r="FW19" t="s">
        <v>736</v>
      </c>
      <c r="FX19" t="s">
        <v>1323</v>
      </c>
      <c r="FY19" t="s">
        <v>746</v>
      </c>
      <c r="FZ19" t="s">
        <v>1324</v>
      </c>
      <c r="GA19" t="s">
        <v>746</v>
      </c>
      <c r="GB19" t="s">
        <v>1325</v>
      </c>
      <c r="GC19" t="s">
        <v>736</v>
      </c>
      <c r="GD19" t="s">
        <v>1326</v>
      </c>
      <c r="GE19" t="s">
        <v>736</v>
      </c>
      <c r="GF19" t="s">
        <v>1321</v>
      </c>
      <c r="GG19" t="s">
        <v>746</v>
      </c>
      <c r="GH19" t="s">
        <v>1327</v>
      </c>
      <c r="GI19" t="s">
        <v>746</v>
      </c>
      <c r="GJ19" t="s">
        <v>1328</v>
      </c>
      <c r="GK19" t="s">
        <v>746</v>
      </c>
      <c r="GL19" t="s">
        <v>1329</v>
      </c>
      <c r="GM19" t="s">
        <v>746</v>
      </c>
      <c r="GN19" t="s">
        <v>1330</v>
      </c>
      <c r="GO19" t="s">
        <v>746</v>
      </c>
      <c r="GP19" t="s">
        <v>1331</v>
      </c>
      <c r="GQ19" t="s">
        <v>733</v>
      </c>
      <c r="GR19" t="s">
        <v>1332</v>
      </c>
      <c r="GS19" t="s">
        <v>746</v>
      </c>
      <c r="GT19" t="s">
        <v>1333</v>
      </c>
      <c r="GU19" t="s">
        <v>746</v>
      </c>
      <c r="GV19" t="s">
        <v>1324</v>
      </c>
      <c r="GW19" t="s">
        <v>733</v>
      </c>
      <c r="GX19" t="s">
        <v>1316</v>
      </c>
      <c r="GY19" t="s">
        <v>733</v>
      </c>
      <c r="GZ19" t="s">
        <v>1334</v>
      </c>
      <c r="HA19" t="s">
        <v>736</v>
      </c>
      <c r="HB19" t="s">
        <v>1335</v>
      </c>
      <c r="HC19" t="s">
        <v>736</v>
      </c>
      <c r="HD19" t="s">
        <v>1336</v>
      </c>
      <c r="HE19" t="s">
        <v>798</v>
      </c>
      <c r="HF19" t="s">
        <v>1337</v>
      </c>
      <c r="HG19" t="s">
        <v>736</v>
      </c>
      <c r="HH19" t="s">
        <v>1338</v>
      </c>
      <c r="HI19" t="s">
        <v>736</v>
      </c>
      <c r="HJ19" t="s">
        <v>1339</v>
      </c>
      <c r="HK19" t="s">
        <v>733</v>
      </c>
      <c r="HL19" t="s">
        <v>1340</v>
      </c>
      <c r="HM19" t="s">
        <v>733</v>
      </c>
      <c r="HN19" t="s">
        <v>1341</v>
      </c>
      <c r="HO19" t="s">
        <v>733</v>
      </c>
      <c r="HP19" t="s">
        <v>1342</v>
      </c>
      <c r="HQ19" t="s">
        <v>733</v>
      </c>
      <c r="HR19" t="s">
        <v>1343</v>
      </c>
      <c r="HS19" t="s">
        <v>733</v>
      </c>
      <c r="HT19" t="s">
        <v>1344</v>
      </c>
      <c r="HU19" t="s">
        <v>733</v>
      </c>
      <c r="HV19" t="s">
        <v>1342</v>
      </c>
      <c r="HW19" t="s">
        <v>746</v>
      </c>
      <c r="HX19" t="s">
        <v>1345</v>
      </c>
      <c r="HY19" t="s">
        <v>746</v>
      </c>
      <c r="HZ19" t="s">
        <v>1346</v>
      </c>
      <c r="IA19" t="s">
        <v>733</v>
      </c>
      <c r="IB19" t="s">
        <v>1347</v>
      </c>
      <c r="IC19" t="s">
        <v>733</v>
      </c>
      <c r="ID19" t="s">
        <v>1316</v>
      </c>
      <c r="IE19" t="s">
        <v>746</v>
      </c>
      <c r="IF19" t="s">
        <v>1348</v>
      </c>
      <c r="IG19" t="s">
        <v>746</v>
      </c>
      <c r="IH19" t="s">
        <v>1349</v>
      </c>
      <c r="II19" t="s">
        <v>736</v>
      </c>
      <c r="IJ19" t="s">
        <v>1350</v>
      </c>
      <c r="IK19" t="s">
        <v>736</v>
      </c>
      <c r="IL19" t="s">
        <v>1319</v>
      </c>
      <c r="IM19" t="s">
        <v>733</v>
      </c>
      <c r="IN19" t="s">
        <v>1351</v>
      </c>
      <c r="IO19" t="s">
        <v>733</v>
      </c>
      <c r="IP19" t="s">
        <v>1352</v>
      </c>
      <c r="IQ19" t="s">
        <v>746</v>
      </c>
      <c r="IR19" t="s">
        <v>1353</v>
      </c>
      <c r="IS19" t="s">
        <v>733</v>
      </c>
      <c r="IT19" t="s">
        <v>1354</v>
      </c>
      <c r="IU19" t="s">
        <v>733</v>
      </c>
      <c r="IV19" t="s">
        <v>1342</v>
      </c>
      <c r="IW19" t="s">
        <v>733</v>
      </c>
      <c r="IX19" t="s">
        <v>1355</v>
      </c>
      <c r="IY19" t="s">
        <v>746</v>
      </c>
      <c r="IZ19" t="s">
        <v>1356</v>
      </c>
      <c r="JA19" t="s">
        <v>746</v>
      </c>
      <c r="JB19" t="s">
        <v>1349</v>
      </c>
      <c r="JC19" t="s">
        <v>733</v>
      </c>
      <c r="JD19" t="s">
        <v>1357</v>
      </c>
      <c r="JE19" t="s">
        <v>733</v>
      </c>
      <c r="JF19" t="s">
        <v>1355</v>
      </c>
      <c r="JG19" t="s">
        <v>746</v>
      </c>
      <c r="JH19" t="s">
        <v>1358</v>
      </c>
      <c r="JI19" t="s">
        <v>746</v>
      </c>
      <c r="JJ19" t="s">
        <v>1359</v>
      </c>
      <c r="JK19" t="s">
        <v>746</v>
      </c>
      <c r="JL19" t="s">
        <v>1360</v>
      </c>
      <c r="JM19" t="s">
        <v>746</v>
      </c>
      <c r="JN19" t="s">
        <v>1349</v>
      </c>
      <c r="JO19" t="s">
        <v>746</v>
      </c>
      <c r="JP19" t="s">
        <v>1361</v>
      </c>
      <c r="JQ19" t="s">
        <v>746</v>
      </c>
      <c r="JR19" t="s">
        <v>1349</v>
      </c>
      <c r="JS19" t="s">
        <v>733</v>
      </c>
      <c r="JT19" t="s">
        <v>1362</v>
      </c>
      <c r="JU19" t="s">
        <v>733</v>
      </c>
      <c r="JV19" t="s">
        <v>1363</v>
      </c>
      <c r="JW19" t="s">
        <v>733</v>
      </c>
      <c r="JX19" t="s">
        <v>1364</v>
      </c>
      <c r="JY19" t="s">
        <v>733</v>
      </c>
      <c r="JZ19" t="s">
        <v>1355</v>
      </c>
      <c r="KA19" t="s">
        <v>733</v>
      </c>
      <c r="KB19" t="s">
        <v>1365</v>
      </c>
      <c r="KC19" t="s">
        <v>733</v>
      </c>
      <c r="KD19" t="s">
        <v>1363</v>
      </c>
      <c r="KE19" t="s">
        <v>733</v>
      </c>
      <c r="KF19" t="s">
        <v>1366</v>
      </c>
      <c r="KG19" t="s">
        <v>733</v>
      </c>
      <c r="KH19" t="s">
        <v>1355</v>
      </c>
      <c r="KI19" t="s">
        <v>733</v>
      </c>
      <c r="KJ19" t="s">
        <v>1367</v>
      </c>
      <c r="KK19" t="s">
        <v>733</v>
      </c>
      <c r="KL19" t="s">
        <v>1368</v>
      </c>
      <c r="KM19" t="s">
        <v>733</v>
      </c>
      <c r="KN19" t="s">
        <v>1369</v>
      </c>
      <c r="KO19" t="s">
        <v>733</v>
      </c>
      <c r="KP19" t="s">
        <v>1355</v>
      </c>
      <c r="KQ19" t="s">
        <v>733</v>
      </c>
      <c r="KR19" t="s">
        <v>1370</v>
      </c>
      <c r="KS19" t="s">
        <v>733</v>
      </c>
      <c r="KT19" t="s">
        <v>1355</v>
      </c>
      <c r="KU19" t="s">
        <v>733</v>
      </c>
      <c r="KV19" t="s">
        <v>1371</v>
      </c>
      <c r="KW19" t="s">
        <v>733</v>
      </c>
      <c r="KX19" t="s">
        <v>1372</v>
      </c>
      <c r="KY19" t="s">
        <v>733</v>
      </c>
      <c r="KZ19" t="s">
        <v>1373</v>
      </c>
      <c r="LA19" t="s">
        <v>733</v>
      </c>
      <c r="LB19" t="s">
        <v>1355</v>
      </c>
      <c r="LC19" t="s">
        <v>736</v>
      </c>
      <c r="LD19" t="s">
        <v>1374</v>
      </c>
      <c r="LE19" t="s">
        <v>736</v>
      </c>
      <c r="LF19" t="s">
        <v>1375</v>
      </c>
      <c r="LG19" t="s">
        <v>736</v>
      </c>
      <c r="LH19" t="s">
        <v>1376</v>
      </c>
      <c r="LI19" t="s">
        <v>736</v>
      </c>
      <c r="LJ19" t="s">
        <v>1377</v>
      </c>
      <c r="LK19" t="s">
        <v>733</v>
      </c>
      <c r="LL19" t="s">
        <v>1378</v>
      </c>
      <c r="LM19" t="s">
        <v>733</v>
      </c>
      <c r="LN19" t="s">
        <v>1379</v>
      </c>
      <c r="LO19" t="s">
        <v>733</v>
      </c>
      <c r="LP19" t="s">
        <v>1316</v>
      </c>
      <c r="LQ19" t="s">
        <v>733</v>
      </c>
      <c r="LR19" t="s">
        <v>1380</v>
      </c>
      <c r="LS19" t="s">
        <v>736</v>
      </c>
      <c r="LT19" t="s">
        <v>1381</v>
      </c>
      <c r="LU19" t="s">
        <v>736</v>
      </c>
      <c r="LV19" t="s">
        <v>1382</v>
      </c>
      <c r="LW19" t="s">
        <v>736</v>
      </c>
      <c r="LX19" t="s">
        <v>1383</v>
      </c>
      <c r="LY19" t="s">
        <v>733</v>
      </c>
      <c r="LZ19" t="s">
        <v>1384</v>
      </c>
      <c r="MA19" t="s">
        <v>736</v>
      </c>
      <c r="MB19" t="s">
        <v>1273</v>
      </c>
      <c r="MC19" t="s">
        <v>733</v>
      </c>
      <c r="MD19" t="s">
        <v>1385</v>
      </c>
      <c r="ME19" t="s">
        <v>733</v>
      </c>
      <c r="MF19" t="s">
        <v>1386</v>
      </c>
      <c r="MG19" t="s">
        <v>733</v>
      </c>
      <c r="MH19" t="s">
        <v>1387</v>
      </c>
      <c r="MI19" t="s">
        <v>733</v>
      </c>
      <c r="MJ19" t="s">
        <v>1388</v>
      </c>
      <c r="MK19" t="s">
        <v>733</v>
      </c>
      <c r="ML19" t="s">
        <v>1389</v>
      </c>
      <c r="MO19" t="s">
        <v>783</v>
      </c>
      <c r="MP19" t="s">
        <v>784</v>
      </c>
      <c r="MQ19" t="s">
        <v>783</v>
      </c>
      <c r="MR19" t="s">
        <v>783</v>
      </c>
      <c r="MS19" t="s">
        <v>783</v>
      </c>
      <c r="MT19" t="s">
        <v>783</v>
      </c>
      <c r="MU19" t="s">
        <v>783</v>
      </c>
      <c r="MV19" t="s">
        <v>783</v>
      </c>
      <c r="MW19" t="s">
        <v>783</v>
      </c>
      <c r="MX19" t="s">
        <v>783</v>
      </c>
      <c r="MZ19" t="s">
        <v>783</v>
      </c>
      <c r="NA19" t="s">
        <v>783</v>
      </c>
      <c r="NB19" t="s">
        <v>783</v>
      </c>
      <c r="NC19" t="s">
        <v>783</v>
      </c>
      <c r="ND19" t="s">
        <v>784</v>
      </c>
      <c r="NE19" t="s">
        <v>784</v>
      </c>
      <c r="NF19" t="s">
        <v>784</v>
      </c>
      <c r="NG19" t="s">
        <v>783</v>
      </c>
      <c r="NH19" t="s">
        <v>784</v>
      </c>
      <c r="NI19" t="s">
        <v>783</v>
      </c>
      <c r="NJ19" t="s">
        <v>783</v>
      </c>
      <c r="NK19" t="s">
        <v>783</v>
      </c>
      <c r="NL19" t="s">
        <v>783</v>
      </c>
      <c r="NM19" t="s">
        <v>783</v>
      </c>
      <c r="NN19" t="s">
        <v>783</v>
      </c>
      <c r="NO19" t="s">
        <v>784</v>
      </c>
      <c r="NP19" t="s">
        <v>783</v>
      </c>
      <c r="NQ19" t="s">
        <v>783</v>
      </c>
      <c r="NR19" t="s">
        <v>783</v>
      </c>
      <c r="NS19" t="s">
        <v>783</v>
      </c>
      <c r="NT19" t="s">
        <v>783</v>
      </c>
      <c r="NU19" t="s">
        <v>783</v>
      </c>
      <c r="NV19" t="s">
        <v>784</v>
      </c>
      <c r="NW19" t="s">
        <v>784</v>
      </c>
      <c r="NX19" t="s">
        <v>784</v>
      </c>
      <c r="NY19" t="s">
        <v>783</v>
      </c>
      <c r="NZ19" t="s">
        <v>783</v>
      </c>
      <c r="OA19" t="s">
        <v>783</v>
      </c>
      <c r="OB19" t="s">
        <v>784</v>
      </c>
      <c r="OC19" t="s">
        <v>784</v>
      </c>
      <c r="OD19" t="s">
        <v>783</v>
      </c>
      <c r="OE19" t="s">
        <v>783</v>
      </c>
      <c r="OF19" t="s">
        <v>783</v>
      </c>
      <c r="OG19" t="s">
        <v>783</v>
      </c>
      <c r="OH19" t="s">
        <v>783</v>
      </c>
      <c r="OI19" t="s">
        <v>783</v>
      </c>
      <c r="OJ19" t="s">
        <v>783</v>
      </c>
    </row>
    <row r="20" spans="1:400" x14ac:dyDescent="0.25">
      <c r="A20">
        <v>16</v>
      </c>
      <c r="B20" t="s">
        <v>153</v>
      </c>
      <c r="C20" t="s">
        <v>154</v>
      </c>
      <c r="D20" t="s">
        <v>97</v>
      </c>
      <c r="E20">
        <v>64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84</v>
      </c>
      <c r="L20" t="s">
        <v>98</v>
      </c>
      <c r="M20" t="s">
        <v>89</v>
      </c>
      <c r="N20" t="s">
        <v>70</v>
      </c>
      <c r="O20">
        <v>3</v>
      </c>
      <c r="P20" s="1">
        <v>50000</v>
      </c>
      <c r="Q20" s="1">
        <v>0</v>
      </c>
      <c r="R20" t="s">
        <v>316</v>
      </c>
      <c r="S20" s="7">
        <v>35000</v>
      </c>
      <c r="T20" t="s">
        <v>70</v>
      </c>
      <c r="U20" s="5">
        <v>0</v>
      </c>
      <c r="V20" s="3" t="s">
        <v>70</v>
      </c>
      <c r="W20" s="5">
        <v>0</v>
      </c>
      <c r="X20" t="s">
        <v>73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 t="s">
        <v>63</v>
      </c>
      <c r="AR20">
        <v>1</v>
      </c>
      <c r="AS20" s="2">
        <v>1</v>
      </c>
      <c r="AT20" t="s">
        <v>509</v>
      </c>
      <c r="AU20">
        <v>0</v>
      </c>
      <c r="AV20">
        <v>1</v>
      </c>
      <c r="AW20">
        <v>0</v>
      </c>
      <c r="AX20">
        <v>0</v>
      </c>
      <c r="AY20">
        <v>0</v>
      </c>
      <c r="AZ20" t="s">
        <v>534</v>
      </c>
      <c r="BA20" t="s">
        <v>519</v>
      </c>
      <c r="BC20" t="s">
        <v>533</v>
      </c>
      <c r="BD20" t="s">
        <v>521</v>
      </c>
      <c r="BE20">
        <v>2006</v>
      </c>
      <c r="BF20">
        <v>17</v>
      </c>
      <c r="BG20" t="s">
        <v>508</v>
      </c>
      <c r="BH20">
        <v>1</v>
      </c>
      <c r="BI20">
        <v>0</v>
      </c>
      <c r="BJ20">
        <v>0</v>
      </c>
      <c r="BK20">
        <v>0</v>
      </c>
      <c r="BL20">
        <v>0</v>
      </c>
      <c r="BM20" t="s">
        <v>84</v>
      </c>
      <c r="BN20" t="s">
        <v>84</v>
      </c>
      <c r="CL20" t="s">
        <v>3883</v>
      </c>
      <c r="CM20" t="s">
        <v>1072</v>
      </c>
      <c r="CN20" t="s">
        <v>63</v>
      </c>
      <c r="CO20" t="s">
        <v>732</v>
      </c>
      <c r="CP20" t="s">
        <v>3973</v>
      </c>
      <c r="CQ20" t="s">
        <v>3974</v>
      </c>
      <c r="CR20">
        <v>0</v>
      </c>
      <c r="CS20">
        <v>1</v>
      </c>
      <c r="CT20">
        <v>1</v>
      </c>
      <c r="CU20">
        <v>0</v>
      </c>
      <c r="CV20">
        <v>0</v>
      </c>
      <c r="CW20">
        <v>0</v>
      </c>
      <c r="CY20" t="s">
        <v>3854</v>
      </c>
      <c r="CZ20" s="26" t="s">
        <v>3975</v>
      </c>
      <c r="DA20" s="27" t="s">
        <v>4192</v>
      </c>
      <c r="DJ20" t="s">
        <v>84</v>
      </c>
      <c r="DK20" s="35"/>
      <c r="DL20" s="37"/>
      <c r="FI20" t="s">
        <v>733</v>
      </c>
      <c r="FJ20" t="s">
        <v>1390</v>
      </c>
      <c r="FK20" t="s">
        <v>736</v>
      </c>
      <c r="FL20" t="s">
        <v>1391</v>
      </c>
      <c r="FM20" t="s">
        <v>733</v>
      </c>
      <c r="FN20" t="s">
        <v>1392</v>
      </c>
      <c r="FO20" t="s">
        <v>733</v>
      </c>
      <c r="FP20" t="s">
        <v>1393</v>
      </c>
      <c r="FQ20" t="s">
        <v>733</v>
      </c>
      <c r="FR20" t="s">
        <v>1394</v>
      </c>
      <c r="FS20" t="s">
        <v>733</v>
      </c>
      <c r="FT20" t="s">
        <v>1395</v>
      </c>
      <c r="FU20" t="s">
        <v>733</v>
      </c>
      <c r="FV20" t="s">
        <v>1396</v>
      </c>
      <c r="FW20" t="s">
        <v>733</v>
      </c>
      <c r="FX20" t="s">
        <v>1397</v>
      </c>
      <c r="FY20" t="s">
        <v>733</v>
      </c>
      <c r="FZ20" t="s">
        <v>1316</v>
      </c>
      <c r="GA20" t="s">
        <v>733</v>
      </c>
      <c r="GB20" t="s">
        <v>1398</v>
      </c>
      <c r="GC20" t="s">
        <v>733</v>
      </c>
      <c r="GD20" t="s">
        <v>1399</v>
      </c>
      <c r="GE20" t="s">
        <v>733</v>
      </c>
      <c r="GF20" t="s">
        <v>1400</v>
      </c>
      <c r="GG20" t="s">
        <v>733</v>
      </c>
      <c r="GH20" t="s">
        <v>1401</v>
      </c>
      <c r="GI20" t="s">
        <v>733</v>
      </c>
      <c r="GJ20" t="s">
        <v>1402</v>
      </c>
      <c r="GK20" t="s">
        <v>733</v>
      </c>
      <c r="GL20" t="s">
        <v>1403</v>
      </c>
      <c r="GM20" t="s">
        <v>733</v>
      </c>
      <c r="GN20" t="s">
        <v>1316</v>
      </c>
      <c r="GO20" t="s">
        <v>733</v>
      </c>
      <c r="GP20" t="s">
        <v>1404</v>
      </c>
      <c r="GQ20" t="s">
        <v>733</v>
      </c>
      <c r="GR20" t="s">
        <v>1316</v>
      </c>
      <c r="GS20" t="s">
        <v>733</v>
      </c>
      <c r="GT20" t="s">
        <v>1403</v>
      </c>
      <c r="GU20" t="s">
        <v>733</v>
      </c>
      <c r="GV20" t="s">
        <v>1405</v>
      </c>
      <c r="GW20" t="s">
        <v>736</v>
      </c>
      <c r="GX20" t="s">
        <v>1375</v>
      </c>
      <c r="GY20" t="s">
        <v>736</v>
      </c>
      <c r="GZ20" t="s">
        <v>1406</v>
      </c>
      <c r="HA20" t="s">
        <v>736</v>
      </c>
      <c r="HB20" t="s">
        <v>1338</v>
      </c>
      <c r="HC20" t="s">
        <v>736</v>
      </c>
      <c r="HD20" t="s">
        <v>1338</v>
      </c>
      <c r="HE20" t="s">
        <v>798</v>
      </c>
      <c r="HF20" t="s">
        <v>1338</v>
      </c>
      <c r="HG20" t="s">
        <v>736</v>
      </c>
      <c r="HH20" t="s">
        <v>1407</v>
      </c>
      <c r="HI20" t="s">
        <v>736</v>
      </c>
      <c r="HJ20" t="s">
        <v>1338</v>
      </c>
      <c r="HK20" t="s">
        <v>746</v>
      </c>
      <c r="HL20" t="s">
        <v>1408</v>
      </c>
      <c r="HM20" t="s">
        <v>746</v>
      </c>
      <c r="HN20" t="s">
        <v>1409</v>
      </c>
      <c r="HO20" t="s">
        <v>746</v>
      </c>
      <c r="HP20" t="s">
        <v>1408</v>
      </c>
      <c r="HQ20" t="s">
        <v>746</v>
      </c>
      <c r="HR20" t="s">
        <v>1408</v>
      </c>
      <c r="HS20" t="s">
        <v>733</v>
      </c>
      <c r="HT20" t="s">
        <v>1410</v>
      </c>
      <c r="HU20" t="s">
        <v>733</v>
      </c>
      <c r="HV20" t="s">
        <v>1316</v>
      </c>
      <c r="HW20" t="s">
        <v>746</v>
      </c>
      <c r="HX20" t="s">
        <v>1411</v>
      </c>
      <c r="HY20" t="s">
        <v>746</v>
      </c>
      <c r="HZ20" t="s">
        <v>1412</v>
      </c>
      <c r="IA20" t="s">
        <v>733</v>
      </c>
      <c r="IB20" t="s">
        <v>1392</v>
      </c>
      <c r="IC20" t="s">
        <v>733</v>
      </c>
      <c r="ID20" t="s">
        <v>1413</v>
      </c>
      <c r="IE20" t="s">
        <v>746</v>
      </c>
      <c r="IF20" t="s">
        <v>1414</v>
      </c>
      <c r="IG20" t="s">
        <v>746</v>
      </c>
      <c r="IH20" t="s">
        <v>1336</v>
      </c>
      <c r="II20" t="s">
        <v>733</v>
      </c>
      <c r="IJ20" t="s">
        <v>1415</v>
      </c>
      <c r="IK20" t="s">
        <v>733</v>
      </c>
      <c r="IL20" t="s">
        <v>1415</v>
      </c>
      <c r="IM20" t="s">
        <v>746</v>
      </c>
      <c r="IN20" t="s">
        <v>1416</v>
      </c>
      <c r="IO20" t="s">
        <v>746</v>
      </c>
      <c r="IP20" t="s">
        <v>1417</v>
      </c>
      <c r="IQ20" t="s">
        <v>733</v>
      </c>
      <c r="IR20" t="s">
        <v>1418</v>
      </c>
      <c r="IS20" t="s">
        <v>733</v>
      </c>
      <c r="IT20" t="s">
        <v>1419</v>
      </c>
      <c r="IU20" t="s">
        <v>746</v>
      </c>
      <c r="IV20" t="s">
        <v>1358</v>
      </c>
      <c r="IW20" t="s">
        <v>746</v>
      </c>
      <c r="IX20" t="s">
        <v>1420</v>
      </c>
      <c r="IY20" t="s">
        <v>746</v>
      </c>
      <c r="IZ20" t="s">
        <v>1421</v>
      </c>
      <c r="JA20" t="s">
        <v>746</v>
      </c>
      <c r="JB20" t="s">
        <v>1349</v>
      </c>
      <c r="JC20" t="s">
        <v>733</v>
      </c>
      <c r="JD20" t="s">
        <v>1422</v>
      </c>
      <c r="JE20" t="s">
        <v>733</v>
      </c>
      <c r="JF20" t="s">
        <v>1423</v>
      </c>
      <c r="JG20" t="s">
        <v>746</v>
      </c>
      <c r="JH20" t="s">
        <v>1358</v>
      </c>
      <c r="JI20" t="s">
        <v>733</v>
      </c>
      <c r="JJ20" t="s">
        <v>1358</v>
      </c>
      <c r="JK20" t="s">
        <v>746</v>
      </c>
      <c r="JL20" t="s">
        <v>1424</v>
      </c>
      <c r="JM20" t="s">
        <v>746</v>
      </c>
      <c r="JN20" t="s">
        <v>1349</v>
      </c>
      <c r="JO20" t="s">
        <v>746</v>
      </c>
      <c r="JP20" t="s">
        <v>1349</v>
      </c>
      <c r="JQ20" t="s">
        <v>746</v>
      </c>
      <c r="JR20" t="s">
        <v>1356</v>
      </c>
      <c r="JS20" t="s">
        <v>733</v>
      </c>
      <c r="JT20" t="s">
        <v>1422</v>
      </c>
      <c r="JU20" t="s">
        <v>733</v>
      </c>
      <c r="JV20" t="s">
        <v>1425</v>
      </c>
      <c r="JW20" t="s">
        <v>733</v>
      </c>
      <c r="JX20" t="s">
        <v>1426</v>
      </c>
      <c r="JY20" t="s">
        <v>733</v>
      </c>
      <c r="JZ20" t="s">
        <v>1355</v>
      </c>
      <c r="KA20" t="s">
        <v>733</v>
      </c>
      <c r="KB20" t="s">
        <v>1355</v>
      </c>
      <c r="KC20" t="s">
        <v>733</v>
      </c>
      <c r="KD20" t="s">
        <v>1427</v>
      </c>
      <c r="KE20" t="s">
        <v>746</v>
      </c>
      <c r="KF20" t="s">
        <v>1428</v>
      </c>
      <c r="KG20" t="s">
        <v>746</v>
      </c>
      <c r="KH20" t="s">
        <v>1349</v>
      </c>
      <c r="KI20" t="s">
        <v>746</v>
      </c>
      <c r="KJ20" t="s">
        <v>1429</v>
      </c>
      <c r="KK20" t="s">
        <v>746</v>
      </c>
      <c r="KL20" t="s">
        <v>1430</v>
      </c>
      <c r="KM20" t="s">
        <v>733</v>
      </c>
      <c r="KN20" t="s">
        <v>1431</v>
      </c>
      <c r="KO20" t="s">
        <v>733</v>
      </c>
      <c r="KP20" t="s">
        <v>1423</v>
      </c>
      <c r="KQ20" t="s">
        <v>733</v>
      </c>
      <c r="KR20" t="s">
        <v>1423</v>
      </c>
      <c r="KS20" t="s">
        <v>733</v>
      </c>
      <c r="KT20" t="s">
        <v>1432</v>
      </c>
      <c r="KU20" t="s">
        <v>733</v>
      </c>
      <c r="KV20" t="s">
        <v>1433</v>
      </c>
      <c r="KW20" t="s">
        <v>733</v>
      </c>
      <c r="KX20" t="s">
        <v>1316</v>
      </c>
      <c r="KY20" t="s">
        <v>733</v>
      </c>
      <c r="KZ20" t="s">
        <v>1316</v>
      </c>
      <c r="LA20" t="s">
        <v>733</v>
      </c>
      <c r="LB20" t="s">
        <v>1316</v>
      </c>
      <c r="LC20" t="s">
        <v>733</v>
      </c>
      <c r="LD20" t="s">
        <v>1434</v>
      </c>
      <c r="LE20" t="s">
        <v>733</v>
      </c>
      <c r="LF20" t="s">
        <v>1316</v>
      </c>
      <c r="LG20" t="s">
        <v>733</v>
      </c>
      <c r="LH20" t="s">
        <v>1435</v>
      </c>
      <c r="LI20" t="s">
        <v>733</v>
      </c>
      <c r="LJ20" t="s">
        <v>1436</v>
      </c>
      <c r="LK20" t="s">
        <v>746</v>
      </c>
      <c r="LL20" t="s">
        <v>1437</v>
      </c>
      <c r="LM20" t="s">
        <v>733</v>
      </c>
      <c r="LN20" t="s">
        <v>1438</v>
      </c>
      <c r="LO20" t="s">
        <v>746</v>
      </c>
      <c r="LP20" t="s">
        <v>1439</v>
      </c>
      <c r="LQ20" t="s">
        <v>733</v>
      </c>
      <c r="LR20" t="s">
        <v>1435</v>
      </c>
      <c r="LS20" t="s">
        <v>733</v>
      </c>
      <c r="LT20" t="s">
        <v>1435</v>
      </c>
      <c r="LU20" t="s">
        <v>733</v>
      </c>
      <c r="LV20" t="s">
        <v>1440</v>
      </c>
      <c r="LW20" t="s">
        <v>733</v>
      </c>
      <c r="LX20" t="s">
        <v>1441</v>
      </c>
      <c r="LY20" t="s">
        <v>733</v>
      </c>
      <c r="LZ20" t="s">
        <v>1442</v>
      </c>
      <c r="MA20" t="s">
        <v>733</v>
      </c>
      <c r="MB20" t="s">
        <v>1440</v>
      </c>
      <c r="MC20" t="s">
        <v>733</v>
      </c>
      <c r="MD20" t="s">
        <v>1435</v>
      </c>
      <c r="ME20" t="s">
        <v>777</v>
      </c>
      <c r="MF20" t="s">
        <v>1443</v>
      </c>
      <c r="MG20" t="s">
        <v>733</v>
      </c>
      <c r="MH20" t="s">
        <v>1444</v>
      </c>
      <c r="MI20" t="s">
        <v>746</v>
      </c>
      <c r="MJ20" t="s">
        <v>1445</v>
      </c>
      <c r="MK20" t="s">
        <v>746</v>
      </c>
      <c r="ML20" t="s">
        <v>1446</v>
      </c>
      <c r="MO20" t="s">
        <v>783</v>
      </c>
      <c r="MP20" t="s">
        <v>784</v>
      </c>
      <c r="MQ20" t="s">
        <v>783</v>
      </c>
      <c r="MR20" t="s">
        <v>783</v>
      </c>
      <c r="MS20" t="s">
        <v>783</v>
      </c>
      <c r="MT20" t="s">
        <v>783</v>
      </c>
      <c r="MU20" t="s">
        <v>783</v>
      </c>
      <c r="MV20" t="s">
        <v>783</v>
      </c>
      <c r="MW20" t="s">
        <v>783</v>
      </c>
      <c r="MX20" t="s">
        <v>783</v>
      </c>
      <c r="MZ20" t="s">
        <v>783</v>
      </c>
      <c r="NA20" t="s">
        <v>783</v>
      </c>
      <c r="NB20" t="s">
        <v>783</v>
      </c>
      <c r="NC20" t="s">
        <v>783</v>
      </c>
      <c r="ND20" t="s">
        <v>783</v>
      </c>
      <c r="NE20" t="s">
        <v>783</v>
      </c>
      <c r="NF20" t="s">
        <v>783</v>
      </c>
      <c r="NG20" t="s">
        <v>783</v>
      </c>
      <c r="NH20" t="s">
        <v>783</v>
      </c>
      <c r="NI20" t="s">
        <v>783</v>
      </c>
      <c r="NJ20" t="s">
        <v>783</v>
      </c>
      <c r="NK20" t="s">
        <v>783</v>
      </c>
      <c r="NL20" t="s">
        <v>783</v>
      </c>
      <c r="NM20" t="s">
        <v>783</v>
      </c>
      <c r="NN20" t="s">
        <v>783</v>
      </c>
      <c r="NO20" t="s">
        <v>783</v>
      </c>
      <c r="NP20" t="s">
        <v>783</v>
      </c>
      <c r="NQ20" t="s">
        <v>783</v>
      </c>
      <c r="NR20" t="s">
        <v>783</v>
      </c>
      <c r="NS20" t="s">
        <v>784</v>
      </c>
      <c r="NT20" t="s">
        <v>783</v>
      </c>
      <c r="NU20" t="s">
        <v>783</v>
      </c>
      <c r="NV20" t="s">
        <v>783</v>
      </c>
      <c r="NW20" t="s">
        <v>784</v>
      </c>
      <c r="NX20" t="s">
        <v>783</v>
      </c>
      <c r="NY20" t="s">
        <v>783</v>
      </c>
      <c r="NZ20" t="s">
        <v>783</v>
      </c>
      <c r="OA20" t="s">
        <v>783</v>
      </c>
      <c r="OB20" t="s">
        <v>783</v>
      </c>
      <c r="OC20" t="s">
        <v>784</v>
      </c>
      <c r="OD20" t="s">
        <v>783</v>
      </c>
      <c r="OE20" t="s">
        <v>783</v>
      </c>
      <c r="OF20" t="s">
        <v>783</v>
      </c>
      <c r="OG20" t="s">
        <v>783</v>
      </c>
      <c r="OH20" t="s">
        <v>783</v>
      </c>
      <c r="OI20" t="s">
        <v>783</v>
      </c>
      <c r="OJ20" t="s">
        <v>783</v>
      </c>
    </row>
    <row r="21" spans="1:400" x14ac:dyDescent="0.25">
      <c r="A21">
        <v>17</v>
      </c>
      <c r="B21" t="s">
        <v>156</v>
      </c>
      <c r="C21" t="s">
        <v>157</v>
      </c>
      <c r="D21" t="s">
        <v>97</v>
      </c>
      <c r="E21">
        <v>35</v>
      </c>
      <c r="F21" t="s">
        <v>58</v>
      </c>
      <c r="G21" t="s">
        <v>59</v>
      </c>
      <c r="H21" t="s">
        <v>60</v>
      </c>
      <c r="I21" t="s">
        <v>61</v>
      </c>
      <c r="J21" t="s">
        <v>62</v>
      </c>
      <c r="K21" t="s">
        <v>63</v>
      </c>
      <c r="M21" t="s">
        <v>146</v>
      </c>
      <c r="N21" t="s">
        <v>70</v>
      </c>
      <c r="O21">
        <v>3</v>
      </c>
      <c r="P21" s="1">
        <v>100000</v>
      </c>
      <c r="Q21" s="1">
        <v>0</v>
      </c>
      <c r="R21" t="s">
        <v>316</v>
      </c>
      <c r="S21" s="7">
        <v>100000</v>
      </c>
      <c r="T21" t="s">
        <v>70</v>
      </c>
      <c r="U21" s="5">
        <v>0</v>
      </c>
      <c r="V21" s="3" t="s">
        <v>70</v>
      </c>
      <c r="W21" s="5">
        <v>0</v>
      </c>
      <c r="X21" t="s">
        <v>94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 t="s">
        <v>63</v>
      </c>
      <c r="AR21">
        <v>1</v>
      </c>
      <c r="AS21" s="2">
        <v>1.25</v>
      </c>
      <c r="AT21" t="s">
        <v>503</v>
      </c>
      <c r="AU21">
        <v>0</v>
      </c>
      <c r="AV21">
        <v>0</v>
      </c>
      <c r="AW21">
        <v>0</v>
      </c>
      <c r="AX21">
        <v>1</v>
      </c>
      <c r="AY21">
        <v>0</v>
      </c>
      <c r="AZ21" t="s">
        <v>535</v>
      </c>
      <c r="BA21" t="s">
        <v>511</v>
      </c>
      <c r="BC21" t="s">
        <v>515</v>
      </c>
      <c r="BD21" t="s">
        <v>507</v>
      </c>
      <c r="BE21">
        <v>2012</v>
      </c>
      <c r="BF21">
        <v>11</v>
      </c>
      <c r="BG21" t="s">
        <v>508</v>
      </c>
      <c r="BH21">
        <v>1</v>
      </c>
      <c r="BI21">
        <v>0</v>
      </c>
      <c r="BJ21">
        <v>0</v>
      </c>
      <c r="BK21">
        <v>0</v>
      </c>
      <c r="BL21">
        <v>0</v>
      </c>
      <c r="BM21" t="s">
        <v>84</v>
      </c>
      <c r="BN21" t="s">
        <v>84</v>
      </c>
      <c r="CL21" t="s">
        <v>3865</v>
      </c>
      <c r="CM21" t="s">
        <v>785</v>
      </c>
      <c r="CN21" t="s">
        <v>84</v>
      </c>
      <c r="CO21" t="s">
        <v>84</v>
      </c>
      <c r="CZ21" s="26"/>
      <c r="DA21" s="27"/>
      <c r="DB21" t="s">
        <v>976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J21" t="s">
        <v>84</v>
      </c>
      <c r="DK21" s="35"/>
      <c r="DL21" s="37"/>
      <c r="FI21" t="s">
        <v>736</v>
      </c>
      <c r="FJ21" t="s">
        <v>1447</v>
      </c>
      <c r="FK21" t="s">
        <v>736</v>
      </c>
      <c r="FL21" t="s">
        <v>1448</v>
      </c>
      <c r="FM21" t="s">
        <v>736</v>
      </c>
      <c r="FN21" t="s">
        <v>1449</v>
      </c>
      <c r="FO21" t="s">
        <v>736</v>
      </c>
      <c r="FP21" t="s">
        <v>1450</v>
      </c>
      <c r="FQ21" t="s">
        <v>736</v>
      </c>
      <c r="FR21" t="s">
        <v>1451</v>
      </c>
      <c r="FS21" t="s">
        <v>736</v>
      </c>
      <c r="FT21" t="s">
        <v>1452</v>
      </c>
      <c r="FU21" t="s">
        <v>736</v>
      </c>
      <c r="FV21" t="s">
        <v>1451</v>
      </c>
      <c r="FW21" t="s">
        <v>736</v>
      </c>
      <c r="FX21" t="s">
        <v>1453</v>
      </c>
      <c r="FY21" t="s">
        <v>736</v>
      </c>
      <c r="FZ21" t="s">
        <v>1454</v>
      </c>
      <c r="GA21" t="s">
        <v>736</v>
      </c>
      <c r="GB21" t="s">
        <v>1455</v>
      </c>
      <c r="GC21" t="s">
        <v>736</v>
      </c>
      <c r="GD21" t="s">
        <v>1453</v>
      </c>
      <c r="GE21" t="s">
        <v>736</v>
      </c>
      <c r="GF21" t="s">
        <v>1456</v>
      </c>
      <c r="GG21" t="s">
        <v>736</v>
      </c>
      <c r="GH21" t="s">
        <v>1451</v>
      </c>
      <c r="GI21" t="s">
        <v>736</v>
      </c>
      <c r="GJ21" t="s">
        <v>1453</v>
      </c>
      <c r="GK21" t="s">
        <v>736</v>
      </c>
      <c r="GL21" t="s">
        <v>1454</v>
      </c>
      <c r="GM21" t="s">
        <v>736</v>
      </c>
      <c r="GN21" t="s">
        <v>1457</v>
      </c>
      <c r="GO21" t="s">
        <v>736</v>
      </c>
      <c r="GP21" t="s">
        <v>1451</v>
      </c>
      <c r="GQ21" t="s">
        <v>736</v>
      </c>
      <c r="GR21" t="s">
        <v>1454</v>
      </c>
      <c r="GS21" t="s">
        <v>736</v>
      </c>
      <c r="GT21" t="s">
        <v>1451</v>
      </c>
      <c r="GU21" t="s">
        <v>736</v>
      </c>
      <c r="GV21" t="s">
        <v>1458</v>
      </c>
      <c r="GW21" t="s">
        <v>736</v>
      </c>
      <c r="GX21" t="s">
        <v>1452</v>
      </c>
      <c r="GY21" t="s">
        <v>736</v>
      </c>
      <c r="GZ21" t="s">
        <v>1453</v>
      </c>
      <c r="HA21" t="s">
        <v>736</v>
      </c>
      <c r="HB21" t="s">
        <v>1459</v>
      </c>
      <c r="HC21" t="s">
        <v>736</v>
      </c>
      <c r="HD21" t="s">
        <v>1460</v>
      </c>
      <c r="HE21" t="s">
        <v>798</v>
      </c>
      <c r="HF21" t="s">
        <v>1461</v>
      </c>
      <c r="HG21" t="s">
        <v>736</v>
      </c>
      <c r="HH21" t="s">
        <v>1451</v>
      </c>
      <c r="HI21" t="s">
        <v>736</v>
      </c>
      <c r="HJ21" t="s">
        <v>1453</v>
      </c>
      <c r="HK21" t="s">
        <v>736</v>
      </c>
      <c r="HL21" t="s">
        <v>1451</v>
      </c>
      <c r="HM21" t="s">
        <v>736</v>
      </c>
      <c r="HN21" t="s">
        <v>1460</v>
      </c>
      <c r="HO21" t="s">
        <v>736</v>
      </c>
      <c r="HP21" t="s">
        <v>1457</v>
      </c>
      <c r="HQ21" t="s">
        <v>736</v>
      </c>
      <c r="HR21" t="s">
        <v>1453</v>
      </c>
      <c r="HS21" t="s">
        <v>736</v>
      </c>
      <c r="HT21" t="s">
        <v>1461</v>
      </c>
      <c r="HU21" t="s">
        <v>736</v>
      </c>
      <c r="HV21" t="s">
        <v>1456</v>
      </c>
      <c r="HW21" t="s">
        <v>736</v>
      </c>
      <c r="HX21" t="s">
        <v>1459</v>
      </c>
      <c r="HY21" t="s">
        <v>736</v>
      </c>
      <c r="HZ21" t="s">
        <v>1462</v>
      </c>
      <c r="IA21" t="s">
        <v>736</v>
      </c>
      <c r="IB21" t="s">
        <v>1452</v>
      </c>
      <c r="IC21" t="s">
        <v>736</v>
      </c>
      <c r="ID21" t="s">
        <v>1460</v>
      </c>
      <c r="IE21" t="s">
        <v>736</v>
      </c>
      <c r="IF21" t="s">
        <v>1460</v>
      </c>
      <c r="IG21" t="s">
        <v>736</v>
      </c>
      <c r="IH21" t="s">
        <v>1463</v>
      </c>
      <c r="II21" t="s">
        <v>736</v>
      </c>
      <c r="IJ21" t="s">
        <v>1460</v>
      </c>
      <c r="IK21" t="s">
        <v>736</v>
      </c>
      <c r="IL21" t="s">
        <v>1460</v>
      </c>
      <c r="IM21" t="s">
        <v>736</v>
      </c>
      <c r="IN21" t="s">
        <v>1462</v>
      </c>
      <c r="IO21" t="s">
        <v>736</v>
      </c>
      <c r="IP21" t="s">
        <v>1464</v>
      </c>
      <c r="IQ21" t="s">
        <v>736</v>
      </c>
      <c r="IR21" t="s">
        <v>1457</v>
      </c>
      <c r="IS21" t="s">
        <v>736</v>
      </c>
      <c r="IT21" t="s">
        <v>1465</v>
      </c>
      <c r="IU21" t="s">
        <v>736</v>
      </c>
      <c r="IV21" t="s">
        <v>1465</v>
      </c>
      <c r="IW21" t="s">
        <v>736</v>
      </c>
      <c r="IX21" t="s">
        <v>1464</v>
      </c>
      <c r="IY21" t="s">
        <v>736</v>
      </c>
      <c r="IZ21" t="s">
        <v>1465</v>
      </c>
      <c r="JA21" t="s">
        <v>736</v>
      </c>
      <c r="JB21" t="s">
        <v>1466</v>
      </c>
      <c r="JC21" t="s">
        <v>736</v>
      </c>
      <c r="JD21" t="s">
        <v>1467</v>
      </c>
      <c r="JE21" t="s">
        <v>736</v>
      </c>
      <c r="JF21" t="s">
        <v>1375</v>
      </c>
      <c r="JG21" t="s">
        <v>736</v>
      </c>
      <c r="JH21" t="s">
        <v>1448</v>
      </c>
      <c r="JI21" t="s">
        <v>736</v>
      </c>
      <c r="JJ21" t="s">
        <v>1468</v>
      </c>
      <c r="JK21" t="s">
        <v>736</v>
      </c>
      <c r="JL21" t="s">
        <v>1468</v>
      </c>
      <c r="JM21" t="s">
        <v>736</v>
      </c>
      <c r="JN21" t="s">
        <v>1469</v>
      </c>
      <c r="JO21" t="s">
        <v>736</v>
      </c>
      <c r="JP21" t="s">
        <v>1469</v>
      </c>
      <c r="JQ21" t="s">
        <v>736</v>
      </c>
      <c r="JR21" t="s">
        <v>1375</v>
      </c>
      <c r="JS21" t="s">
        <v>736</v>
      </c>
      <c r="JT21" t="s">
        <v>1468</v>
      </c>
      <c r="JU21" t="s">
        <v>736</v>
      </c>
      <c r="JV21" t="s">
        <v>1469</v>
      </c>
      <c r="JW21" t="s">
        <v>736</v>
      </c>
      <c r="JX21" t="s">
        <v>1449</v>
      </c>
      <c r="JY21" t="s">
        <v>736</v>
      </c>
      <c r="JZ21" t="s">
        <v>1470</v>
      </c>
      <c r="KA21" t="s">
        <v>736</v>
      </c>
      <c r="KB21" t="s">
        <v>1471</v>
      </c>
      <c r="KC21" t="s">
        <v>736</v>
      </c>
      <c r="KD21" t="s">
        <v>1375</v>
      </c>
      <c r="KE21" t="s">
        <v>736</v>
      </c>
      <c r="KF21" t="s">
        <v>1449</v>
      </c>
      <c r="KG21" t="s">
        <v>736</v>
      </c>
      <c r="KH21" t="s">
        <v>1448</v>
      </c>
      <c r="KI21" t="s">
        <v>736</v>
      </c>
      <c r="KJ21" t="s">
        <v>1472</v>
      </c>
      <c r="KK21" t="s">
        <v>736</v>
      </c>
      <c r="KL21" t="s">
        <v>1448</v>
      </c>
      <c r="KM21" t="s">
        <v>736</v>
      </c>
      <c r="KN21" t="s">
        <v>1448</v>
      </c>
      <c r="KO21" t="s">
        <v>736</v>
      </c>
      <c r="KP21" t="s">
        <v>1469</v>
      </c>
      <c r="KQ21" t="s">
        <v>736</v>
      </c>
      <c r="KR21" t="s">
        <v>1473</v>
      </c>
      <c r="KS21" t="s">
        <v>736</v>
      </c>
      <c r="KT21" t="s">
        <v>1474</v>
      </c>
      <c r="KU21" t="s">
        <v>736</v>
      </c>
      <c r="KV21" t="s">
        <v>1475</v>
      </c>
      <c r="KW21" t="s">
        <v>736</v>
      </c>
      <c r="KX21" t="s">
        <v>1476</v>
      </c>
      <c r="KY21" t="s">
        <v>736</v>
      </c>
      <c r="KZ21" t="s">
        <v>1477</v>
      </c>
      <c r="LA21" t="s">
        <v>736</v>
      </c>
      <c r="LB21" t="s">
        <v>1468</v>
      </c>
      <c r="LC21" t="s">
        <v>736</v>
      </c>
      <c r="LD21" t="s">
        <v>1449</v>
      </c>
      <c r="LE21" t="s">
        <v>736</v>
      </c>
      <c r="LF21" t="s">
        <v>1448</v>
      </c>
      <c r="LG21" t="s">
        <v>736</v>
      </c>
      <c r="LH21" t="s">
        <v>1468</v>
      </c>
      <c r="LI21" t="s">
        <v>736</v>
      </c>
      <c r="LJ21" t="s">
        <v>1468</v>
      </c>
      <c r="LK21" t="s">
        <v>736</v>
      </c>
      <c r="LL21" t="s">
        <v>1478</v>
      </c>
      <c r="LM21" t="s">
        <v>736</v>
      </c>
      <c r="LN21" t="s">
        <v>1478</v>
      </c>
      <c r="LO21" t="s">
        <v>736</v>
      </c>
      <c r="LP21" t="s">
        <v>1479</v>
      </c>
      <c r="LQ21" t="s">
        <v>736</v>
      </c>
      <c r="LR21" t="s">
        <v>1468</v>
      </c>
      <c r="LS21" t="s">
        <v>736</v>
      </c>
      <c r="LT21" t="s">
        <v>1480</v>
      </c>
      <c r="LU21" t="s">
        <v>736</v>
      </c>
      <c r="LV21" t="s">
        <v>1481</v>
      </c>
      <c r="LW21" t="s">
        <v>736</v>
      </c>
      <c r="LX21" t="s">
        <v>1482</v>
      </c>
      <c r="LY21" t="s">
        <v>736</v>
      </c>
      <c r="LZ21" t="s">
        <v>1483</v>
      </c>
      <c r="MA21" t="s">
        <v>736</v>
      </c>
      <c r="MB21" t="s">
        <v>1483</v>
      </c>
      <c r="MC21" t="s">
        <v>736</v>
      </c>
      <c r="MD21" t="s">
        <v>1483</v>
      </c>
      <c r="ME21" t="s">
        <v>736</v>
      </c>
      <c r="MF21" t="s">
        <v>1483</v>
      </c>
      <c r="MG21" t="s">
        <v>736</v>
      </c>
      <c r="MH21" t="s">
        <v>1483</v>
      </c>
      <c r="MI21" t="s">
        <v>736</v>
      </c>
      <c r="MJ21" t="s">
        <v>1483</v>
      </c>
      <c r="MK21" t="s">
        <v>736</v>
      </c>
      <c r="ML21" t="s">
        <v>1483</v>
      </c>
      <c r="MO21" t="s">
        <v>783</v>
      </c>
      <c r="MP21" t="s">
        <v>783</v>
      </c>
      <c r="MQ21" t="s">
        <v>781</v>
      </c>
      <c r="MR21" t="s">
        <v>783</v>
      </c>
      <c r="MS21" t="s">
        <v>783</v>
      </c>
      <c r="MT21" t="s">
        <v>783</v>
      </c>
      <c r="MU21" t="s">
        <v>783</v>
      </c>
      <c r="MV21" t="s">
        <v>783</v>
      </c>
      <c r="MW21" t="s">
        <v>783</v>
      </c>
      <c r="MX21" t="s">
        <v>783</v>
      </c>
      <c r="MZ21" t="s">
        <v>783</v>
      </c>
      <c r="NA21" t="s">
        <v>783</v>
      </c>
      <c r="NB21" t="s">
        <v>783</v>
      </c>
      <c r="NC21" t="s">
        <v>783</v>
      </c>
      <c r="ND21" t="s">
        <v>784</v>
      </c>
      <c r="NE21" t="s">
        <v>784</v>
      </c>
      <c r="NF21" t="s">
        <v>784</v>
      </c>
      <c r="NG21" t="s">
        <v>783</v>
      </c>
      <c r="NH21" t="s">
        <v>784</v>
      </c>
      <c r="NI21" t="s">
        <v>783</v>
      </c>
      <c r="NJ21" t="s">
        <v>783</v>
      </c>
      <c r="NK21" t="s">
        <v>783</v>
      </c>
      <c r="NL21" t="s">
        <v>783</v>
      </c>
      <c r="NM21" t="s">
        <v>783</v>
      </c>
      <c r="NN21" t="s">
        <v>784</v>
      </c>
      <c r="NO21" t="s">
        <v>784</v>
      </c>
      <c r="NP21" t="s">
        <v>784</v>
      </c>
      <c r="NQ21" t="s">
        <v>783</v>
      </c>
      <c r="NR21" t="s">
        <v>783</v>
      </c>
      <c r="NS21" t="s">
        <v>783</v>
      </c>
      <c r="NT21" t="s">
        <v>783</v>
      </c>
      <c r="NU21" t="s">
        <v>783</v>
      </c>
      <c r="NV21" t="s">
        <v>783</v>
      </c>
      <c r="NW21" t="s">
        <v>784</v>
      </c>
      <c r="NX21" t="s">
        <v>784</v>
      </c>
      <c r="NY21" t="s">
        <v>784</v>
      </c>
      <c r="NZ21" t="s">
        <v>783</v>
      </c>
      <c r="OA21" t="s">
        <v>783</v>
      </c>
      <c r="OB21" t="s">
        <v>784</v>
      </c>
      <c r="OC21" t="s">
        <v>784</v>
      </c>
      <c r="OD21" t="s">
        <v>783</v>
      </c>
      <c r="OE21" t="s">
        <v>783</v>
      </c>
      <c r="OF21" t="s">
        <v>783</v>
      </c>
      <c r="OG21" t="s">
        <v>783</v>
      </c>
      <c r="OH21" t="s">
        <v>783</v>
      </c>
      <c r="OI21" t="s">
        <v>783</v>
      </c>
      <c r="OJ21" t="s">
        <v>783</v>
      </c>
    </row>
    <row r="22" spans="1:400" x14ac:dyDescent="0.25">
      <c r="A22">
        <v>18</v>
      </c>
      <c r="B22" t="s">
        <v>158</v>
      </c>
      <c r="C22" t="s">
        <v>159</v>
      </c>
      <c r="D22" t="s">
        <v>97</v>
      </c>
      <c r="E22">
        <v>31</v>
      </c>
      <c r="F22" t="s">
        <v>481</v>
      </c>
      <c r="G22" t="s">
        <v>76</v>
      </c>
      <c r="H22" t="s">
        <v>60</v>
      </c>
      <c r="I22" t="s">
        <v>88</v>
      </c>
      <c r="J22" t="s">
        <v>62</v>
      </c>
      <c r="K22" t="s">
        <v>84</v>
      </c>
      <c r="L22" t="s">
        <v>98</v>
      </c>
      <c r="M22" t="s">
        <v>160</v>
      </c>
      <c r="N22" t="s">
        <v>70</v>
      </c>
      <c r="O22">
        <v>4</v>
      </c>
      <c r="P22" s="1">
        <v>55000</v>
      </c>
      <c r="Q22" s="1">
        <v>0</v>
      </c>
      <c r="R22" t="s">
        <v>162</v>
      </c>
      <c r="S22" s="7">
        <v>900000</v>
      </c>
      <c r="T22" t="s">
        <v>70</v>
      </c>
      <c r="U22" s="5">
        <v>0</v>
      </c>
      <c r="V22" s="3" t="s">
        <v>70</v>
      </c>
      <c r="W22" s="5">
        <v>0</v>
      </c>
      <c r="X22" t="s">
        <v>94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 t="s">
        <v>63</v>
      </c>
      <c r="AR22">
        <v>1</v>
      </c>
      <c r="AS22" s="2">
        <v>0.25</v>
      </c>
      <c r="AT22" t="s">
        <v>531</v>
      </c>
      <c r="AU22">
        <v>0</v>
      </c>
      <c r="AV22">
        <v>0</v>
      </c>
      <c r="AW22">
        <v>1</v>
      </c>
      <c r="AX22">
        <v>0</v>
      </c>
      <c r="AY22">
        <v>0</v>
      </c>
      <c r="AZ22" t="s">
        <v>536</v>
      </c>
      <c r="BA22" t="s">
        <v>511</v>
      </c>
      <c r="BC22" t="s">
        <v>512</v>
      </c>
      <c r="BD22" t="s">
        <v>507</v>
      </c>
      <c r="BE22">
        <v>2000</v>
      </c>
      <c r="BF22">
        <v>23</v>
      </c>
      <c r="BG22" t="s">
        <v>508</v>
      </c>
      <c r="BH22">
        <v>1</v>
      </c>
      <c r="BI22">
        <v>0</v>
      </c>
      <c r="BJ22">
        <v>0</v>
      </c>
      <c r="BK22">
        <v>0</v>
      </c>
      <c r="BL22">
        <v>0</v>
      </c>
      <c r="BM22" t="s">
        <v>63</v>
      </c>
      <c r="BN22" t="s">
        <v>84</v>
      </c>
      <c r="CL22" t="s">
        <v>3884</v>
      </c>
      <c r="CM22" t="s">
        <v>785</v>
      </c>
      <c r="CN22" t="s">
        <v>63</v>
      </c>
      <c r="CO22" t="s">
        <v>84</v>
      </c>
      <c r="CZ22" s="26"/>
      <c r="DA22" s="27"/>
      <c r="DB22" t="s">
        <v>976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J22" t="s">
        <v>84</v>
      </c>
      <c r="DK22" s="35"/>
      <c r="DL22" s="37"/>
      <c r="FI22" t="s">
        <v>733</v>
      </c>
      <c r="FJ22" t="s">
        <v>1484</v>
      </c>
      <c r="FK22" t="s">
        <v>746</v>
      </c>
      <c r="FL22" t="s">
        <v>1485</v>
      </c>
      <c r="FM22" t="s">
        <v>736</v>
      </c>
      <c r="FN22" t="s">
        <v>1486</v>
      </c>
      <c r="FO22" t="s">
        <v>733</v>
      </c>
      <c r="FP22" t="s">
        <v>1487</v>
      </c>
      <c r="FQ22" t="s">
        <v>736</v>
      </c>
      <c r="FR22" t="s">
        <v>1488</v>
      </c>
      <c r="FS22" t="s">
        <v>733</v>
      </c>
      <c r="FT22" t="s">
        <v>1489</v>
      </c>
      <c r="FU22" t="s">
        <v>733</v>
      </c>
      <c r="FV22" t="s">
        <v>1490</v>
      </c>
      <c r="FW22" t="s">
        <v>733</v>
      </c>
      <c r="FX22" t="s">
        <v>1491</v>
      </c>
      <c r="FY22" t="s">
        <v>746</v>
      </c>
      <c r="FZ22" t="s">
        <v>1492</v>
      </c>
      <c r="GA22" t="s">
        <v>746</v>
      </c>
      <c r="GB22" t="s">
        <v>1493</v>
      </c>
      <c r="GC22" t="s">
        <v>736</v>
      </c>
      <c r="GD22" t="s">
        <v>1494</v>
      </c>
      <c r="GE22" t="s">
        <v>736</v>
      </c>
      <c r="GF22" t="s">
        <v>1495</v>
      </c>
      <c r="GG22" t="s">
        <v>746</v>
      </c>
      <c r="GH22" t="s">
        <v>1496</v>
      </c>
      <c r="GI22" t="s">
        <v>746</v>
      </c>
      <c r="GJ22" t="s">
        <v>1497</v>
      </c>
      <c r="GK22" t="s">
        <v>733</v>
      </c>
      <c r="GL22" t="s">
        <v>1498</v>
      </c>
      <c r="GM22" t="s">
        <v>746</v>
      </c>
      <c r="GN22" t="s">
        <v>1499</v>
      </c>
      <c r="GO22" t="s">
        <v>746</v>
      </c>
      <c r="GP22" t="s">
        <v>1500</v>
      </c>
      <c r="GQ22" t="s">
        <v>746</v>
      </c>
      <c r="GR22" t="s">
        <v>1501</v>
      </c>
      <c r="GS22" t="s">
        <v>733</v>
      </c>
      <c r="GT22" t="s">
        <v>1502</v>
      </c>
      <c r="GU22" t="s">
        <v>733</v>
      </c>
      <c r="GV22" t="s">
        <v>1503</v>
      </c>
      <c r="GW22" t="s">
        <v>736</v>
      </c>
      <c r="GX22" t="s">
        <v>1504</v>
      </c>
      <c r="GY22" t="s">
        <v>746</v>
      </c>
      <c r="GZ22" t="s">
        <v>1505</v>
      </c>
      <c r="HA22" t="s">
        <v>736</v>
      </c>
      <c r="HB22" t="s">
        <v>1506</v>
      </c>
      <c r="HC22" t="s">
        <v>736</v>
      </c>
      <c r="HD22" t="s">
        <v>1504</v>
      </c>
      <c r="HE22" t="s">
        <v>798</v>
      </c>
      <c r="HF22" t="s">
        <v>1504</v>
      </c>
      <c r="HG22" t="s">
        <v>736</v>
      </c>
      <c r="HH22" t="s">
        <v>1504</v>
      </c>
      <c r="HI22" t="s">
        <v>736</v>
      </c>
      <c r="HJ22" t="s">
        <v>1507</v>
      </c>
      <c r="HL22" t="s">
        <v>938</v>
      </c>
      <c r="HN22" t="s">
        <v>938</v>
      </c>
      <c r="HP22" t="s">
        <v>938</v>
      </c>
      <c r="HR22" t="s">
        <v>938</v>
      </c>
      <c r="HS22" t="s">
        <v>736</v>
      </c>
      <c r="HT22" t="s">
        <v>1504</v>
      </c>
      <c r="HU22" t="s">
        <v>736</v>
      </c>
      <c r="HV22" t="s">
        <v>1508</v>
      </c>
      <c r="HW22" t="s">
        <v>746</v>
      </c>
      <c r="HX22" t="s">
        <v>1509</v>
      </c>
      <c r="HY22" t="s">
        <v>746</v>
      </c>
      <c r="HZ22" t="s">
        <v>1510</v>
      </c>
      <c r="IA22" t="s">
        <v>736</v>
      </c>
      <c r="IB22" t="s">
        <v>1511</v>
      </c>
      <c r="IC22" t="s">
        <v>736</v>
      </c>
      <c r="ID22" t="s">
        <v>1512</v>
      </c>
      <c r="IE22" t="s">
        <v>736</v>
      </c>
      <c r="IF22" t="s">
        <v>1504</v>
      </c>
      <c r="IG22" t="s">
        <v>736</v>
      </c>
      <c r="IH22" t="s">
        <v>1504</v>
      </c>
      <c r="II22" t="s">
        <v>736</v>
      </c>
      <c r="IJ22" t="s">
        <v>1512</v>
      </c>
      <c r="IK22" t="s">
        <v>736</v>
      </c>
      <c r="IL22" t="s">
        <v>1513</v>
      </c>
      <c r="IM22" t="s">
        <v>746</v>
      </c>
      <c r="IN22" t="s">
        <v>1514</v>
      </c>
      <c r="IO22" t="s">
        <v>746</v>
      </c>
      <c r="IP22" t="s">
        <v>1515</v>
      </c>
      <c r="IQ22" t="s">
        <v>746</v>
      </c>
      <c r="IR22" t="s">
        <v>1516</v>
      </c>
      <c r="IS22" t="s">
        <v>746</v>
      </c>
      <c r="IT22" t="s">
        <v>1517</v>
      </c>
      <c r="IU22" t="s">
        <v>746</v>
      </c>
      <c r="IV22" t="s">
        <v>1518</v>
      </c>
      <c r="IW22" t="s">
        <v>746</v>
      </c>
      <c r="IX22" t="s">
        <v>1518</v>
      </c>
      <c r="IY22" t="s">
        <v>746</v>
      </c>
      <c r="IZ22" t="s">
        <v>1518</v>
      </c>
      <c r="JA22" t="s">
        <v>746</v>
      </c>
      <c r="JB22" t="s">
        <v>1518</v>
      </c>
      <c r="JC22" t="s">
        <v>746</v>
      </c>
      <c r="JD22" t="s">
        <v>1518</v>
      </c>
      <c r="JE22" t="s">
        <v>746</v>
      </c>
      <c r="JF22" t="s">
        <v>1518</v>
      </c>
      <c r="JH22" t="s">
        <v>938</v>
      </c>
      <c r="JJ22" t="s">
        <v>938</v>
      </c>
      <c r="JL22" t="s">
        <v>938</v>
      </c>
      <c r="JN22" t="s">
        <v>938</v>
      </c>
      <c r="JP22" t="s">
        <v>938</v>
      </c>
      <c r="JR22" t="s">
        <v>938</v>
      </c>
      <c r="JS22" t="s">
        <v>746</v>
      </c>
      <c r="JT22" t="s">
        <v>1518</v>
      </c>
      <c r="JU22" t="s">
        <v>746</v>
      </c>
      <c r="JV22" t="s">
        <v>1519</v>
      </c>
      <c r="JW22" t="s">
        <v>746</v>
      </c>
      <c r="JX22" t="s">
        <v>1518</v>
      </c>
      <c r="JY22" t="s">
        <v>746</v>
      </c>
      <c r="JZ22" t="s">
        <v>1520</v>
      </c>
      <c r="KB22" t="s">
        <v>938</v>
      </c>
      <c r="KD22" t="s">
        <v>938</v>
      </c>
      <c r="KE22" t="s">
        <v>746</v>
      </c>
      <c r="KF22" t="s">
        <v>1521</v>
      </c>
      <c r="KG22" t="s">
        <v>746</v>
      </c>
      <c r="KH22" t="s">
        <v>1518</v>
      </c>
      <c r="KI22" t="s">
        <v>746</v>
      </c>
      <c r="KJ22" t="s">
        <v>1518</v>
      </c>
      <c r="KK22" t="s">
        <v>746</v>
      </c>
      <c r="KL22" t="s">
        <v>1518</v>
      </c>
      <c r="KM22" t="s">
        <v>746</v>
      </c>
      <c r="KN22" t="s">
        <v>1518</v>
      </c>
      <c r="KO22" t="s">
        <v>746</v>
      </c>
      <c r="KP22" t="s">
        <v>1522</v>
      </c>
      <c r="KQ22" t="s">
        <v>746</v>
      </c>
      <c r="KR22" t="s">
        <v>1510</v>
      </c>
      <c r="KS22" t="s">
        <v>746</v>
      </c>
      <c r="KT22" t="s">
        <v>1518</v>
      </c>
      <c r="KU22" t="s">
        <v>746</v>
      </c>
      <c r="KV22" t="s">
        <v>1510</v>
      </c>
      <c r="KW22" t="s">
        <v>746</v>
      </c>
      <c r="KX22" t="s">
        <v>1523</v>
      </c>
      <c r="KY22" t="s">
        <v>746</v>
      </c>
      <c r="KZ22" t="s">
        <v>1524</v>
      </c>
      <c r="LA22" t="s">
        <v>746</v>
      </c>
      <c r="LB22" t="s">
        <v>1525</v>
      </c>
      <c r="LC22" t="s">
        <v>746</v>
      </c>
      <c r="LD22" t="s">
        <v>1526</v>
      </c>
      <c r="LE22" t="s">
        <v>746</v>
      </c>
      <c r="LF22" t="s">
        <v>1527</v>
      </c>
      <c r="LG22" t="s">
        <v>746</v>
      </c>
      <c r="LH22" t="s">
        <v>1528</v>
      </c>
      <c r="LI22" t="s">
        <v>746</v>
      </c>
      <c r="LJ22" t="s">
        <v>1529</v>
      </c>
      <c r="LK22" t="s">
        <v>746</v>
      </c>
      <c r="LL22" t="s">
        <v>1530</v>
      </c>
      <c r="LM22" t="s">
        <v>746</v>
      </c>
      <c r="LN22" t="s">
        <v>1531</v>
      </c>
      <c r="LO22" t="s">
        <v>746</v>
      </c>
      <c r="LP22" t="s">
        <v>1532</v>
      </c>
      <c r="LQ22" t="s">
        <v>746</v>
      </c>
      <c r="LR22" t="s">
        <v>1533</v>
      </c>
      <c r="LS22" t="s">
        <v>746</v>
      </c>
      <c r="LT22" t="s">
        <v>1534</v>
      </c>
      <c r="LU22" t="s">
        <v>746</v>
      </c>
      <c r="LV22" t="s">
        <v>1535</v>
      </c>
      <c r="LW22" t="s">
        <v>733</v>
      </c>
      <c r="LX22" t="s">
        <v>1502</v>
      </c>
      <c r="LY22" t="s">
        <v>733</v>
      </c>
      <c r="LZ22" t="s">
        <v>1536</v>
      </c>
      <c r="MA22" t="s">
        <v>733</v>
      </c>
      <c r="MB22" t="s">
        <v>1537</v>
      </c>
      <c r="MC22" t="s">
        <v>733</v>
      </c>
      <c r="MD22" t="s">
        <v>1538</v>
      </c>
      <c r="ME22" t="s">
        <v>733</v>
      </c>
      <c r="MF22" t="s">
        <v>1539</v>
      </c>
      <c r="MG22" t="s">
        <v>733</v>
      </c>
      <c r="MH22" t="s">
        <v>1540</v>
      </c>
      <c r="MI22" t="s">
        <v>746</v>
      </c>
      <c r="MJ22" t="s">
        <v>1541</v>
      </c>
      <c r="MK22" t="s">
        <v>746</v>
      </c>
      <c r="ML22" t="s">
        <v>1542</v>
      </c>
      <c r="MM22" t="s">
        <v>1543</v>
      </c>
      <c r="MO22" t="s">
        <v>783</v>
      </c>
      <c r="MP22" t="s">
        <v>783</v>
      </c>
      <c r="MQ22" t="s">
        <v>783</v>
      </c>
      <c r="MR22" t="s">
        <v>783</v>
      </c>
      <c r="MS22" t="s">
        <v>783</v>
      </c>
      <c r="MT22" t="s">
        <v>783</v>
      </c>
      <c r="MU22" t="s">
        <v>783</v>
      </c>
      <c r="MV22" t="s">
        <v>783</v>
      </c>
      <c r="MW22" t="s">
        <v>783</v>
      </c>
      <c r="MX22" t="s">
        <v>783</v>
      </c>
      <c r="MZ22" t="s">
        <v>783</v>
      </c>
      <c r="NA22" t="s">
        <v>783</v>
      </c>
      <c r="NB22" t="s">
        <v>783</v>
      </c>
      <c r="NC22" t="s">
        <v>783</v>
      </c>
      <c r="ND22" t="s">
        <v>783</v>
      </c>
      <c r="NE22" t="s">
        <v>784</v>
      </c>
      <c r="NF22" t="s">
        <v>783</v>
      </c>
      <c r="NG22" t="s">
        <v>783</v>
      </c>
      <c r="NH22" t="s">
        <v>783</v>
      </c>
      <c r="NI22" t="s">
        <v>783</v>
      </c>
      <c r="NJ22" t="s">
        <v>783</v>
      </c>
      <c r="NK22" t="s">
        <v>783</v>
      </c>
      <c r="NL22" t="s">
        <v>783</v>
      </c>
      <c r="NM22" t="s">
        <v>783</v>
      </c>
      <c r="NN22" t="s">
        <v>784</v>
      </c>
      <c r="NO22" t="s">
        <v>784</v>
      </c>
      <c r="NP22" t="s">
        <v>783</v>
      </c>
      <c r="NQ22" t="s">
        <v>783</v>
      </c>
      <c r="NR22" t="s">
        <v>783</v>
      </c>
      <c r="NS22" t="s">
        <v>783</v>
      </c>
      <c r="NT22" t="s">
        <v>784</v>
      </c>
      <c r="NU22" t="s">
        <v>783</v>
      </c>
      <c r="NV22" t="s">
        <v>784</v>
      </c>
      <c r="NW22" t="s">
        <v>784</v>
      </c>
      <c r="NX22" t="s">
        <v>783</v>
      </c>
      <c r="NY22" t="s">
        <v>784</v>
      </c>
      <c r="NZ22" t="s">
        <v>783</v>
      </c>
      <c r="OA22" t="s">
        <v>783</v>
      </c>
      <c r="OB22" t="s">
        <v>784</v>
      </c>
      <c r="OC22" t="s">
        <v>784</v>
      </c>
      <c r="OD22" t="s">
        <v>783</v>
      </c>
      <c r="OE22" t="s">
        <v>783</v>
      </c>
      <c r="OF22" t="s">
        <v>783</v>
      </c>
      <c r="OG22" t="s">
        <v>783</v>
      </c>
      <c r="OH22" t="s">
        <v>783</v>
      </c>
      <c r="OI22" t="s">
        <v>783</v>
      </c>
      <c r="OJ22" t="s">
        <v>783</v>
      </c>
    </row>
    <row r="23" spans="1:400" x14ac:dyDescent="0.25">
      <c r="A23">
        <v>19</v>
      </c>
      <c r="B23" t="s">
        <v>163</v>
      </c>
      <c r="C23" t="s">
        <v>164</v>
      </c>
      <c r="D23" t="s">
        <v>97</v>
      </c>
      <c r="E23">
        <v>31</v>
      </c>
      <c r="F23" t="s">
        <v>58</v>
      </c>
      <c r="G23" t="s">
        <v>59</v>
      </c>
      <c r="H23" t="s">
        <v>60</v>
      </c>
      <c r="I23" t="s">
        <v>113</v>
      </c>
      <c r="J23" t="s">
        <v>62</v>
      </c>
      <c r="K23" t="s">
        <v>84</v>
      </c>
      <c r="L23" t="s">
        <v>98</v>
      </c>
      <c r="M23" t="s">
        <v>146</v>
      </c>
      <c r="N23" t="s">
        <v>70</v>
      </c>
      <c r="O23">
        <v>4</v>
      </c>
      <c r="P23" s="1">
        <v>50000</v>
      </c>
      <c r="Q23" s="1">
        <v>0</v>
      </c>
      <c r="R23" t="s">
        <v>70</v>
      </c>
      <c r="S23" s="7">
        <v>50000</v>
      </c>
      <c r="T23" t="s">
        <v>81</v>
      </c>
      <c r="U23" s="5">
        <v>50000</v>
      </c>
      <c r="V23" s="3" t="s">
        <v>70</v>
      </c>
      <c r="W23" s="5">
        <v>0</v>
      </c>
      <c r="X23" t="s">
        <v>94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 t="s">
        <v>63</v>
      </c>
      <c r="AR23">
        <v>1</v>
      </c>
      <c r="AS23" s="2">
        <v>0.1875</v>
      </c>
      <c r="AT23" t="s">
        <v>503</v>
      </c>
      <c r="AU23">
        <v>0</v>
      </c>
      <c r="AV23">
        <v>0</v>
      </c>
      <c r="AW23">
        <v>0</v>
      </c>
      <c r="AX23">
        <v>1</v>
      </c>
      <c r="AY23">
        <v>0</v>
      </c>
      <c r="AZ23" t="s">
        <v>162</v>
      </c>
      <c r="BA23" t="s">
        <v>71</v>
      </c>
      <c r="BB23" t="s">
        <v>521</v>
      </c>
      <c r="BC23" t="s">
        <v>521</v>
      </c>
      <c r="BD23" t="s">
        <v>521</v>
      </c>
      <c r="BE23">
        <v>2010</v>
      </c>
      <c r="BF23">
        <v>13</v>
      </c>
      <c r="BG23" t="s">
        <v>508</v>
      </c>
      <c r="BH23">
        <v>1</v>
      </c>
      <c r="BI23">
        <v>0</v>
      </c>
      <c r="BJ23">
        <v>0</v>
      </c>
      <c r="BK23">
        <v>0</v>
      </c>
      <c r="BL23">
        <v>0</v>
      </c>
      <c r="BM23" t="s">
        <v>63</v>
      </c>
      <c r="BN23" t="s">
        <v>63</v>
      </c>
      <c r="BO23" t="s">
        <v>3875</v>
      </c>
      <c r="BP23" t="s">
        <v>3845</v>
      </c>
      <c r="BR23" t="s">
        <v>3876</v>
      </c>
      <c r="BS23" t="s">
        <v>3838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CA23" t="s">
        <v>3839</v>
      </c>
      <c r="CC23" t="s">
        <v>3877</v>
      </c>
      <c r="CD23" t="s">
        <v>3841</v>
      </c>
      <c r="CE23" t="s">
        <v>3867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N23" t="s">
        <v>63</v>
      </c>
      <c r="CO23" t="s">
        <v>732</v>
      </c>
      <c r="CP23" t="s">
        <v>3976</v>
      </c>
      <c r="CQ23" t="s">
        <v>2996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 t="s">
        <v>3977</v>
      </c>
      <c r="CY23" t="s">
        <v>3912</v>
      </c>
      <c r="CZ23" s="26" t="s">
        <v>3978</v>
      </c>
      <c r="DA23" s="27"/>
      <c r="DJ23" t="s">
        <v>84</v>
      </c>
      <c r="DK23" s="35"/>
      <c r="DL23" s="37"/>
      <c r="FI23" t="s">
        <v>733</v>
      </c>
      <c r="FJ23" t="s">
        <v>1544</v>
      </c>
      <c r="FK23" t="s">
        <v>736</v>
      </c>
      <c r="FL23" t="s">
        <v>1545</v>
      </c>
      <c r="FM23" t="s">
        <v>733</v>
      </c>
      <c r="FN23" t="s">
        <v>817</v>
      </c>
      <c r="FO23" t="s">
        <v>733</v>
      </c>
      <c r="FP23" t="s">
        <v>1546</v>
      </c>
      <c r="FQ23" t="s">
        <v>736</v>
      </c>
      <c r="FR23" t="s">
        <v>1447</v>
      </c>
      <c r="FS23" t="s">
        <v>736</v>
      </c>
      <c r="FT23" t="s">
        <v>1547</v>
      </c>
      <c r="FU23" t="s">
        <v>736</v>
      </c>
      <c r="FV23" t="s">
        <v>1548</v>
      </c>
      <c r="FW23" t="s">
        <v>736</v>
      </c>
      <c r="FX23" t="s">
        <v>1549</v>
      </c>
      <c r="FY23" t="s">
        <v>733</v>
      </c>
      <c r="FZ23" t="s">
        <v>1550</v>
      </c>
      <c r="GA23" t="s">
        <v>733</v>
      </c>
      <c r="GB23" t="s">
        <v>1551</v>
      </c>
      <c r="GC23" t="s">
        <v>733</v>
      </c>
      <c r="GD23" t="s">
        <v>1551</v>
      </c>
      <c r="GE23" t="s">
        <v>733</v>
      </c>
      <c r="GF23" t="s">
        <v>1552</v>
      </c>
      <c r="GG23" t="s">
        <v>746</v>
      </c>
      <c r="GH23" t="s">
        <v>1553</v>
      </c>
      <c r="GI23" t="s">
        <v>746</v>
      </c>
      <c r="GJ23" t="s">
        <v>1554</v>
      </c>
      <c r="GK23" t="s">
        <v>736</v>
      </c>
      <c r="GL23" t="s">
        <v>1555</v>
      </c>
      <c r="GM23" t="s">
        <v>736</v>
      </c>
      <c r="GN23" t="s">
        <v>1556</v>
      </c>
      <c r="GO23" t="s">
        <v>736</v>
      </c>
      <c r="GP23" t="s">
        <v>1557</v>
      </c>
      <c r="GQ23" t="s">
        <v>736</v>
      </c>
      <c r="GR23" t="s">
        <v>1558</v>
      </c>
      <c r="GS23" t="s">
        <v>736</v>
      </c>
      <c r="GT23" t="s">
        <v>1494</v>
      </c>
      <c r="GU23" t="s">
        <v>736</v>
      </c>
      <c r="GV23" t="s">
        <v>1559</v>
      </c>
      <c r="GW23" t="s">
        <v>736</v>
      </c>
      <c r="GX23" t="s">
        <v>1504</v>
      </c>
      <c r="GY23" t="s">
        <v>736</v>
      </c>
      <c r="GZ23" t="s">
        <v>1549</v>
      </c>
      <c r="HA23" t="s">
        <v>736</v>
      </c>
      <c r="HB23" t="s">
        <v>1504</v>
      </c>
      <c r="HC23" t="s">
        <v>736</v>
      </c>
      <c r="HD23" t="s">
        <v>1549</v>
      </c>
      <c r="HE23" t="s">
        <v>798</v>
      </c>
      <c r="HF23" t="s">
        <v>1560</v>
      </c>
      <c r="HG23" t="s">
        <v>736</v>
      </c>
      <c r="HH23" t="s">
        <v>1504</v>
      </c>
      <c r="HI23" t="s">
        <v>736</v>
      </c>
      <c r="HJ23" t="s">
        <v>1549</v>
      </c>
      <c r="HL23" t="s">
        <v>938</v>
      </c>
      <c r="HN23" t="s">
        <v>938</v>
      </c>
      <c r="HP23" t="s">
        <v>938</v>
      </c>
      <c r="HR23" t="s">
        <v>938</v>
      </c>
      <c r="HS23" t="s">
        <v>736</v>
      </c>
      <c r="HT23" t="s">
        <v>1561</v>
      </c>
      <c r="HU23" t="s">
        <v>736</v>
      </c>
      <c r="HV23" t="s">
        <v>1512</v>
      </c>
      <c r="HW23" t="s">
        <v>736</v>
      </c>
      <c r="HX23" t="s">
        <v>1562</v>
      </c>
      <c r="HY23" t="s">
        <v>736</v>
      </c>
      <c r="HZ23" t="s">
        <v>1557</v>
      </c>
      <c r="IA23" t="s">
        <v>736</v>
      </c>
      <c r="IB23" t="s">
        <v>1563</v>
      </c>
      <c r="IC23" t="s">
        <v>736</v>
      </c>
      <c r="ID23" t="s">
        <v>1564</v>
      </c>
      <c r="IE23" t="s">
        <v>746</v>
      </c>
      <c r="IF23" t="s">
        <v>1565</v>
      </c>
      <c r="IG23" t="s">
        <v>746</v>
      </c>
      <c r="IH23" t="s">
        <v>1566</v>
      </c>
      <c r="II23" t="s">
        <v>736</v>
      </c>
      <c r="IJ23" t="s">
        <v>1563</v>
      </c>
      <c r="IK23" t="s">
        <v>736</v>
      </c>
      <c r="IL23" t="s">
        <v>1513</v>
      </c>
      <c r="IM23" t="s">
        <v>733</v>
      </c>
      <c r="IN23" t="s">
        <v>1567</v>
      </c>
      <c r="IO23" t="s">
        <v>733</v>
      </c>
      <c r="IP23" t="s">
        <v>1568</v>
      </c>
      <c r="IQ23" t="s">
        <v>746</v>
      </c>
      <c r="IR23" t="s">
        <v>1569</v>
      </c>
      <c r="IS23" t="s">
        <v>746</v>
      </c>
      <c r="IT23" t="s">
        <v>1570</v>
      </c>
      <c r="IU23" t="s">
        <v>733</v>
      </c>
      <c r="IV23" t="s">
        <v>1571</v>
      </c>
      <c r="IW23" t="s">
        <v>733</v>
      </c>
      <c r="IX23" t="s">
        <v>1572</v>
      </c>
      <c r="IY23" t="s">
        <v>733</v>
      </c>
      <c r="IZ23" t="s">
        <v>1573</v>
      </c>
      <c r="JA23" t="s">
        <v>733</v>
      </c>
      <c r="JB23" t="s">
        <v>1574</v>
      </c>
      <c r="JC23" t="s">
        <v>733</v>
      </c>
      <c r="JD23" t="s">
        <v>1502</v>
      </c>
      <c r="JE23" t="s">
        <v>733</v>
      </c>
      <c r="JF23" t="s">
        <v>1489</v>
      </c>
      <c r="JH23" t="s">
        <v>938</v>
      </c>
      <c r="JJ23" t="s">
        <v>938</v>
      </c>
      <c r="JL23" t="s">
        <v>938</v>
      </c>
      <c r="JN23" t="s">
        <v>938</v>
      </c>
      <c r="JP23" t="s">
        <v>938</v>
      </c>
      <c r="JR23" t="s">
        <v>938</v>
      </c>
      <c r="JS23" t="s">
        <v>733</v>
      </c>
      <c r="JT23" t="s">
        <v>1575</v>
      </c>
      <c r="JU23" t="s">
        <v>733</v>
      </c>
      <c r="JV23" t="s">
        <v>1572</v>
      </c>
      <c r="JW23" t="s">
        <v>733</v>
      </c>
      <c r="JX23" t="s">
        <v>1491</v>
      </c>
      <c r="JY23" t="s">
        <v>746</v>
      </c>
      <c r="JZ23" t="s">
        <v>1576</v>
      </c>
      <c r="KB23" t="s">
        <v>938</v>
      </c>
      <c r="KD23" t="s">
        <v>938</v>
      </c>
      <c r="KE23" t="s">
        <v>733</v>
      </c>
      <c r="KF23" t="s">
        <v>1577</v>
      </c>
      <c r="KG23" t="s">
        <v>746</v>
      </c>
      <c r="KH23" t="s">
        <v>1576</v>
      </c>
      <c r="KI23" t="s">
        <v>733</v>
      </c>
      <c r="KJ23" t="s">
        <v>1491</v>
      </c>
      <c r="KK23" t="s">
        <v>746</v>
      </c>
      <c r="KL23" t="s">
        <v>1578</v>
      </c>
      <c r="KM23" t="s">
        <v>733</v>
      </c>
      <c r="KN23" t="s">
        <v>1579</v>
      </c>
      <c r="KO23" t="s">
        <v>746</v>
      </c>
      <c r="KP23" t="s">
        <v>1580</v>
      </c>
      <c r="KQ23" t="s">
        <v>733</v>
      </c>
      <c r="KR23" t="s">
        <v>1581</v>
      </c>
      <c r="KS23" t="s">
        <v>746</v>
      </c>
      <c r="KT23" t="s">
        <v>1582</v>
      </c>
      <c r="KU23" t="s">
        <v>733</v>
      </c>
      <c r="KV23" t="s">
        <v>1489</v>
      </c>
      <c r="KW23" t="s">
        <v>746</v>
      </c>
      <c r="KX23" t="s">
        <v>1583</v>
      </c>
      <c r="KY23" t="s">
        <v>733</v>
      </c>
      <c r="KZ23" t="s">
        <v>1491</v>
      </c>
      <c r="LA23" t="s">
        <v>746</v>
      </c>
      <c r="LB23" t="s">
        <v>1584</v>
      </c>
      <c r="LC23" t="s">
        <v>736</v>
      </c>
      <c r="LD23" t="s">
        <v>1585</v>
      </c>
      <c r="LE23" t="s">
        <v>736</v>
      </c>
      <c r="LF23" t="s">
        <v>1586</v>
      </c>
      <c r="LG23" t="s">
        <v>736</v>
      </c>
      <c r="LH23" t="s">
        <v>1587</v>
      </c>
      <c r="LI23" t="s">
        <v>736</v>
      </c>
      <c r="LJ23" t="s">
        <v>1588</v>
      </c>
      <c r="LK23" t="s">
        <v>746</v>
      </c>
      <c r="LL23" t="s">
        <v>1589</v>
      </c>
      <c r="LM23" t="s">
        <v>746</v>
      </c>
      <c r="LN23" t="s">
        <v>1530</v>
      </c>
      <c r="LO23" t="s">
        <v>736</v>
      </c>
      <c r="LP23" t="s">
        <v>1557</v>
      </c>
      <c r="LQ23" t="s">
        <v>736</v>
      </c>
      <c r="LR23" t="s">
        <v>1557</v>
      </c>
      <c r="LS23" t="s">
        <v>746</v>
      </c>
      <c r="LT23" t="s">
        <v>1590</v>
      </c>
      <c r="LU23" t="s">
        <v>746</v>
      </c>
      <c r="LV23" t="s">
        <v>1591</v>
      </c>
      <c r="LW23" t="s">
        <v>746</v>
      </c>
      <c r="LX23" t="s">
        <v>1592</v>
      </c>
      <c r="LY23" t="s">
        <v>746</v>
      </c>
      <c r="LZ23" t="s">
        <v>1593</v>
      </c>
      <c r="MA23" t="s">
        <v>746</v>
      </c>
      <c r="MB23" t="s">
        <v>1594</v>
      </c>
      <c r="MC23" t="s">
        <v>746</v>
      </c>
      <c r="MD23" t="s">
        <v>1566</v>
      </c>
      <c r="ME23" t="s">
        <v>746</v>
      </c>
      <c r="MF23" t="s">
        <v>1595</v>
      </c>
      <c r="MG23" t="s">
        <v>746</v>
      </c>
      <c r="MH23" t="s">
        <v>1596</v>
      </c>
      <c r="MI23" t="s">
        <v>746</v>
      </c>
      <c r="MJ23" t="s">
        <v>1597</v>
      </c>
      <c r="MK23" t="s">
        <v>746</v>
      </c>
      <c r="ML23" t="s">
        <v>1598</v>
      </c>
      <c r="MM23" t="s">
        <v>1543</v>
      </c>
      <c r="MO23" t="s">
        <v>783</v>
      </c>
      <c r="MP23" t="s">
        <v>783</v>
      </c>
      <c r="MQ23" t="s">
        <v>783</v>
      </c>
      <c r="MR23" t="s">
        <v>783</v>
      </c>
      <c r="MS23" t="s">
        <v>783</v>
      </c>
      <c r="MT23" t="s">
        <v>783</v>
      </c>
      <c r="MU23" t="s">
        <v>783</v>
      </c>
      <c r="MV23" t="s">
        <v>783</v>
      </c>
      <c r="MW23" t="s">
        <v>783</v>
      </c>
      <c r="MX23" t="s">
        <v>783</v>
      </c>
      <c r="MZ23" t="s">
        <v>783</v>
      </c>
      <c r="NA23" t="s">
        <v>783</v>
      </c>
      <c r="NB23" t="s">
        <v>783</v>
      </c>
      <c r="NC23" t="s">
        <v>783</v>
      </c>
      <c r="ND23" t="s">
        <v>783</v>
      </c>
      <c r="NE23" t="s">
        <v>784</v>
      </c>
      <c r="NF23" t="s">
        <v>907</v>
      </c>
      <c r="NG23" t="s">
        <v>783</v>
      </c>
      <c r="NH23" t="s">
        <v>783</v>
      </c>
      <c r="NI23" t="s">
        <v>783</v>
      </c>
      <c r="NJ23" t="s">
        <v>783</v>
      </c>
      <c r="NK23" t="s">
        <v>783</v>
      </c>
      <c r="NL23" t="s">
        <v>783</v>
      </c>
      <c r="NM23" t="s">
        <v>783</v>
      </c>
      <c r="NN23" t="s">
        <v>784</v>
      </c>
      <c r="NO23" t="s">
        <v>784</v>
      </c>
      <c r="NP23" t="s">
        <v>783</v>
      </c>
      <c r="NQ23" t="s">
        <v>783</v>
      </c>
      <c r="NR23" t="s">
        <v>783</v>
      </c>
      <c r="NS23" t="s">
        <v>783</v>
      </c>
      <c r="NT23" t="s">
        <v>784</v>
      </c>
      <c r="NU23" t="s">
        <v>783</v>
      </c>
      <c r="NV23" t="s">
        <v>784</v>
      </c>
      <c r="NW23" t="s">
        <v>784</v>
      </c>
      <c r="NX23" t="s">
        <v>783</v>
      </c>
      <c r="NY23" t="s">
        <v>784</v>
      </c>
      <c r="NZ23" t="s">
        <v>783</v>
      </c>
      <c r="OA23" t="s">
        <v>783</v>
      </c>
      <c r="OB23" t="s">
        <v>784</v>
      </c>
      <c r="OC23" t="s">
        <v>784</v>
      </c>
      <c r="OD23" t="s">
        <v>783</v>
      </c>
      <c r="OE23" t="s">
        <v>783</v>
      </c>
      <c r="OF23" t="s">
        <v>783</v>
      </c>
      <c r="OG23" t="s">
        <v>783</v>
      </c>
      <c r="OH23" t="s">
        <v>783</v>
      </c>
      <c r="OI23" t="s">
        <v>783</v>
      </c>
      <c r="OJ23" t="s">
        <v>783</v>
      </c>
    </row>
    <row r="24" spans="1:400" x14ac:dyDescent="0.25">
      <c r="A24">
        <v>20</v>
      </c>
      <c r="B24" t="s">
        <v>168</v>
      </c>
      <c r="C24" t="s">
        <v>169</v>
      </c>
      <c r="D24" t="s">
        <v>97</v>
      </c>
      <c r="E24">
        <v>36</v>
      </c>
      <c r="F24" t="s">
        <v>481</v>
      </c>
      <c r="G24" t="s">
        <v>76</v>
      </c>
      <c r="H24" t="s">
        <v>60</v>
      </c>
      <c r="I24" t="s">
        <v>113</v>
      </c>
      <c r="J24" t="s">
        <v>62</v>
      </c>
      <c r="K24" t="s">
        <v>63</v>
      </c>
      <c r="M24" t="s">
        <v>146</v>
      </c>
      <c r="N24" t="s">
        <v>70</v>
      </c>
      <c r="O24">
        <v>7</v>
      </c>
      <c r="P24" s="1">
        <v>22000</v>
      </c>
      <c r="Q24" s="1">
        <v>0</v>
      </c>
      <c r="R24" t="s">
        <v>171</v>
      </c>
      <c r="S24" s="7">
        <v>22000</v>
      </c>
      <c r="T24" t="s">
        <v>70</v>
      </c>
      <c r="U24" s="5">
        <v>0</v>
      </c>
      <c r="V24" s="3" t="s">
        <v>70</v>
      </c>
      <c r="W24" s="5">
        <v>0</v>
      </c>
      <c r="X24" t="s">
        <v>94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P24" t="s">
        <v>63</v>
      </c>
      <c r="AR24">
        <v>1</v>
      </c>
      <c r="AS24" s="2">
        <v>0.5</v>
      </c>
      <c r="AT24" t="s">
        <v>503</v>
      </c>
      <c r="AU24">
        <v>0</v>
      </c>
      <c r="AV24">
        <v>0</v>
      </c>
      <c r="AW24">
        <v>0</v>
      </c>
      <c r="AX24">
        <v>1</v>
      </c>
      <c r="AY24">
        <v>0</v>
      </c>
      <c r="AZ24" t="s">
        <v>537</v>
      </c>
      <c r="BA24" t="s">
        <v>505</v>
      </c>
      <c r="BC24" t="s">
        <v>512</v>
      </c>
      <c r="BD24" t="s">
        <v>513</v>
      </c>
      <c r="BE24">
        <v>2021</v>
      </c>
      <c r="BF24">
        <v>2</v>
      </c>
      <c r="BG24" t="s">
        <v>508</v>
      </c>
      <c r="BH24">
        <v>1</v>
      </c>
      <c r="BI24">
        <v>0</v>
      </c>
      <c r="BJ24">
        <v>0</v>
      </c>
      <c r="BK24">
        <v>0</v>
      </c>
      <c r="BL24">
        <v>0</v>
      </c>
      <c r="BM24" t="s">
        <v>63</v>
      </c>
      <c r="BN24" t="s">
        <v>63</v>
      </c>
      <c r="BO24" t="s">
        <v>3878</v>
      </c>
      <c r="BP24" t="s">
        <v>3845</v>
      </c>
      <c r="BR24" t="s">
        <v>3879</v>
      </c>
      <c r="BS24" t="s">
        <v>3838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CA24" t="s">
        <v>3847</v>
      </c>
      <c r="CB24" t="s">
        <v>3880</v>
      </c>
      <c r="CD24" t="s">
        <v>3841</v>
      </c>
      <c r="CE24" t="s">
        <v>3867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N24" t="s">
        <v>63</v>
      </c>
      <c r="CO24" t="s">
        <v>732</v>
      </c>
      <c r="CP24" t="s">
        <v>3976</v>
      </c>
      <c r="CQ24" t="s">
        <v>3945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Y24" t="s">
        <v>3979</v>
      </c>
      <c r="CZ24" s="26" t="s">
        <v>3980</v>
      </c>
      <c r="DA24" s="27" t="s">
        <v>4192</v>
      </c>
      <c r="DJ24" t="s">
        <v>63</v>
      </c>
      <c r="DK24" s="35" t="s">
        <v>4124</v>
      </c>
      <c r="DL24" s="37" t="s">
        <v>4256</v>
      </c>
      <c r="DM24" t="s">
        <v>2996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N24" t="s">
        <v>4125</v>
      </c>
      <c r="EO24" t="s">
        <v>4126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Y24" t="s">
        <v>4105</v>
      </c>
      <c r="EZ24">
        <v>0</v>
      </c>
      <c r="FA24">
        <v>0</v>
      </c>
      <c r="FB24">
        <v>1</v>
      </c>
      <c r="FC24">
        <v>0</v>
      </c>
      <c r="FF24" t="s">
        <v>4129</v>
      </c>
      <c r="FI24" t="s">
        <v>736</v>
      </c>
      <c r="FJ24" t="s">
        <v>1599</v>
      </c>
      <c r="FK24" t="s">
        <v>736</v>
      </c>
      <c r="FL24" t="s">
        <v>1504</v>
      </c>
      <c r="FM24" t="s">
        <v>736</v>
      </c>
      <c r="FN24" t="s">
        <v>1600</v>
      </c>
      <c r="FO24" t="s">
        <v>736</v>
      </c>
      <c r="FP24" t="s">
        <v>1601</v>
      </c>
      <c r="FQ24" t="s">
        <v>736</v>
      </c>
      <c r="FR24" t="s">
        <v>1602</v>
      </c>
      <c r="FS24" t="s">
        <v>736</v>
      </c>
      <c r="FT24" t="s">
        <v>1563</v>
      </c>
      <c r="FU24" t="s">
        <v>736</v>
      </c>
      <c r="FV24" t="s">
        <v>1603</v>
      </c>
      <c r="FW24" t="s">
        <v>736</v>
      </c>
      <c r="FX24" t="s">
        <v>1604</v>
      </c>
      <c r="FY24" t="s">
        <v>736</v>
      </c>
      <c r="FZ24" t="s">
        <v>1605</v>
      </c>
      <c r="GA24" t="s">
        <v>736</v>
      </c>
      <c r="GB24" t="s">
        <v>1606</v>
      </c>
      <c r="GC24" t="s">
        <v>736</v>
      </c>
      <c r="GD24" t="s">
        <v>1607</v>
      </c>
      <c r="GE24" t="s">
        <v>736</v>
      </c>
      <c r="GF24" t="s">
        <v>1512</v>
      </c>
      <c r="GG24" t="s">
        <v>736</v>
      </c>
      <c r="GH24" t="s">
        <v>1608</v>
      </c>
      <c r="GI24" t="s">
        <v>736</v>
      </c>
      <c r="GJ24" t="s">
        <v>1512</v>
      </c>
      <c r="GK24" t="s">
        <v>733</v>
      </c>
      <c r="GL24" t="s">
        <v>1609</v>
      </c>
      <c r="GM24" t="s">
        <v>733</v>
      </c>
      <c r="GN24" t="s">
        <v>817</v>
      </c>
      <c r="GO24" t="s">
        <v>736</v>
      </c>
      <c r="GP24" t="s">
        <v>1558</v>
      </c>
      <c r="GQ24" t="s">
        <v>736</v>
      </c>
      <c r="GR24" t="s">
        <v>1610</v>
      </c>
      <c r="GS24" t="s">
        <v>736</v>
      </c>
      <c r="GT24" t="s">
        <v>1611</v>
      </c>
      <c r="GU24" t="s">
        <v>736</v>
      </c>
      <c r="GV24" t="s">
        <v>1494</v>
      </c>
      <c r="GW24" t="s">
        <v>736</v>
      </c>
      <c r="GX24" t="s">
        <v>1612</v>
      </c>
      <c r="GY24" t="s">
        <v>736</v>
      </c>
      <c r="GZ24" t="s">
        <v>1504</v>
      </c>
      <c r="HA24" t="s">
        <v>736</v>
      </c>
      <c r="HB24" t="s">
        <v>1504</v>
      </c>
      <c r="HC24" t="s">
        <v>736</v>
      </c>
      <c r="HD24" t="s">
        <v>1613</v>
      </c>
      <c r="HE24" t="s">
        <v>798</v>
      </c>
      <c r="HF24" t="s">
        <v>1504</v>
      </c>
      <c r="HG24" t="s">
        <v>736</v>
      </c>
      <c r="HH24" t="s">
        <v>1512</v>
      </c>
      <c r="HI24" t="s">
        <v>736</v>
      </c>
      <c r="HJ24" t="s">
        <v>1604</v>
      </c>
      <c r="HL24" t="s">
        <v>938</v>
      </c>
      <c r="HN24" t="s">
        <v>938</v>
      </c>
      <c r="HP24" t="s">
        <v>938</v>
      </c>
      <c r="HR24" t="s">
        <v>938</v>
      </c>
      <c r="HS24" t="s">
        <v>736</v>
      </c>
      <c r="HT24" t="s">
        <v>1614</v>
      </c>
      <c r="HU24" t="s">
        <v>736</v>
      </c>
      <c r="HV24" t="s">
        <v>1615</v>
      </c>
      <c r="HW24" t="s">
        <v>736</v>
      </c>
      <c r="HX24" t="s">
        <v>1616</v>
      </c>
      <c r="HY24" t="s">
        <v>736</v>
      </c>
      <c r="HZ24" t="s">
        <v>1617</v>
      </c>
      <c r="IA24" t="s">
        <v>736</v>
      </c>
      <c r="IB24" t="s">
        <v>1618</v>
      </c>
      <c r="IC24" t="s">
        <v>736</v>
      </c>
      <c r="ID24" t="s">
        <v>1619</v>
      </c>
      <c r="IF24" t="s">
        <v>938</v>
      </c>
      <c r="IH24" t="s">
        <v>938</v>
      </c>
      <c r="II24" t="s">
        <v>736</v>
      </c>
      <c r="IJ24" t="s">
        <v>1620</v>
      </c>
      <c r="IK24" t="s">
        <v>736</v>
      </c>
      <c r="IL24" t="s">
        <v>1621</v>
      </c>
      <c r="IM24" t="s">
        <v>736</v>
      </c>
      <c r="IN24" t="s">
        <v>1622</v>
      </c>
      <c r="IO24" t="s">
        <v>733</v>
      </c>
      <c r="IP24" t="s">
        <v>1491</v>
      </c>
      <c r="IQ24" t="s">
        <v>736</v>
      </c>
      <c r="IR24" t="s">
        <v>1623</v>
      </c>
      <c r="IS24" t="s">
        <v>736</v>
      </c>
      <c r="IT24" t="s">
        <v>1624</v>
      </c>
      <c r="IU24" t="s">
        <v>733</v>
      </c>
      <c r="IV24" t="s">
        <v>1572</v>
      </c>
      <c r="IW24" t="s">
        <v>736</v>
      </c>
      <c r="IX24" t="s">
        <v>1625</v>
      </c>
      <c r="IY24" t="s">
        <v>733</v>
      </c>
      <c r="IZ24" t="s">
        <v>1572</v>
      </c>
      <c r="JA24" t="s">
        <v>733</v>
      </c>
      <c r="JB24" t="s">
        <v>1491</v>
      </c>
      <c r="JC24" t="s">
        <v>733</v>
      </c>
      <c r="JD24" t="s">
        <v>1626</v>
      </c>
      <c r="JE24" t="s">
        <v>733</v>
      </c>
      <c r="JF24" t="s">
        <v>1572</v>
      </c>
      <c r="JH24" t="s">
        <v>938</v>
      </c>
      <c r="JJ24" t="s">
        <v>938</v>
      </c>
      <c r="JK24" t="s">
        <v>733</v>
      </c>
      <c r="JL24" t="s">
        <v>1627</v>
      </c>
      <c r="JM24" t="s">
        <v>733</v>
      </c>
      <c r="JN24" t="s">
        <v>1489</v>
      </c>
      <c r="JP24" t="s">
        <v>938</v>
      </c>
      <c r="JR24" t="s">
        <v>938</v>
      </c>
      <c r="JS24" t="s">
        <v>736</v>
      </c>
      <c r="JT24" t="s">
        <v>1628</v>
      </c>
      <c r="JU24" t="s">
        <v>733</v>
      </c>
      <c r="JV24" t="s">
        <v>1629</v>
      </c>
      <c r="JW24" t="s">
        <v>736</v>
      </c>
      <c r="JX24" t="s">
        <v>1630</v>
      </c>
      <c r="JY24" t="s">
        <v>736</v>
      </c>
      <c r="JZ24" t="s">
        <v>1631</v>
      </c>
      <c r="KB24" t="s">
        <v>938</v>
      </c>
      <c r="KD24" t="s">
        <v>938</v>
      </c>
      <c r="KE24" t="s">
        <v>736</v>
      </c>
      <c r="KF24" t="s">
        <v>1512</v>
      </c>
      <c r="KG24" t="s">
        <v>736</v>
      </c>
      <c r="KH24" t="s">
        <v>1632</v>
      </c>
      <c r="KI24" t="s">
        <v>736</v>
      </c>
      <c r="KJ24" t="s">
        <v>1512</v>
      </c>
      <c r="KK24" t="s">
        <v>736</v>
      </c>
      <c r="KL24" t="s">
        <v>1512</v>
      </c>
      <c r="KM24" t="s">
        <v>736</v>
      </c>
      <c r="KN24" t="s">
        <v>1633</v>
      </c>
      <c r="KO24" t="s">
        <v>736</v>
      </c>
      <c r="KP24" t="s">
        <v>1634</v>
      </c>
      <c r="KQ24" t="s">
        <v>736</v>
      </c>
      <c r="KR24" t="s">
        <v>1447</v>
      </c>
      <c r="KS24" t="s">
        <v>733</v>
      </c>
      <c r="KT24" t="s">
        <v>1635</v>
      </c>
      <c r="KU24" t="s">
        <v>733</v>
      </c>
      <c r="KV24" t="s">
        <v>1491</v>
      </c>
      <c r="KW24" t="s">
        <v>733</v>
      </c>
      <c r="KX24" t="s">
        <v>1636</v>
      </c>
      <c r="KY24" t="s">
        <v>736</v>
      </c>
      <c r="KZ24" t="s">
        <v>1618</v>
      </c>
      <c r="LA24" t="s">
        <v>736</v>
      </c>
      <c r="LB24" t="s">
        <v>1618</v>
      </c>
      <c r="LC24" t="s">
        <v>736</v>
      </c>
      <c r="LD24" t="s">
        <v>1637</v>
      </c>
      <c r="LE24" t="s">
        <v>736</v>
      </c>
      <c r="LF24" t="s">
        <v>1638</v>
      </c>
      <c r="LG24" t="s">
        <v>736</v>
      </c>
      <c r="LH24" t="s">
        <v>1512</v>
      </c>
      <c r="LI24" t="s">
        <v>736</v>
      </c>
      <c r="LJ24" t="s">
        <v>1639</v>
      </c>
      <c r="LK24" t="s">
        <v>733</v>
      </c>
      <c r="LL24" t="s">
        <v>1640</v>
      </c>
      <c r="LM24" t="s">
        <v>733</v>
      </c>
      <c r="LN24" t="s">
        <v>1641</v>
      </c>
      <c r="LO24" t="s">
        <v>736</v>
      </c>
      <c r="LP24" t="s">
        <v>1642</v>
      </c>
      <c r="LQ24" t="s">
        <v>736</v>
      </c>
      <c r="LR24" t="s">
        <v>1616</v>
      </c>
      <c r="LS24" t="s">
        <v>736</v>
      </c>
      <c r="LT24" t="s">
        <v>1643</v>
      </c>
      <c r="LU24" t="s">
        <v>736</v>
      </c>
      <c r="LV24" t="s">
        <v>1585</v>
      </c>
      <c r="LW24" t="s">
        <v>736</v>
      </c>
      <c r="LX24" t="s">
        <v>1644</v>
      </c>
      <c r="LY24" t="s">
        <v>736</v>
      </c>
      <c r="LZ24" t="s">
        <v>1645</v>
      </c>
      <c r="MA24" t="s">
        <v>736</v>
      </c>
      <c r="MB24" t="s">
        <v>1494</v>
      </c>
      <c r="MC24" t="s">
        <v>736</v>
      </c>
      <c r="MD24" t="s">
        <v>1646</v>
      </c>
      <c r="ME24" t="s">
        <v>736</v>
      </c>
      <c r="MF24" t="s">
        <v>1647</v>
      </c>
      <c r="MG24" t="s">
        <v>736</v>
      </c>
      <c r="MH24" t="s">
        <v>1644</v>
      </c>
      <c r="MI24" t="s">
        <v>736</v>
      </c>
      <c r="MJ24" t="s">
        <v>1512</v>
      </c>
      <c r="MK24" t="s">
        <v>736</v>
      </c>
      <c r="ML24" t="s">
        <v>1644</v>
      </c>
      <c r="MM24" t="s">
        <v>938</v>
      </c>
      <c r="MO24" t="s">
        <v>783</v>
      </c>
      <c r="MP24" t="s">
        <v>784</v>
      </c>
      <c r="MQ24" t="s">
        <v>783</v>
      </c>
      <c r="MR24" t="s">
        <v>783</v>
      </c>
      <c r="MS24" t="s">
        <v>783</v>
      </c>
      <c r="MT24" t="s">
        <v>783</v>
      </c>
      <c r="MU24" t="s">
        <v>783</v>
      </c>
      <c r="MV24" t="s">
        <v>783</v>
      </c>
      <c r="MW24" t="s">
        <v>783</v>
      </c>
      <c r="MX24" t="s">
        <v>783</v>
      </c>
      <c r="MZ24" t="s">
        <v>783</v>
      </c>
      <c r="NA24" t="s">
        <v>783</v>
      </c>
      <c r="NB24" t="s">
        <v>783</v>
      </c>
      <c r="NC24" t="s">
        <v>783</v>
      </c>
      <c r="ND24" t="s">
        <v>783</v>
      </c>
      <c r="NE24" t="s">
        <v>784</v>
      </c>
      <c r="NF24" t="s">
        <v>784</v>
      </c>
      <c r="NG24" t="s">
        <v>783</v>
      </c>
      <c r="NH24" t="s">
        <v>783</v>
      </c>
      <c r="NI24" t="s">
        <v>783</v>
      </c>
      <c r="NJ24" t="s">
        <v>783</v>
      </c>
      <c r="NK24" t="s">
        <v>783</v>
      </c>
      <c r="NL24" t="s">
        <v>783</v>
      </c>
      <c r="NM24" t="s">
        <v>783</v>
      </c>
      <c r="NN24" t="s">
        <v>784</v>
      </c>
      <c r="NO24" t="s">
        <v>783</v>
      </c>
      <c r="NP24" t="s">
        <v>784</v>
      </c>
      <c r="NQ24" t="s">
        <v>784</v>
      </c>
      <c r="NR24" t="s">
        <v>783</v>
      </c>
      <c r="NS24" t="s">
        <v>784</v>
      </c>
      <c r="NT24" t="s">
        <v>784</v>
      </c>
      <c r="NU24" t="s">
        <v>783</v>
      </c>
      <c r="NV24" t="s">
        <v>784</v>
      </c>
      <c r="NW24" t="s">
        <v>784</v>
      </c>
      <c r="NX24" t="s">
        <v>783</v>
      </c>
      <c r="NY24" t="s">
        <v>784</v>
      </c>
      <c r="NZ24" t="s">
        <v>783</v>
      </c>
      <c r="OA24" t="s">
        <v>783</v>
      </c>
      <c r="OB24" t="s">
        <v>784</v>
      </c>
      <c r="OC24" t="s">
        <v>783</v>
      </c>
      <c r="OD24" t="s">
        <v>783</v>
      </c>
      <c r="OE24" t="s">
        <v>783</v>
      </c>
      <c r="OF24" t="s">
        <v>783</v>
      </c>
      <c r="OG24" t="s">
        <v>783</v>
      </c>
      <c r="OH24" t="s">
        <v>783</v>
      </c>
      <c r="OI24" t="s">
        <v>783</v>
      </c>
      <c r="OJ24" t="s">
        <v>783</v>
      </c>
    </row>
    <row r="25" spans="1:400" x14ac:dyDescent="0.25">
      <c r="A25">
        <v>21</v>
      </c>
      <c r="B25" t="s">
        <v>172</v>
      </c>
      <c r="C25" t="s">
        <v>70</v>
      </c>
      <c r="D25" t="s">
        <v>57</v>
      </c>
      <c r="E25">
        <v>50</v>
      </c>
      <c r="F25" t="s">
        <v>58</v>
      </c>
      <c r="G25" t="s">
        <v>105</v>
      </c>
      <c r="H25" t="s">
        <v>60</v>
      </c>
      <c r="I25" t="s">
        <v>61</v>
      </c>
      <c r="J25" t="s">
        <v>62</v>
      </c>
      <c r="K25" t="s">
        <v>63</v>
      </c>
      <c r="M25" t="s">
        <v>146</v>
      </c>
      <c r="N25" t="s">
        <v>70</v>
      </c>
      <c r="O25">
        <v>8</v>
      </c>
      <c r="P25" s="1">
        <v>160000</v>
      </c>
      <c r="Q25" s="1">
        <v>0</v>
      </c>
      <c r="R25" t="s">
        <v>115</v>
      </c>
      <c r="S25" s="7">
        <v>160000</v>
      </c>
      <c r="T25" t="s">
        <v>70</v>
      </c>
      <c r="U25" s="5">
        <v>0</v>
      </c>
      <c r="V25" s="3" t="s">
        <v>70</v>
      </c>
      <c r="W25" s="5">
        <v>0</v>
      </c>
      <c r="X25" t="s">
        <v>94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 t="s">
        <v>63</v>
      </c>
      <c r="AR25">
        <v>1</v>
      </c>
      <c r="AS25" s="2">
        <v>0.75</v>
      </c>
      <c r="AT25" t="s">
        <v>503</v>
      </c>
      <c r="AU25">
        <v>0</v>
      </c>
      <c r="AV25">
        <v>0</v>
      </c>
      <c r="AW25">
        <v>0</v>
      </c>
      <c r="AX25">
        <v>1</v>
      </c>
      <c r="AY25">
        <v>0</v>
      </c>
      <c r="AZ25" t="s">
        <v>538</v>
      </c>
      <c r="BA25" t="s">
        <v>505</v>
      </c>
      <c r="BB25">
        <v>1</v>
      </c>
      <c r="BC25" t="s">
        <v>512</v>
      </c>
      <c r="BD25" t="s">
        <v>507</v>
      </c>
      <c r="BE25">
        <v>2000</v>
      </c>
      <c r="BF25">
        <v>23</v>
      </c>
      <c r="BG25" t="s">
        <v>508</v>
      </c>
      <c r="BH25">
        <v>1</v>
      </c>
      <c r="BI25">
        <v>0</v>
      </c>
      <c r="BJ25">
        <v>0</v>
      </c>
      <c r="BK25">
        <v>0</v>
      </c>
      <c r="BL25">
        <v>0</v>
      </c>
      <c r="BM25" t="s">
        <v>63</v>
      </c>
      <c r="BN25" t="s">
        <v>63</v>
      </c>
      <c r="BO25" t="s">
        <v>3856</v>
      </c>
      <c r="BP25" t="s">
        <v>3845</v>
      </c>
      <c r="BR25" t="s">
        <v>3881</v>
      </c>
      <c r="BS25" t="s">
        <v>3838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CA25" t="s">
        <v>3839</v>
      </c>
      <c r="CC25" t="s">
        <v>3840</v>
      </c>
      <c r="CD25" t="s">
        <v>3882</v>
      </c>
      <c r="CE25" t="s">
        <v>71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N25" t="s">
        <v>63</v>
      </c>
      <c r="CO25" t="s">
        <v>732</v>
      </c>
      <c r="CP25" t="s">
        <v>3962</v>
      </c>
      <c r="CQ25" t="s">
        <v>3981</v>
      </c>
      <c r="CR25">
        <v>0</v>
      </c>
      <c r="CS25">
        <v>0</v>
      </c>
      <c r="CT25">
        <v>1</v>
      </c>
      <c r="CU25">
        <v>0</v>
      </c>
      <c r="CV25">
        <v>1</v>
      </c>
      <c r="CW25">
        <v>0</v>
      </c>
      <c r="CY25" t="s">
        <v>3982</v>
      </c>
      <c r="CZ25" s="26" t="s">
        <v>3983</v>
      </c>
      <c r="DA25" s="27" t="s">
        <v>4214</v>
      </c>
      <c r="DJ25" t="s">
        <v>63</v>
      </c>
      <c r="DK25" s="35" t="s">
        <v>4128</v>
      </c>
      <c r="DL25" s="37" t="s">
        <v>4260</v>
      </c>
      <c r="DM25" t="s">
        <v>2996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N25" t="s">
        <v>4125</v>
      </c>
      <c r="EO25" t="s">
        <v>4126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 t="s">
        <v>4105</v>
      </c>
      <c r="EZ25">
        <v>0</v>
      </c>
      <c r="FA25">
        <v>0</v>
      </c>
      <c r="FB25">
        <v>1</v>
      </c>
      <c r="FC25">
        <v>0</v>
      </c>
      <c r="FF25" t="s">
        <v>4116</v>
      </c>
      <c r="FI25" t="s">
        <v>736</v>
      </c>
      <c r="FJ25" t="s">
        <v>1648</v>
      </c>
      <c r="FK25" t="s">
        <v>736</v>
      </c>
      <c r="FL25" t="s">
        <v>1648</v>
      </c>
      <c r="FM25" t="s">
        <v>733</v>
      </c>
      <c r="FN25" t="s">
        <v>1649</v>
      </c>
      <c r="FO25" t="s">
        <v>733</v>
      </c>
      <c r="FP25" t="s">
        <v>1650</v>
      </c>
      <c r="FQ25" t="s">
        <v>733</v>
      </c>
      <c r="FR25" t="s">
        <v>1651</v>
      </c>
      <c r="FS25" t="s">
        <v>746</v>
      </c>
      <c r="FT25" t="s">
        <v>1652</v>
      </c>
      <c r="FU25" t="s">
        <v>733</v>
      </c>
      <c r="FV25" t="s">
        <v>1653</v>
      </c>
      <c r="FW25" t="s">
        <v>733</v>
      </c>
      <c r="FX25" t="s">
        <v>1654</v>
      </c>
      <c r="FY25" t="s">
        <v>733</v>
      </c>
      <c r="FZ25" t="s">
        <v>1655</v>
      </c>
      <c r="GA25" t="s">
        <v>736</v>
      </c>
      <c r="GB25" t="s">
        <v>1120</v>
      </c>
      <c r="GC25" t="s">
        <v>733</v>
      </c>
      <c r="GD25" t="s">
        <v>1656</v>
      </c>
      <c r="GE25" t="s">
        <v>736</v>
      </c>
      <c r="GF25" t="s">
        <v>1650</v>
      </c>
      <c r="GG25" t="s">
        <v>743</v>
      </c>
      <c r="GH25" t="s">
        <v>1657</v>
      </c>
      <c r="GI25" t="s">
        <v>746</v>
      </c>
      <c r="GJ25" t="s">
        <v>1658</v>
      </c>
      <c r="GK25" t="s">
        <v>733</v>
      </c>
      <c r="GL25" t="s">
        <v>912</v>
      </c>
      <c r="GM25" t="s">
        <v>777</v>
      </c>
      <c r="GN25" t="s">
        <v>1659</v>
      </c>
      <c r="GO25" t="s">
        <v>733</v>
      </c>
      <c r="GP25" t="s">
        <v>734</v>
      </c>
      <c r="GQ25" t="s">
        <v>733</v>
      </c>
      <c r="GR25" t="s">
        <v>912</v>
      </c>
      <c r="GS25" t="s">
        <v>736</v>
      </c>
      <c r="GT25" t="s">
        <v>1660</v>
      </c>
      <c r="GU25" t="s">
        <v>777</v>
      </c>
      <c r="GV25" t="s">
        <v>1661</v>
      </c>
      <c r="GW25" t="s">
        <v>736</v>
      </c>
      <c r="GX25" t="s">
        <v>1200</v>
      </c>
      <c r="GY25" t="s">
        <v>736</v>
      </c>
      <c r="GZ25" t="s">
        <v>1662</v>
      </c>
      <c r="HA25" t="s">
        <v>736</v>
      </c>
      <c r="HB25" t="s">
        <v>1200</v>
      </c>
      <c r="HC25" t="s">
        <v>736</v>
      </c>
      <c r="HD25" t="s">
        <v>1663</v>
      </c>
      <c r="HE25" t="s">
        <v>798</v>
      </c>
      <c r="HF25" t="s">
        <v>1200</v>
      </c>
      <c r="HG25" t="s">
        <v>736</v>
      </c>
      <c r="HH25" t="s">
        <v>1663</v>
      </c>
      <c r="HI25" t="s">
        <v>736</v>
      </c>
      <c r="HJ25" t="s">
        <v>1663</v>
      </c>
      <c r="HL25" t="s">
        <v>1104</v>
      </c>
      <c r="HN25" t="s">
        <v>1104</v>
      </c>
      <c r="HO25" t="s">
        <v>746</v>
      </c>
      <c r="HP25" t="s">
        <v>949</v>
      </c>
      <c r="HQ25" t="s">
        <v>746</v>
      </c>
      <c r="HR25" t="s">
        <v>949</v>
      </c>
      <c r="HS25" t="s">
        <v>733</v>
      </c>
      <c r="HT25" t="s">
        <v>1664</v>
      </c>
      <c r="HU25" t="s">
        <v>733</v>
      </c>
      <c r="HV25" t="s">
        <v>1665</v>
      </c>
      <c r="HW25" t="s">
        <v>733</v>
      </c>
      <c r="HX25" t="s">
        <v>961</v>
      </c>
      <c r="HY25" t="s">
        <v>733</v>
      </c>
      <c r="HZ25" t="s">
        <v>961</v>
      </c>
      <c r="IA25" t="s">
        <v>733</v>
      </c>
      <c r="IB25" t="s">
        <v>1666</v>
      </c>
      <c r="IC25" t="s">
        <v>733</v>
      </c>
      <c r="ID25" t="s">
        <v>1666</v>
      </c>
      <c r="IE25" t="s">
        <v>746</v>
      </c>
      <c r="IF25" t="s">
        <v>1220</v>
      </c>
      <c r="IG25" t="s">
        <v>746</v>
      </c>
      <c r="IH25" t="s">
        <v>1220</v>
      </c>
      <c r="II25" t="s">
        <v>736</v>
      </c>
      <c r="IJ25" t="s">
        <v>1667</v>
      </c>
      <c r="IK25" t="s">
        <v>736</v>
      </c>
      <c r="IL25" t="s">
        <v>1263</v>
      </c>
      <c r="IM25" t="s">
        <v>746</v>
      </c>
      <c r="IN25" t="s">
        <v>1269</v>
      </c>
      <c r="IO25" t="s">
        <v>746</v>
      </c>
      <c r="IP25" t="s">
        <v>1082</v>
      </c>
      <c r="IQ25" t="s">
        <v>746</v>
      </c>
      <c r="IR25" t="s">
        <v>1668</v>
      </c>
      <c r="IS25" t="s">
        <v>746</v>
      </c>
      <c r="IT25" t="s">
        <v>1669</v>
      </c>
      <c r="IU25" t="s">
        <v>746</v>
      </c>
      <c r="IV25" t="s">
        <v>1670</v>
      </c>
      <c r="IW25" t="s">
        <v>746</v>
      </c>
      <c r="IX25" t="s">
        <v>1670</v>
      </c>
      <c r="IY25" t="s">
        <v>746</v>
      </c>
      <c r="IZ25" t="s">
        <v>1670</v>
      </c>
      <c r="JA25" t="s">
        <v>746</v>
      </c>
      <c r="JB25" t="s">
        <v>1670</v>
      </c>
      <c r="JC25" t="s">
        <v>746</v>
      </c>
      <c r="JD25" t="s">
        <v>1670</v>
      </c>
      <c r="JE25" t="s">
        <v>746</v>
      </c>
      <c r="JF25" t="s">
        <v>1670</v>
      </c>
      <c r="JG25" t="s">
        <v>746</v>
      </c>
      <c r="JH25" t="s">
        <v>947</v>
      </c>
      <c r="JI25" t="s">
        <v>746</v>
      </c>
      <c r="JJ25" t="s">
        <v>947</v>
      </c>
      <c r="JK25" t="s">
        <v>746</v>
      </c>
      <c r="JL25" t="s">
        <v>947</v>
      </c>
      <c r="JM25" t="s">
        <v>746</v>
      </c>
      <c r="JN25" t="s">
        <v>947</v>
      </c>
      <c r="JP25" t="s">
        <v>1104</v>
      </c>
      <c r="JR25" t="s">
        <v>1104</v>
      </c>
      <c r="JS25" t="s">
        <v>746</v>
      </c>
      <c r="JT25" t="s">
        <v>947</v>
      </c>
      <c r="JU25" t="s">
        <v>746</v>
      </c>
      <c r="JV25" t="s">
        <v>947</v>
      </c>
      <c r="JW25" t="s">
        <v>746</v>
      </c>
      <c r="JX25" t="s">
        <v>947</v>
      </c>
      <c r="JY25" t="s">
        <v>746</v>
      </c>
      <c r="JZ25" t="s">
        <v>947</v>
      </c>
      <c r="KA25" t="s">
        <v>746</v>
      </c>
      <c r="KB25" t="s">
        <v>947</v>
      </c>
      <c r="KC25" t="s">
        <v>746</v>
      </c>
      <c r="KD25" t="s">
        <v>947</v>
      </c>
      <c r="KE25" t="s">
        <v>746</v>
      </c>
      <c r="KF25" t="s">
        <v>947</v>
      </c>
      <c r="KG25" t="s">
        <v>746</v>
      </c>
      <c r="KH25" t="s">
        <v>947</v>
      </c>
      <c r="KI25" t="s">
        <v>746</v>
      </c>
      <c r="KJ25" t="s">
        <v>947</v>
      </c>
      <c r="KK25" t="s">
        <v>746</v>
      </c>
      <c r="KL25" t="s">
        <v>947</v>
      </c>
      <c r="KM25" t="s">
        <v>746</v>
      </c>
      <c r="KN25" t="s">
        <v>947</v>
      </c>
      <c r="KO25" t="s">
        <v>746</v>
      </c>
      <c r="KP25" t="s">
        <v>947</v>
      </c>
      <c r="KQ25" t="s">
        <v>746</v>
      </c>
      <c r="KR25" t="s">
        <v>947</v>
      </c>
      <c r="KS25" t="s">
        <v>746</v>
      </c>
      <c r="KT25" t="s">
        <v>947</v>
      </c>
      <c r="KU25" t="s">
        <v>746</v>
      </c>
      <c r="KV25" t="s">
        <v>1671</v>
      </c>
      <c r="KW25" t="s">
        <v>746</v>
      </c>
      <c r="KX25" t="s">
        <v>1672</v>
      </c>
      <c r="KY25" t="s">
        <v>746</v>
      </c>
      <c r="KZ25" t="s">
        <v>956</v>
      </c>
      <c r="LA25" t="s">
        <v>746</v>
      </c>
      <c r="LB25" t="s">
        <v>1100</v>
      </c>
      <c r="LC25" t="s">
        <v>746</v>
      </c>
      <c r="LD25" t="s">
        <v>1673</v>
      </c>
      <c r="LE25" t="s">
        <v>736</v>
      </c>
      <c r="LF25" t="s">
        <v>1200</v>
      </c>
      <c r="LG25" t="s">
        <v>746</v>
      </c>
      <c r="LH25" t="s">
        <v>1674</v>
      </c>
      <c r="LI25" t="s">
        <v>736</v>
      </c>
      <c r="LJ25" t="s">
        <v>1085</v>
      </c>
      <c r="LK25" t="s">
        <v>746</v>
      </c>
      <c r="LL25" t="s">
        <v>1675</v>
      </c>
      <c r="LM25" t="s">
        <v>746</v>
      </c>
      <c r="LN25" t="s">
        <v>1676</v>
      </c>
      <c r="LO25" t="s">
        <v>746</v>
      </c>
      <c r="LP25" t="s">
        <v>1269</v>
      </c>
      <c r="LQ25" t="s">
        <v>746</v>
      </c>
      <c r="LR25" t="s">
        <v>1269</v>
      </c>
      <c r="LS25" t="s">
        <v>733</v>
      </c>
      <c r="LT25" t="s">
        <v>912</v>
      </c>
      <c r="LU25" t="s">
        <v>746</v>
      </c>
      <c r="LV25" t="s">
        <v>1677</v>
      </c>
      <c r="LW25" t="s">
        <v>733</v>
      </c>
      <c r="LX25" t="s">
        <v>734</v>
      </c>
      <c r="LY25" t="s">
        <v>746</v>
      </c>
      <c r="LZ25" t="s">
        <v>1677</v>
      </c>
      <c r="MA25" t="s">
        <v>746</v>
      </c>
      <c r="MB25" t="s">
        <v>1678</v>
      </c>
      <c r="MC25" t="s">
        <v>746</v>
      </c>
      <c r="MD25" t="s">
        <v>1678</v>
      </c>
      <c r="ME25" t="s">
        <v>733</v>
      </c>
      <c r="MF25" t="s">
        <v>1120</v>
      </c>
      <c r="MG25" t="s">
        <v>733</v>
      </c>
      <c r="MH25" t="s">
        <v>924</v>
      </c>
      <c r="MI25" t="s">
        <v>746</v>
      </c>
      <c r="MJ25" t="s">
        <v>1679</v>
      </c>
      <c r="MK25" t="s">
        <v>746</v>
      </c>
      <c r="ML25" t="s">
        <v>1677</v>
      </c>
      <c r="MO25" t="s">
        <v>783</v>
      </c>
      <c r="MP25" t="s">
        <v>907</v>
      </c>
      <c r="MQ25" t="s">
        <v>783</v>
      </c>
      <c r="MR25" t="s">
        <v>783</v>
      </c>
      <c r="MS25" t="s">
        <v>783</v>
      </c>
      <c r="MT25" t="s">
        <v>907</v>
      </c>
      <c r="MU25" t="s">
        <v>781</v>
      </c>
      <c r="MV25" t="s">
        <v>783</v>
      </c>
      <c r="MW25" t="s">
        <v>907</v>
      </c>
      <c r="MX25" t="s">
        <v>781</v>
      </c>
      <c r="MZ25" t="s">
        <v>781</v>
      </c>
      <c r="NA25" t="s">
        <v>781</v>
      </c>
      <c r="NB25" t="s">
        <v>781</v>
      </c>
      <c r="NC25" t="s">
        <v>781</v>
      </c>
      <c r="ND25" t="s">
        <v>781</v>
      </c>
      <c r="NE25" t="s">
        <v>784</v>
      </c>
      <c r="NF25" t="s">
        <v>784</v>
      </c>
      <c r="NG25" t="s">
        <v>783</v>
      </c>
      <c r="NH25" t="s">
        <v>783</v>
      </c>
      <c r="NI25" t="s">
        <v>783</v>
      </c>
      <c r="NJ25" t="s">
        <v>907</v>
      </c>
      <c r="NK25" t="s">
        <v>784</v>
      </c>
      <c r="NL25" t="s">
        <v>783</v>
      </c>
      <c r="NM25" t="s">
        <v>783</v>
      </c>
      <c r="NN25" t="s">
        <v>784</v>
      </c>
      <c r="NO25" t="s">
        <v>784</v>
      </c>
      <c r="NP25" t="s">
        <v>783</v>
      </c>
      <c r="NQ25" t="s">
        <v>781</v>
      </c>
      <c r="NR25" t="s">
        <v>783</v>
      </c>
      <c r="NS25" t="s">
        <v>784</v>
      </c>
      <c r="NT25" t="s">
        <v>784</v>
      </c>
      <c r="NU25" t="s">
        <v>781</v>
      </c>
      <c r="NV25" t="s">
        <v>784</v>
      </c>
      <c r="NW25" t="s">
        <v>782</v>
      </c>
      <c r="NX25" t="s">
        <v>783</v>
      </c>
      <c r="NY25" t="s">
        <v>784</v>
      </c>
      <c r="NZ25" t="s">
        <v>783</v>
      </c>
      <c r="OA25" t="s">
        <v>781</v>
      </c>
      <c r="OB25" t="s">
        <v>907</v>
      </c>
      <c r="OC25" t="s">
        <v>784</v>
      </c>
      <c r="OD25" t="s">
        <v>783</v>
      </c>
      <c r="OE25" t="s">
        <v>783</v>
      </c>
      <c r="OF25" t="s">
        <v>783</v>
      </c>
      <c r="OG25" t="s">
        <v>783</v>
      </c>
      <c r="OH25" t="s">
        <v>783</v>
      </c>
      <c r="OI25" t="s">
        <v>783</v>
      </c>
      <c r="OJ25" t="s">
        <v>783</v>
      </c>
    </row>
    <row r="26" spans="1:400" x14ac:dyDescent="0.25">
      <c r="A26">
        <v>22</v>
      </c>
      <c r="B26" t="s">
        <v>174</v>
      </c>
      <c r="C26" t="s">
        <v>175</v>
      </c>
      <c r="D26" t="s">
        <v>57</v>
      </c>
      <c r="E26">
        <v>67</v>
      </c>
      <c r="F26" t="s">
        <v>58</v>
      </c>
      <c r="G26" t="s">
        <v>105</v>
      </c>
      <c r="H26" t="s">
        <v>60</v>
      </c>
      <c r="I26" t="s">
        <v>61</v>
      </c>
      <c r="J26" t="s">
        <v>62</v>
      </c>
      <c r="K26" t="s">
        <v>63</v>
      </c>
      <c r="M26" t="s">
        <v>146</v>
      </c>
      <c r="N26" t="s">
        <v>70</v>
      </c>
      <c r="O26">
        <v>6</v>
      </c>
      <c r="P26" s="1">
        <v>160000</v>
      </c>
      <c r="Q26" s="1">
        <v>0</v>
      </c>
      <c r="R26" t="s">
        <v>124</v>
      </c>
      <c r="S26" s="7">
        <v>60000</v>
      </c>
      <c r="T26" t="s">
        <v>70</v>
      </c>
      <c r="U26" s="5">
        <v>0</v>
      </c>
      <c r="V26" s="3" t="s">
        <v>65</v>
      </c>
      <c r="W26" s="5">
        <v>100000</v>
      </c>
      <c r="X26" t="s">
        <v>177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 t="s">
        <v>63</v>
      </c>
      <c r="AR26">
        <v>1</v>
      </c>
      <c r="AS26" s="2">
        <v>1.5</v>
      </c>
      <c r="AT26" t="s">
        <v>531</v>
      </c>
      <c r="AU26">
        <v>0</v>
      </c>
      <c r="AV26">
        <v>0</v>
      </c>
      <c r="AW26">
        <v>1</v>
      </c>
      <c r="AX26">
        <v>0</v>
      </c>
      <c r="AY26">
        <v>0</v>
      </c>
      <c r="AZ26" t="s">
        <v>539</v>
      </c>
      <c r="BA26" t="s">
        <v>519</v>
      </c>
      <c r="BC26" t="s">
        <v>520</v>
      </c>
      <c r="BD26" t="s">
        <v>521</v>
      </c>
      <c r="BE26">
        <v>1994</v>
      </c>
      <c r="BF26">
        <v>29</v>
      </c>
      <c r="BG26" t="s">
        <v>508</v>
      </c>
      <c r="BH26">
        <v>1</v>
      </c>
      <c r="BI26">
        <v>0</v>
      </c>
      <c r="BJ26">
        <v>0</v>
      </c>
      <c r="BK26">
        <v>0</v>
      </c>
      <c r="BL26">
        <v>0</v>
      </c>
      <c r="BM26" t="s">
        <v>63</v>
      </c>
      <c r="BN26" t="s">
        <v>63</v>
      </c>
      <c r="BO26" t="s">
        <v>3856</v>
      </c>
      <c r="BP26" t="s">
        <v>3845</v>
      </c>
      <c r="BR26" t="s">
        <v>3860</v>
      </c>
      <c r="BS26" t="s">
        <v>3838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CA26" t="s">
        <v>3847</v>
      </c>
      <c r="CB26" t="s">
        <v>3885</v>
      </c>
      <c r="CC26" t="s">
        <v>3840</v>
      </c>
      <c r="CD26" t="s">
        <v>3841</v>
      </c>
      <c r="CE26" t="s">
        <v>3867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 t="s">
        <v>3863</v>
      </c>
      <c r="CN26" t="s">
        <v>63</v>
      </c>
      <c r="CO26" t="s">
        <v>732</v>
      </c>
      <c r="CP26" t="s">
        <v>3984</v>
      </c>
      <c r="CQ26" t="s">
        <v>3985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1</v>
      </c>
      <c r="CX26" t="s">
        <v>3964</v>
      </c>
      <c r="CY26" t="s">
        <v>80</v>
      </c>
      <c r="CZ26" s="26" t="s">
        <v>3986</v>
      </c>
      <c r="DA26" s="27" t="s">
        <v>4215</v>
      </c>
      <c r="DJ26" t="s">
        <v>63</v>
      </c>
      <c r="DK26" s="35" t="s">
        <v>4130</v>
      </c>
      <c r="DL26" s="37" t="s">
        <v>4257</v>
      </c>
      <c r="DM26" t="s">
        <v>4131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M26" t="s">
        <v>3988</v>
      </c>
      <c r="EO26" t="s">
        <v>4126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 t="s">
        <v>4105</v>
      </c>
      <c r="EZ26">
        <v>0</v>
      </c>
      <c r="FA26">
        <v>0</v>
      </c>
      <c r="FB26">
        <v>1</v>
      </c>
      <c r="FC26">
        <v>0</v>
      </c>
      <c r="FF26" t="s">
        <v>4116</v>
      </c>
      <c r="FI26" t="s">
        <v>733</v>
      </c>
      <c r="FJ26" t="s">
        <v>1680</v>
      </c>
      <c r="FK26" t="s">
        <v>736</v>
      </c>
      <c r="FL26" t="s">
        <v>1650</v>
      </c>
      <c r="FM26" t="s">
        <v>736</v>
      </c>
      <c r="FN26" t="s">
        <v>1681</v>
      </c>
      <c r="FO26" t="s">
        <v>736</v>
      </c>
      <c r="FP26" t="s">
        <v>1117</v>
      </c>
      <c r="FQ26" t="s">
        <v>746</v>
      </c>
      <c r="FR26" t="s">
        <v>1682</v>
      </c>
      <c r="FS26" t="s">
        <v>746</v>
      </c>
      <c r="FT26" t="s">
        <v>1683</v>
      </c>
      <c r="FU26" t="s">
        <v>733</v>
      </c>
      <c r="FV26" t="s">
        <v>1684</v>
      </c>
      <c r="FW26" t="s">
        <v>733</v>
      </c>
      <c r="FX26" t="s">
        <v>1115</v>
      </c>
      <c r="FY26" t="s">
        <v>736</v>
      </c>
      <c r="FZ26" t="s">
        <v>1200</v>
      </c>
      <c r="GA26" t="s">
        <v>746</v>
      </c>
      <c r="GB26" t="s">
        <v>1685</v>
      </c>
      <c r="GC26" t="s">
        <v>733</v>
      </c>
      <c r="GD26" t="s">
        <v>868</v>
      </c>
      <c r="GE26" t="s">
        <v>733</v>
      </c>
      <c r="GF26" t="s">
        <v>1686</v>
      </c>
      <c r="GG26" t="s">
        <v>733</v>
      </c>
      <c r="GH26" t="s">
        <v>1687</v>
      </c>
      <c r="GI26" t="s">
        <v>733</v>
      </c>
      <c r="GJ26" t="s">
        <v>1006</v>
      </c>
      <c r="GK26" t="s">
        <v>733</v>
      </c>
      <c r="GL26" t="s">
        <v>912</v>
      </c>
      <c r="GM26" t="s">
        <v>736</v>
      </c>
      <c r="GN26" t="s">
        <v>1198</v>
      </c>
      <c r="GO26" t="s">
        <v>733</v>
      </c>
      <c r="GP26" t="s">
        <v>961</v>
      </c>
      <c r="GQ26" t="s">
        <v>733</v>
      </c>
      <c r="GR26" t="s">
        <v>1688</v>
      </c>
      <c r="GS26" t="s">
        <v>733</v>
      </c>
      <c r="GT26" t="s">
        <v>1689</v>
      </c>
      <c r="GU26" t="s">
        <v>733</v>
      </c>
      <c r="GV26" t="s">
        <v>1690</v>
      </c>
      <c r="GW26" t="s">
        <v>736</v>
      </c>
      <c r="GX26" t="s">
        <v>1200</v>
      </c>
      <c r="GY26" t="s">
        <v>736</v>
      </c>
      <c r="GZ26" t="s">
        <v>1200</v>
      </c>
      <c r="HA26" t="s">
        <v>736</v>
      </c>
      <c r="HB26" t="s">
        <v>1097</v>
      </c>
      <c r="HC26" t="s">
        <v>736</v>
      </c>
      <c r="HD26" t="s">
        <v>1691</v>
      </c>
      <c r="HE26" t="s">
        <v>798</v>
      </c>
      <c r="HF26" t="s">
        <v>1079</v>
      </c>
      <c r="HG26" t="s">
        <v>736</v>
      </c>
      <c r="HH26" t="s">
        <v>1200</v>
      </c>
      <c r="HI26" t="s">
        <v>736</v>
      </c>
      <c r="HJ26" t="s">
        <v>1692</v>
      </c>
      <c r="HK26" t="s">
        <v>746</v>
      </c>
      <c r="HL26" t="s">
        <v>1103</v>
      </c>
      <c r="HM26" t="s">
        <v>746</v>
      </c>
      <c r="HN26" t="s">
        <v>1693</v>
      </c>
      <c r="HO26" t="s">
        <v>746</v>
      </c>
      <c r="HP26" t="s">
        <v>930</v>
      </c>
      <c r="HQ26" t="s">
        <v>746</v>
      </c>
      <c r="HR26" t="s">
        <v>1694</v>
      </c>
      <c r="HS26" t="s">
        <v>736</v>
      </c>
      <c r="HT26" t="s">
        <v>1695</v>
      </c>
      <c r="HU26" t="s">
        <v>736</v>
      </c>
      <c r="HV26" t="s">
        <v>1696</v>
      </c>
      <c r="HW26" t="s">
        <v>733</v>
      </c>
      <c r="HX26" t="s">
        <v>1697</v>
      </c>
      <c r="HY26" t="s">
        <v>733</v>
      </c>
      <c r="HZ26" t="s">
        <v>1697</v>
      </c>
      <c r="IA26" t="s">
        <v>733</v>
      </c>
      <c r="IB26" t="s">
        <v>1666</v>
      </c>
      <c r="IC26" t="s">
        <v>746</v>
      </c>
      <c r="ID26" t="s">
        <v>1698</v>
      </c>
      <c r="IE26" t="s">
        <v>746</v>
      </c>
      <c r="IF26" t="s">
        <v>1699</v>
      </c>
      <c r="IG26" t="s">
        <v>746</v>
      </c>
      <c r="IH26" t="s">
        <v>1699</v>
      </c>
      <c r="II26" t="s">
        <v>736</v>
      </c>
      <c r="IJ26" t="s">
        <v>1700</v>
      </c>
      <c r="IK26" t="s">
        <v>736</v>
      </c>
      <c r="IL26" t="s">
        <v>1079</v>
      </c>
      <c r="IM26" t="s">
        <v>746</v>
      </c>
      <c r="IN26" t="s">
        <v>1701</v>
      </c>
      <c r="IO26" t="s">
        <v>746</v>
      </c>
      <c r="IP26" t="s">
        <v>1701</v>
      </c>
      <c r="IQ26" t="s">
        <v>746</v>
      </c>
      <c r="IR26" t="s">
        <v>1702</v>
      </c>
      <c r="IS26" t="s">
        <v>746</v>
      </c>
      <c r="IT26" t="s">
        <v>1703</v>
      </c>
      <c r="IU26" t="s">
        <v>746</v>
      </c>
      <c r="IV26" t="s">
        <v>947</v>
      </c>
      <c r="IW26" t="s">
        <v>746</v>
      </c>
      <c r="IX26" t="s">
        <v>947</v>
      </c>
      <c r="IY26" t="s">
        <v>746</v>
      </c>
      <c r="IZ26" t="s">
        <v>930</v>
      </c>
      <c r="JA26" t="s">
        <v>746</v>
      </c>
      <c r="JB26" t="s">
        <v>958</v>
      </c>
      <c r="JC26" t="s">
        <v>746</v>
      </c>
      <c r="JD26" t="s">
        <v>956</v>
      </c>
      <c r="JE26" t="s">
        <v>746</v>
      </c>
      <c r="JF26" t="s">
        <v>945</v>
      </c>
      <c r="JG26" t="s">
        <v>746</v>
      </c>
      <c r="JH26" t="s">
        <v>930</v>
      </c>
      <c r="JI26" t="s">
        <v>746</v>
      </c>
      <c r="JJ26" t="s">
        <v>930</v>
      </c>
      <c r="JL26" t="s">
        <v>1104</v>
      </c>
      <c r="JN26" t="s">
        <v>1104</v>
      </c>
      <c r="JP26" t="s">
        <v>1104</v>
      </c>
      <c r="JR26" t="s">
        <v>1104</v>
      </c>
      <c r="JS26" t="s">
        <v>746</v>
      </c>
      <c r="JT26" t="s">
        <v>947</v>
      </c>
      <c r="JU26" t="s">
        <v>746</v>
      </c>
      <c r="JV26" t="s">
        <v>947</v>
      </c>
      <c r="JW26" t="s">
        <v>746</v>
      </c>
      <c r="JX26" t="s">
        <v>947</v>
      </c>
      <c r="JY26" t="s">
        <v>746</v>
      </c>
      <c r="JZ26" t="s">
        <v>947</v>
      </c>
      <c r="KA26" t="s">
        <v>746</v>
      </c>
      <c r="KB26" t="s">
        <v>947</v>
      </c>
      <c r="KC26" t="s">
        <v>746</v>
      </c>
      <c r="KD26" t="s">
        <v>947</v>
      </c>
      <c r="KE26" t="s">
        <v>746</v>
      </c>
      <c r="KF26" t="s">
        <v>947</v>
      </c>
      <c r="KG26" t="s">
        <v>746</v>
      </c>
      <c r="KH26" t="s">
        <v>947</v>
      </c>
      <c r="KI26" t="s">
        <v>746</v>
      </c>
      <c r="KJ26" t="s">
        <v>956</v>
      </c>
      <c r="KK26" t="s">
        <v>746</v>
      </c>
      <c r="KL26" t="s">
        <v>945</v>
      </c>
      <c r="KM26" t="s">
        <v>746</v>
      </c>
      <c r="KN26" t="s">
        <v>956</v>
      </c>
      <c r="KO26" t="s">
        <v>746</v>
      </c>
      <c r="KP26" t="s">
        <v>956</v>
      </c>
      <c r="KQ26" t="s">
        <v>746</v>
      </c>
      <c r="KR26" t="s">
        <v>945</v>
      </c>
      <c r="KS26" t="s">
        <v>746</v>
      </c>
      <c r="KT26" t="s">
        <v>958</v>
      </c>
      <c r="KU26" t="s">
        <v>733</v>
      </c>
      <c r="KV26" t="s">
        <v>1704</v>
      </c>
      <c r="KW26" t="s">
        <v>743</v>
      </c>
      <c r="KX26" t="s">
        <v>1705</v>
      </c>
      <c r="KY26" t="s">
        <v>733</v>
      </c>
      <c r="KZ26" t="s">
        <v>1704</v>
      </c>
      <c r="LA26" t="s">
        <v>746</v>
      </c>
      <c r="LB26" t="s">
        <v>956</v>
      </c>
      <c r="LC26" t="s">
        <v>736</v>
      </c>
      <c r="LD26" t="s">
        <v>1200</v>
      </c>
      <c r="LE26" t="s">
        <v>736</v>
      </c>
      <c r="LF26" t="s">
        <v>1200</v>
      </c>
      <c r="LG26" t="s">
        <v>733</v>
      </c>
      <c r="LH26" t="s">
        <v>1120</v>
      </c>
      <c r="LI26" t="s">
        <v>746</v>
      </c>
      <c r="LJ26" t="s">
        <v>1269</v>
      </c>
      <c r="LK26" t="s">
        <v>746</v>
      </c>
      <c r="LL26" t="s">
        <v>1676</v>
      </c>
      <c r="LM26" t="s">
        <v>746</v>
      </c>
      <c r="LN26" t="s">
        <v>1676</v>
      </c>
      <c r="LO26" t="s">
        <v>733</v>
      </c>
      <c r="LP26" t="s">
        <v>961</v>
      </c>
      <c r="LQ26" t="s">
        <v>733</v>
      </c>
      <c r="LR26" t="s">
        <v>961</v>
      </c>
      <c r="LS26" t="s">
        <v>733</v>
      </c>
      <c r="LT26" t="s">
        <v>868</v>
      </c>
      <c r="LU26" t="s">
        <v>733</v>
      </c>
      <c r="LV26" t="s">
        <v>912</v>
      </c>
      <c r="LW26" t="s">
        <v>746</v>
      </c>
      <c r="LX26" t="s">
        <v>1706</v>
      </c>
      <c r="LY26" t="s">
        <v>746</v>
      </c>
      <c r="LZ26" t="s">
        <v>1707</v>
      </c>
      <c r="MA26" t="s">
        <v>746</v>
      </c>
      <c r="MB26" t="s">
        <v>1708</v>
      </c>
      <c r="MC26" t="s">
        <v>746</v>
      </c>
      <c r="MD26" t="s">
        <v>1708</v>
      </c>
      <c r="ME26" t="s">
        <v>746</v>
      </c>
      <c r="MF26" t="s">
        <v>1709</v>
      </c>
      <c r="MG26" t="s">
        <v>746</v>
      </c>
      <c r="MH26" t="s">
        <v>1709</v>
      </c>
      <c r="MI26" t="s">
        <v>746</v>
      </c>
      <c r="MJ26" t="s">
        <v>1710</v>
      </c>
      <c r="MK26" t="s">
        <v>746</v>
      </c>
      <c r="ML26" t="s">
        <v>1707</v>
      </c>
      <c r="MO26" t="s">
        <v>783</v>
      </c>
      <c r="MP26" t="s">
        <v>783</v>
      </c>
      <c r="MQ26" t="s">
        <v>783</v>
      </c>
      <c r="MR26" t="s">
        <v>783</v>
      </c>
      <c r="MS26" t="s">
        <v>783</v>
      </c>
      <c r="MT26" t="s">
        <v>781</v>
      </c>
      <c r="MU26" t="s">
        <v>783</v>
      </c>
      <c r="MV26" t="s">
        <v>783</v>
      </c>
      <c r="MW26" t="s">
        <v>783</v>
      </c>
      <c r="MX26" t="s">
        <v>781</v>
      </c>
      <c r="MZ26" t="s">
        <v>783</v>
      </c>
      <c r="NA26" t="s">
        <v>783</v>
      </c>
      <c r="NB26" t="s">
        <v>783</v>
      </c>
      <c r="NC26" t="s">
        <v>781</v>
      </c>
      <c r="ND26" t="s">
        <v>783</v>
      </c>
      <c r="NE26" t="s">
        <v>783</v>
      </c>
      <c r="NF26" t="s">
        <v>784</v>
      </c>
      <c r="NG26" t="s">
        <v>783</v>
      </c>
      <c r="NH26" t="s">
        <v>783</v>
      </c>
      <c r="NI26" t="s">
        <v>783</v>
      </c>
      <c r="NJ26" t="s">
        <v>783</v>
      </c>
      <c r="NK26" t="s">
        <v>783</v>
      </c>
      <c r="NL26" t="s">
        <v>783</v>
      </c>
      <c r="NM26" t="s">
        <v>783</v>
      </c>
      <c r="NN26" t="s">
        <v>784</v>
      </c>
      <c r="NO26" t="s">
        <v>782</v>
      </c>
      <c r="NP26" t="s">
        <v>783</v>
      </c>
      <c r="NQ26" t="s">
        <v>783</v>
      </c>
      <c r="NR26" t="s">
        <v>783</v>
      </c>
      <c r="NS26" t="s">
        <v>784</v>
      </c>
      <c r="NT26" t="s">
        <v>784</v>
      </c>
      <c r="NU26" t="s">
        <v>783</v>
      </c>
      <c r="NV26" t="s">
        <v>784</v>
      </c>
      <c r="NW26" t="s">
        <v>784</v>
      </c>
      <c r="NX26" t="s">
        <v>783</v>
      </c>
      <c r="NY26" t="s">
        <v>783</v>
      </c>
      <c r="NZ26" t="s">
        <v>783</v>
      </c>
      <c r="OA26" t="s">
        <v>781</v>
      </c>
      <c r="OB26" t="s">
        <v>784</v>
      </c>
      <c r="OC26" t="s">
        <v>784</v>
      </c>
      <c r="OD26" t="s">
        <v>783</v>
      </c>
      <c r="OE26" t="s">
        <v>783</v>
      </c>
      <c r="OF26" t="s">
        <v>781</v>
      </c>
      <c r="OG26" t="s">
        <v>783</v>
      </c>
      <c r="OH26" t="s">
        <v>783</v>
      </c>
      <c r="OI26" t="s">
        <v>783</v>
      </c>
      <c r="OJ26" t="s">
        <v>783</v>
      </c>
    </row>
    <row r="27" spans="1:400" x14ac:dyDescent="0.25">
      <c r="A27">
        <v>23</v>
      </c>
      <c r="B27" t="s">
        <v>1711</v>
      </c>
      <c r="C27" t="s">
        <v>179</v>
      </c>
      <c r="D27" t="s">
        <v>57</v>
      </c>
      <c r="E27">
        <v>28</v>
      </c>
      <c r="F27" t="s">
        <v>58</v>
      </c>
      <c r="G27" t="s">
        <v>105</v>
      </c>
      <c r="H27" t="s">
        <v>60</v>
      </c>
      <c r="I27" t="s">
        <v>113</v>
      </c>
      <c r="J27" t="s">
        <v>62</v>
      </c>
      <c r="K27" t="s">
        <v>63</v>
      </c>
      <c r="M27" t="s">
        <v>146</v>
      </c>
      <c r="N27" t="s">
        <v>70</v>
      </c>
      <c r="O27">
        <v>4</v>
      </c>
      <c r="P27" s="1">
        <v>100000</v>
      </c>
      <c r="Q27" s="1">
        <v>0</v>
      </c>
      <c r="R27" t="s">
        <v>180</v>
      </c>
      <c r="S27" s="7">
        <v>100000</v>
      </c>
      <c r="T27" t="s">
        <v>70</v>
      </c>
      <c r="U27" s="5">
        <v>0</v>
      </c>
      <c r="V27" s="3" t="s">
        <v>70</v>
      </c>
      <c r="W27" s="5">
        <v>0</v>
      </c>
      <c r="X27" t="s">
        <v>83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 t="s">
        <v>63</v>
      </c>
      <c r="AR27">
        <v>1</v>
      </c>
      <c r="AS27" s="2">
        <v>0.5</v>
      </c>
      <c r="AT27" t="s">
        <v>503</v>
      </c>
      <c r="AU27">
        <v>0</v>
      </c>
      <c r="AV27">
        <v>0</v>
      </c>
      <c r="AW27">
        <v>0</v>
      </c>
      <c r="AX27">
        <v>1</v>
      </c>
      <c r="AY27">
        <v>0</v>
      </c>
      <c r="AZ27" t="s">
        <v>540</v>
      </c>
      <c r="BA27" t="s">
        <v>530</v>
      </c>
      <c r="BC27" t="s">
        <v>515</v>
      </c>
      <c r="BD27" t="s">
        <v>507</v>
      </c>
      <c r="BE27">
        <v>2017</v>
      </c>
      <c r="BF27">
        <v>6</v>
      </c>
      <c r="BG27" t="s">
        <v>508</v>
      </c>
      <c r="BH27">
        <v>1</v>
      </c>
      <c r="BI27">
        <v>0</v>
      </c>
      <c r="BJ27">
        <v>0</v>
      </c>
      <c r="BK27">
        <v>0</v>
      </c>
      <c r="BL27">
        <v>0</v>
      </c>
      <c r="BM27" t="s">
        <v>84</v>
      </c>
      <c r="BN27" t="s">
        <v>84</v>
      </c>
      <c r="CM27" t="s">
        <v>785</v>
      </c>
      <c r="CN27" t="s">
        <v>63</v>
      </c>
      <c r="CO27" t="s">
        <v>732</v>
      </c>
      <c r="CP27" t="s">
        <v>3987</v>
      </c>
      <c r="CQ27" t="s">
        <v>2996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 t="s">
        <v>3988</v>
      </c>
      <c r="CY27" t="s">
        <v>3989</v>
      </c>
      <c r="CZ27" s="26" t="s">
        <v>4199</v>
      </c>
      <c r="DA27" s="27" t="s">
        <v>4192</v>
      </c>
      <c r="DJ27" t="s">
        <v>84</v>
      </c>
      <c r="DK27" s="35"/>
      <c r="DL27" s="37"/>
      <c r="FI27" t="s">
        <v>733</v>
      </c>
      <c r="FJ27" t="s">
        <v>1712</v>
      </c>
      <c r="FK27" t="s">
        <v>733</v>
      </c>
      <c r="FL27" t="s">
        <v>924</v>
      </c>
      <c r="FM27" t="s">
        <v>777</v>
      </c>
      <c r="FN27" t="s">
        <v>1713</v>
      </c>
      <c r="FO27" t="s">
        <v>777</v>
      </c>
      <c r="FP27" t="s">
        <v>1714</v>
      </c>
      <c r="FQ27" t="s">
        <v>777</v>
      </c>
      <c r="FR27" t="s">
        <v>1192</v>
      </c>
      <c r="FS27" t="s">
        <v>733</v>
      </c>
      <c r="FT27" t="s">
        <v>1715</v>
      </c>
      <c r="FU27" t="s">
        <v>733</v>
      </c>
      <c r="FV27" t="s">
        <v>1716</v>
      </c>
      <c r="FW27" t="s">
        <v>733</v>
      </c>
      <c r="FX27" t="s">
        <v>1717</v>
      </c>
      <c r="FY27" t="s">
        <v>736</v>
      </c>
      <c r="FZ27" t="s">
        <v>1718</v>
      </c>
      <c r="GA27" t="s">
        <v>733</v>
      </c>
      <c r="GB27" t="s">
        <v>1719</v>
      </c>
      <c r="GC27" t="s">
        <v>736</v>
      </c>
      <c r="GD27" t="s">
        <v>1720</v>
      </c>
      <c r="GE27" t="s">
        <v>736</v>
      </c>
      <c r="GF27" t="s">
        <v>1721</v>
      </c>
      <c r="GG27" t="s">
        <v>746</v>
      </c>
      <c r="GH27" t="s">
        <v>1254</v>
      </c>
      <c r="GI27" t="s">
        <v>746</v>
      </c>
      <c r="GJ27" t="s">
        <v>1722</v>
      </c>
      <c r="GK27" t="s">
        <v>736</v>
      </c>
      <c r="GL27" t="s">
        <v>1723</v>
      </c>
      <c r="GM27" t="s">
        <v>736</v>
      </c>
      <c r="GN27" t="s">
        <v>1723</v>
      </c>
      <c r="GO27" t="s">
        <v>733</v>
      </c>
      <c r="GP27" t="s">
        <v>1724</v>
      </c>
      <c r="GQ27" t="s">
        <v>733</v>
      </c>
      <c r="GR27" t="s">
        <v>1725</v>
      </c>
      <c r="GS27" t="s">
        <v>736</v>
      </c>
      <c r="GT27" t="s">
        <v>1726</v>
      </c>
      <c r="GU27" t="s">
        <v>733</v>
      </c>
      <c r="GV27" t="s">
        <v>923</v>
      </c>
      <c r="GW27" t="s">
        <v>736</v>
      </c>
      <c r="GX27" t="s">
        <v>1727</v>
      </c>
      <c r="GY27" t="s">
        <v>746</v>
      </c>
      <c r="GZ27" t="s">
        <v>1728</v>
      </c>
      <c r="HA27" t="s">
        <v>746</v>
      </c>
      <c r="HB27" t="s">
        <v>1120</v>
      </c>
      <c r="HC27" t="s">
        <v>736</v>
      </c>
      <c r="HD27" t="s">
        <v>1663</v>
      </c>
      <c r="HE27" t="s">
        <v>1729</v>
      </c>
      <c r="HF27" t="s">
        <v>1730</v>
      </c>
      <c r="HG27" t="s">
        <v>736</v>
      </c>
      <c r="HH27" t="s">
        <v>1731</v>
      </c>
      <c r="HI27" t="s">
        <v>736</v>
      </c>
      <c r="HJ27" t="s">
        <v>1732</v>
      </c>
      <c r="HL27" t="s">
        <v>1104</v>
      </c>
      <c r="HN27" t="s">
        <v>1104</v>
      </c>
      <c r="HP27" t="s">
        <v>1104</v>
      </c>
      <c r="HR27" t="s">
        <v>1104</v>
      </c>
      <c r="HS27" t="s">
        <v>733</v>
      </c>
      <c r="HT27" t="s">
        <v>1717</v>
      </c>
      <c r="HU27" t="s">
        <v>733</v>
      </c>
      <c r="HV27" t="s">
        <v>1733</v>
      </c>
      <c r="HW27" t="s">
        <v>733</v>
      </c>
      <c r="HX27" t="s">
        <v>1734</v>
      </c>
      <c r="HY27" t="s">
        <v>733</v>
      </c>
      <c r="HZ27" t="s">
        <v>1734</v>
      </c>
      <c r="IA27" t="s">
        <v>733</v>
      </c>
      <c r="IB27" t="s">
        <v>1735</v>
      </c>
      <c r="IC27" t="s">
        <v>733</v>
      </c>
      <c r="ID27" t="s">
        <v>1736</v>
      </c>
      <c r="IF27" t="s">
        <v>938</v>
      </c>
      <c r="IH27" t="s">
        <v>938</v>
      </c>
      <c r="II27" t="s">
        <v>736</v>
      </c>
      <c r="IJ27" t="s">
        <v>1737</v>
      </c>
      <c r="IK27" t="s">
        <v>733</v>
      </c>
      <c r="IL27" t="s">
        <v>926</v>
      </c>
      <c r="IM27" t="s">
        <v>746</v>
      </c>
      <c r="IN27" t="s">
        <v>1738</v>
      </c>
      <c r="IO27" t="s">
        <v>746</v>
      </c>
      <c r="IP27" t="s">
        <v>1739</v>
      </c>
      <c r="IQ27" t="s">
        <v>746</v>
      </c>
      <c r="IR27" t="s">
        <v>1006</v>
      </c>
      <c r="IS27" t="s">
        <v>746</v>
      </c>
      <c r="IT27" t="s">
        <v>1006</v>
      </c>
      <c r="IU27" t="s">
        <v>746</v>
      </c>
      <c r="IV27" t="s">
        <v>1740</v>
      </c>
      <c r="IW27" t="s">
        <v>746</v>
      </c>
      <c r="IX27" t="s">
        <v>1740</v>
      </c>
      <c r="IY27" t="s">
        <v>746</v>
      </c>
      <c r="IZ27" t="s">
        <v>1740</v>
      </c>
      <c r="JA27" t="s">
        <v>746</v>
      </c>
      <c r="JB27" t="s">
        <v>1740</v>
      </c>
      <c r="JC27" t="s">
        <v>746</v>
      </c>
      <c r="JD27" t="s">
        <v>1740</v>
      </c>
      <c r="JE27" t="s">
        <v>746</v>
      </c>
      <c r="JF27" t="s">
        <v>1740</v>
      </c>
      <c r="JG27" t="s">
        <v>746</v>
      </c>
      <c r="JH27" t="s">
        <v>1740</v>
      </c>
      <c r="JI27" t="s">
        <v>746</v>
      </c>
      <c r="JJ27" t="s">
        <v>1740</v>
      </c>
      <c r="JL27" t="s">
        <v>1104</v>
      </c>
      <c r="JN27" t="s">
        <v>1104</v>
      </c>
      <c r="JP27" t="s">
        <v>1104</v>
      </c>
      <c r="JR27" t="s">
        <v>1104</v>
      </c>
      <c r="JS27" t="s">
        <v>746</v>
      </c>
      <c r="JT27" t="s">
        <v>956</v>
      </c>
      <c r="JU27" t="s">
        <v>746</v>
      </c>
      <c r="JV27" t="s">
        <v>945</v>
      </c>
      <c r="JW27" t="s">
        <v>746</v>
      </c>
      <c r="JX27" t="s">
        <v>958</v>
      </c>
      <c r="JY27" t="s">
        <v>746</v>
      </c>
      <c r="JZ27" t="s">
        <v>844</v>
      </c>
      <c r="KA27" t="s">
        <v>746</v>
      </c>
      <c r="KB27" t="s">
        <v>956</v>
      </c>
      <c r="KC27" t="s">
        <v>746</v>
      </c>
      <c r="KD27" t="s">
        <v>1220</v>
      </c>
      <c r="KE27" t="s">
        <v>746</v>
      </c>
      <c r="KF27" t="s">
        <v>956</v>
      </c>
      <c r="KG27" t="s">
        <v>746</v>
      </c>
      <c r="KH27" t="s">
        <v>1100</v>
      </c>
      <c r="KI27" t="s">
        <v>746</v>
      </c>
      <c r="KJ27" t="s">
        <v>945</v>
      </c>
      <c r="KK27" t="s">
        <v>746</v>
      </c>
      <c r="KL27" t="s">
        <v>1741</v>
      </c>
      <c r="KM27" t="s">
        <v>746</v>
      </c>
      <c r="KN27" t="s">
        <v>956</v>
      </c>
      <c r="KO27" t="s">
        <v>746</v>
      </c>
      <c r="KP27" t="s">
        <v>1220</v>
      </c>
      <c r="KQ27" t="s">
        <v>746</v>
      </c>
      <c r="KR27" t="s">
        <v>1742</v>
      </c>
      <c r="KS27" t="s">
        <v>746</v>
      </c>
      <c r="KT27" t="s">
        <v>950</v>
      </c>
      <c r="KU27" t="s">
        <v>746</v>
      </c>
      <c r="KV27" t="s">
        <v>1743</v>
      </c>
      <c r="KW27" t="s">
        <v>746</v>
      </c>
      <c r="KX27" t="s">
        <v>1672</v>
      </c>
      <c r="KY27" t="s">
        <v>746</v>
      </c>
      <c r="KZ27" t="s">
        <v>1257</v>
      </c>
      <c r="LB27" t="s">
        <v>1257</v>
      </c>
      <c r="LC27" t="s">
        <v>733</v>
      </c>
      <c r="LD27" t="s">
        <v>1744</v>
      </c>
      <c r="LE27" t="s">
        <v>746</v>
      </c>
      <c r="LF27" t="s">
        <v>1745</v>
      </c>
      <c r="LG27" t="s">
        <v>746</v>
      </c>
      <c r="LH27" t="s">
        <v>1657</v>
      </c>
      <c r="LI27" t="s">
        <v>746</v>
      </c>
      <c r="LJ27" t="s">
        <v>1746</v>
      </c>
      <c r="LK27" t="s">
        <v>746</v>
      </c>
      <c r="LL27" t="s">
        <v>1676</v>
      </c>
      <c r="LM27" t="s">
        <v>746</v>
      </c>
      <c r="LN27" t="s">
        <v>1676</v>
      </c>
      <c r="LO27" t="s">
        <v>733</v>
      </c>
      <c r="LP27" t="s">
        <v>1120</v>
      </c>
      <c r="LQ27" t="s">
        <v>733</v>
      </c>
      <c r="LR27" t="s">
        <v>1120</v>
      </c>
      <c r="LT27" t="s">
        <v>1104</v>
      </c>
      <c r="LV27" t="s">
        <v>1104</v>
      </c>
      <c r="LW27" t="s">
        <v>746</v>
      </c>
      <c r="LX27" t="s">
        <v>974</v>
      </c>
      <c r="LY27" t="s">
        <v>746</v>
      </c>
      <c r="LZ27" t="s">
        <v>1230</v>
      </c>
      <c r="MA27" t="s">
        <v>746</v>
      </c>
      <c r="MB27" t="s">
        <v>1747</v>
      </c>
      <c r="MC27" t="s">
        <v>746</v>
      </c>
      <c r="MD27" t="s">
        <v>1747</v>
      </c>
      <c r="ME27" t="s">
        <v>746</v>
      </c>
      <c r="MF27" t="s">
        <v>1748</v>
      </c>
      <c r="MG27" t="s">
        <v>746</v>
      </c>
      <c r="MH27" t="s">
        <v>1748</v>
      </c>
      <c r="MI27" t="s">
        <v>746</v>
      </c>
      <c r="MJ27" t="s">
        <v>1749</v>
      </c>
      <c r="MK27" t="s">
        <v>746</v>
      </c>
      <c r="ML27" t="s">
        <v>1234</v>
      </c>
      <c r="MO27" t="s">
        <v>783</v>
      </c>
      <c r="MP27" t="s">
        <v>907</v>
      </c>
      <c r="MQ27" t="s">
        <v>784</v>
      </c>
      <c r="MR27" t="s">
        <v>781</v>
      </c>
      <c r="MS27" t="s">
        <v>783</v>
      </c>
      <c r="MT27" t="s">
        <v>783</v>
      </c>
      <c r="MU27" t="s">
        <v>783</v>
      </c>
      <c r="MV27" t="s">
        <v>783</v>
      </c>
      <c r="MW27" t="s">
        <v>907</v>
      </c>
      <c r="MX27" t="s">
        <v>781</v>
      </c>
      <c r="MZ27" t="s">
        <v>783</v>
      </c>
      <c r="NA27" t="s">
        <v>783</v>
      </c>
      <c r="NB27" t="s">
        <v>784</v>
      </c>
      <c r="NC27" t="s">
        <v>784</v>
      </c>
      <c r="ND27" t="s">
        <v>783</v>
      </c>
      <c r="NE27" t="s">
        <v>782</v>
      </c>
      <c r="NF27" t="s">
        <v>782</v>
      </c>
      <c r="NG27" t="s">
        <v>783</v>
      </c>
      <c r="NH27" t="s">
        <v>907</v>
      </c>
      <c r="NI27" t="s">
        <v>783</v>
      </c>
      <c r="NJ27" t="s">
        <v>907</v>
      </c>
      <c r="NK27" t="s">
        <v>783</v>
      </c>
      <c r="NL27" t="s">
        <v>783</v>
      </c>
      <c r="NM27" t="s">
        <v>783</v>
      </c>
      <c r="NN27" t="s">
        <v>784</v>
      </c>
      <c r="NO27" t="s">
        <v>784</v>
      </c>
      <c r="NP27" t="s">
        <v>783</v>
      </c>
      <c r="NQ27" t="s">
        <v>783</v>
      </c>
      <c r="NR27" t="s">
        <v>783</v>
      </c>
      <c r="NS27" t="s">
        <v>783</v>
      </c>
      <c r="NT27" t="s">
        <v>784</v>
      </c>
      <c r="NU27" t="s">
        <v>783</v>
      </c>
      <c r="NV27" t="s">
        <v>784</v>
      </c>
      <c r="NW27" t="s">
        <v>783</v>
      </c>
      <c r="NX27" t="s">
        <v>783</v>
      </c>
      <c r="NY27" t="s">
        <v>782</v>
      </c>
      <c r="NZ27" t="s">
        <v>907</v>
      </c>
      <c r="OA27" t="s">
        <v>783</v>
      </c>
      <c r="OB27" t="s">
        <v>782</v>
      </c>
      <c r="OC27" t="s">
        <v>782</v>
      </c>
      <c r="OD27" t="s">
        <v>784</v>
      </c>
      <c r="OE27" t="s">
        <v>783</v>
      </c>
      <c r="OF27" t="s">
        <v>783</v>
      </c>
      <c r="OG27" t="s">
        <v>783</v>
      </c>
      <c r="OH27" t="s">
        <v>783</v>
      </c>
      <c r="OI27" t="s">
        <v>783</v>
      </c>
      <c r="OJ27" t="s">
        <v>783</v>
      </c>
    </row>
    <row r="28" spans="1:400" x14ac:dyDescent="0.25">
      <c r="A28">
        <v>24</v>
      </c>
      <c r="B28" t="s">
        <v>183</v>
      </c>
      <c r="C28" t="s">
        <v>184</v>
      </c>
      <c r="D28" t="s">
        <v>57</v>
      </c>
      <c r="E28">
        <v>26</v>
      </c>
      <c r="F28" t="s">
        <v>87</v>
      </c>
      <c r="G28" t="s">
        <v>76</v>
      </c>
      <c r="H28" t="s">
        <v>60</v>
      </c>
      <c r="I28" t="s">
        <v>113</v>
      </c>
      <c r="J28" t="s">
        <v>62</v>
      </c>
      <c r="K28" t="s">
        <v>63</v>
      </c>
      <c r="M28" t="s">
        <v>146</v>
      </c>
      <c r="N28" t="s">
        <v>70</v>
      </c>
      <c r="O28">
        <v>3</v>
      </c>
      <c r="P28" s="1">
        <v>50000</v>
      </c>
      <c r="Q28" s="1">
        <v>0</v>
      </c>
      <c r="R28" t="s">
        <v>185</v>
      </c>
      <c r="S28" s="7">
        <v>50000</v>
      </c>
      <c r="T28" t="s">
        <v>70</v>
      </c>
      <c r="U28" s="5">
        <v>0</v>
      </c>
      <c r="V28" s="3" t="s">
        <v>70</v>
      </c>
      <c r="W28" s="5">
        <v>0</v>
      </c>
      <c r="X28" t="s">
        <v>94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 t="s">
        <v>63</v>
      </c>
      <c r="AR28">
        <v>1</v>
      </c>
      <c r="AS28" s="2">
        <v>0.75</v>
      </c>
      <c r="AT28" t="s">
        <v>531</v>
      </c>
      <c r="AU28">
        <v>0</v>
      </c>
      <c r="AV28">
        <v>0</v>
      </c>
      <c r="AW28">
        <v>1</v>
      </c>
      <c r="AX28">
        <v>0</v>
      </c>
      <c r="AY28">
        <v>0</v>
      </c>
      <c r="AZ28" t="s">
        <v>542</v>
      </c>
      <c r="BA28" t="s">
        <v>519</v>
      </c>
      <c r="BC28" t="s">
        <v>533</v>
      </c>
      <c r="BD28" t="s">
        <v>521</v>
      </c>
      <c r="BE28">
        <v>2022</v>
      </c>
      <c r="BF28">
        <v>1</v>
      </c>
      <c r="BG28" t="s">
        <v>508</v>
      </c>
      <c r="BH28">
        <v>1</v>
      </c>
      <c r="BI28">
        <v>0</v>
      </c>
      <c r="BJ28">
        <v>0</v>
      </c>
      <c r="BK28">
        <v>0</v>
      </c>
      <c r="BL28">
        <v>0</v>
      </c>
      <c r="BM28" t="s">
        <v>63</v>
      </c>
      <c r="BN28" t="s">
        <v>84</v>
      </c>
      <c r="CM28" t="s">
        <v>1072</v>
      </c>
      <c r="CN28" t="s">
        <v>63</v>
      </c>
      <c r="CO28" t="s">
        <v>732</v>
      </c>
      <c r="CP28" t="s">
        <v>3991</v>
      </c>
      <c r="CQ28" t="s">
        <v>3959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Y28" t="s">
        <v>3854</v>
      </c>
      <c r="CZ28" s="26" t="s">
        <v>4197</v>
      </c>
      <c r="DA28" s="27" t="s">
        <v>4214</v>
      </c>
      <c r="DJ28" t="s">
        <v>84</v>
      </c>
      <c r="DK28" s="35"/>
      <c r="DL28" s="37"/>
      <c r="FI28" t="s">
        <v>733</v>
      </c>
      <c r="FJ28" t="s">
        <v>1316</v>
      </c>
      <c r="FK28" t="s">
        <v>733</v>
      </c>
      <c r="FL28" t="s">
        <v>1750</v>
      </c>
      <c r="FM28" t="s">
        <v>733</v>
      </c>
      <c r="FN28" t="s">
        <v>1316</v>
      </c>
      <c r="FO28" t="s">
        <v>733</v>
      </c>
      <c r="FP28" t="s">
        <v>1751</v>
      </c>
      <c r="FQ28" t="s">
        <v>733</v>
      </c>
      <c r="FR28" t="s">
        <v>1752</v>
      </c>
      <c r="FS28" t="s">
        <v>733</v>
      </c>
      <c r="FT28" t="s">
        <v>1397</v>
      </c>
      <c r="FU28" t="s">
        <v>733</v>
      </c>
      <c r="FV28" t="s">
        <v>1752</v>
      </c>
      <c r="FW28" t="s">
        <v>733</v>
      </c>
      <c r="FX28" t="s">
        <v>1394</v>
      </c>
      <c r="FY28" t="s">
        <v>733</v>
      </c>
      <c r="FZ28" t="s">
        <v>1316</v>
      </c>
      <c r="GA28" t="s">
        <v>733</v>
      </c>
      <c r="GB28" t="s">
        <v>1753</v>
      </c>
      <c r="GC28" t="s">
        <v>736</v>
      </c>
      <c r="GD28" t="s">
        <v>1754</v>
      </c>
      <c r="GE28" t="s">
        <v>733</v>
      </c>
      <c r="GF28" t="s">
        <v>1755</v>
      </c>
      <c r="GG28" t="s">
        <v>746</v>
      </c>
      <c r="GH28" t="s">
        <v>1375</v>
      </c>
      <c r="GI28" t="s">
        <v>746</v>
      </c>
      <c r="GJ28" t="s">
        <v>1468</v>
      </c>
      <c r="GK28" t="s">
        <v>733</v>
      </c>
      <c r="GL28" t="s">
        <v>1316</v>
      </c>
      <c r="GM28" t="s">
        <v>746</v>
      </c>
      <c r="GN28" t="s">
        <v>1756</v>
      </c>
      <c r="GO28" t="s">
        <v>736</v>
      </c>
      <c r="GP28" t="s">
        <v>1757</v>
      </c>
      <c r="GQ28" t="s">
        <v>733</v>
      </c>
      <c r="GR28" t="s">
        <v>1758</v>
      </c>
      <c r="GS28" t="s">
        <v>733</v>
      </c>
      <c r="GT28" t="s">
        <v>1759</v>
      </c>
      <c r="GU28" t="s">
        <v>733</v>
      </c>
      <c r="GV28" t="s">
        <v>1760</v>
      </c>
      <c r="GW28" t="s">
        <v>743</v>
      </c>
      <c r="GX28" t="s">
        <v>1319</v>
      </c>
      <c r="GY28" t="s">
        <v>733</v>
      </c>
      <c r="GZ28" t="s">
        <v>1761</v>
      </c>
      <c r="HA28" t="s">
        <v>733</v>
      </c>
      <c r="HB28" t="s">
        <v>1762</v>
      </c>
      <c r="HC28" t="s">
        <v>733</v>
      </c>
      <c r="HD28" t="s">
        <v>1635</v>
      </c>
      <c r="HE28" t="s">
        <v>733</v>
      </c>
      <c r="HF28" t="s">
        <v>1763</v>
      </c>
      <c r="HG28" t="s">
        <v>736</v>
      </c>
      <c r="HH28" t="s">
        <v>1764</v>
      </c>
      <c r="HI28" t="s">
        <v>736</v>
      </c>
      <c r="HJ28" t="s">
        <v>1765</v>
      </c>
      <c r="HK28" t="s">
        <v>746</v>
      </c>
      <c r="HL28" t="s">
        <v>1408</v>
      </c>
      <c r="HM28" t="s">
        <v>746</v>
      </c>
      <c r="HN28" t="s">
        <v>1336</v>
      </c>
      <c r="HO28" t="s">
        <v>746</v>
      </c>
      <c r="HP28" t="s">
        <v>1408</v>
      </c>
      <c r="HQ28" t="s">
        <v>746</v>
      </c>
      <c r="HR28" t="s">
        <v>1336</v>
      </c>
      <c r="HS28" t="s">
        <v>733</v>
      </c>
      <c r="HT28" t="s">
        <v>1766</v>
      </c>
      <c r="HU28" t="s">
        <v>733</v>
      </c>
      <c r="HV28" t="s">
        <v>1423</v>
      </c>
      <c r="HW28" t="s">
        <v>733</v>
      </c>
      <c r="HX28" t="s">
        <v>1316</v>
      </c>
      <c r="HY28" t="s">
        <v>733</v>
      </c>
      <c r="HZ28" t="s">
        <v>1763</v>
      </c>
      <c r="IA28" t="s">
        <v>733</v>
      </c>
      <c r="IB28" t="s">
        <v>1767</v>
      </c>
      <c r="IC28" t="s">
        <v>733</v>
      </c>
      <c r="ID28" t="s">
        <v>1768</v>
      </c>
      <c r="IE28" t="s">
        <v>733</v>
      </c>
      <c r="IF28" t="s">
        <v>1769</v>
      </c>
      <c r="IG28" t="s">
        <v>733</v>
      </c>
      <c r="IH28" t="s">
        <v>1635</v>
      </c>
      <c r="II28" t="s">
        <v>733</v>
      </c>
      <c r="IJ28" t="s">
        <v>1415</v>
      </c>
      <c r="IK28" t="s">
        <v>733</v>
      </c>
      <c r="IL28" t="s">
        <v>1415</v>
      </c>
      <c r="IM28" t="s">
        <v>746</v>
      </c>
      <c r="IN28" t="s">
        <v>1770</v>
      </c>
      <c r="IO28" t="s">
        <v>733</v>
      </c>
      <c r="IP28" t="s">
        <v>1472</v>
      </c>
      <c r="IQ28" t="s">
        <v>746</v>
      </c>
      <c r="IR28" t="s">
        <v>1771</v>
      </c>
      <c r="IS28" t="s">
        <v>746</v>
      </c>
      <c r="IT28" t="s">
        <v>1374</v>
      </c>
      <c r="IU28" t="s">
        <v>746</v>
      </c>
      <c r="IV28" t="s">
        <v>1408</v>
      </c>
      <c r="IW28" t="s">
        <v>746</v>
      </c>
      <c r="IX28" t="s">
        <v>1338</v>
      </c>
      <c r="IY28" t="s">
        <v>746</v>
      </c>
      <c r="IZ28" t="s">
        <v>1408</v>
      </c>
      <c r="JA28" t="s">
        <v>746</v>
      </c>
      <c r="JB28" t="s">
        <v>1374</v>
      </c>
      <c r="JC28" t="s">
        <v>746</v>
      </c>
      <c r="JD28" t="s">
        <v>1338</v>
      </c>
      <c r="JE28" t="s">
        <v>746</v>
      </c>
      <c r="JF28" t="s">
        <v>1772</v>
      </c>
      <c r="JG28" t="s">
        <v>746</v>
      </c>
      <c r="JH28" t="s">
        <v>1375</v>
      </c>
      <c r="JI28" t="s">
        <v>746</v>
      </c>
      <c r="JJ28" t="s">
        <v>1773</v>
      </c>
      <c r="JK28" t="s">
        <v>746</v>
      </c>
      <c r="JL28" t="s">
        <v>1375</v>
      </c>
      <c r="JM28" t="s">
        <v>746</v>
      </c>
      <c r="JN28" t="s">
        <v>1408</v>
      </c>
      <c r="JO28" t="s">
        <v>746</v>
      </c>
      <c r="JP28" t="s">
        <v>1375</v>
      </c>
      <c r="JQ28" t="s">
        <v>746</v>
      </c>
      <c r="JR28" t="s">
        <v>1338</v>
      </c>
      <c r="JS28" t="s">
        <v>746</v>
      </c>
      <c r="JT28" t="s">
        <v>1338</v>
      </c>
      <c r="JU28" t="s">
        <v>746</v>
      </c>
      <c r="JV28" t="s">
        <v>1375</v>
      </c>
      <c r="JW28" t="s">
        <v>746</v>
      </c>
      <c r="JX28" t="s">
        <v>1468</v>
      </c>
      <c r="JY28" t="s">
        <v>746</v>
      </c>
      <c r="JZ28" t="s">
        <v>1774</v>
      </c>
      <c r="KA28" t="s">
        <v>746</v>
      </c>
      <c r="KB28" t="s">
        <v>1408</v>
      </c>
      <c r="KC28" t="s">
        <v>746</v>
      </c>
      <c r="KD28" t="s">
        <v>1336</v>
      </c>
      <c r="KE28" t="s">
        <v>746</v>
      </c>
      <c r="KF28" t="s">
        <v>1375</v>
      </c>
      <c r="KG28" t="s">
        <v>746</v>
      </c>
      <c r="KH28" t="s">
        <v>1408</v>
      </c>
      <c r="KI28" t="s">
        <v>746</v>
      </c>
      <c r="KJ28" t="s">
        <v>1336</v>
      </c>
      <c r="KK28" t="s">
        <v>746</v>
      </c>
      <c r="KL28" t="s">
        <v>1336</v>
      </c>
      <c r="KM28" t="s">
        <v>746</v>
      </c>
      <c r="KN28" t="s">
        <v>1468</v>
      </c>
      <c r="KO28" t="s">
        <v>746</v>
      </c>
      <c r="KP28" t="s">
        <v>1449</v>
      </c>
      <c r="KQ28" t="s">
        <v>746</v>
      </c>
      <c r="KR28" t="s">
        <v>1375</v>
      </c>
      <c r="KS28" t="s">
        <v>746</v>
      </c>
      <c r="KT28" t="s">
        <v>1408</v>
      </c>
      <c r="KU28" t="s">
        <v>746</v>
      </c>
      <c r="KV28" t="s">
        <v>1468</v>
      </c>
      <c r="KW28" t="s">
        <v>746</v>
      </c>
      <c r="KX28" t="s">
        <v>1449</v>
      </c>
      <c r="KY28" t="s">
        <v>746</v>
      </c>
      <c r="KZ28" t="s">
        <v>1375</v>
      </c>
      <c r="LA28" t="s">
        <v>746</v>
      </c>
      <c r="LB28" t="s">
        <v>1336</v>
      </c>
      <c r="LC28" t="s">
        <v>746</v>
      </c>
      <c r="LD28" t="s">
        <v>1449</v>
      </c>
      <c r="LE28" t="s">
        <v>746</v>
      </c>
      <c r="LF28" t="s">
        <v>1408</v>
      </c>
      <c r="LG28" t="s">
        <v>746</v>
      </c>
      <c r="LH28" t="s">
        <v>1375</v>
      </c>
      <c r="LI28" t="s">
        <v>746</v>
      </c>
      <c r="LJ28" t="s">
        <v>1774</v>
      </c>
      <c r="LK28" t="s">
        <v>746</v>
      </c>
      <c r="LL28" t="s">
        <v>1375</v>
      </c>
      <c r="LM28" t="s">
        <v>746</v>
      </c>
      <c r="LN28" t="s">
        <v>1775</v>
      </c>
      <c r="LO28" t="s">
        <v>746</v>
      </c>
      <c r="LP28" t="s">
        <v>1449</v>
      </c>
      <c r="LQ28" t="s">
        <v>746</v>
      </c>
      <c r="LR28" t="s">
        <v>1776</v>
      </c>
      <c r="LS28" t="s">
        <v>746</v>
      </c>
      <c r="LT28" t="s">
        <v>1777</v>
      </c>
      <c r="LU28" t="s">
        <v>746</v>
      </c>
      <c r="LV28" t="s">
        <v>1778</v>
      </c>
      <c r="LW28" t="s">
        <v>746</v>
      </c>
      <c r="LX28" t="s">
        <v>1319</v>
      </c>
      <c r="LY28" t="s">
        <v>746</v>
      </c>
      <c r="LZ28" t="s">
        <v>1319</v>
      </c>
      <c r="MA28" t="s">
        <v>746</v>
      </c>
      <c r="MB28" t="s">
        <v>1483</v>
      </c>
      <c r="MC28" t="s">
        <v>746</v>
      </c>
      <c r="MD28" t="s">
        <v>1483</v>
      </c>
      <c r="ME28" t="s">
        <v>746</v>
      </c>
      <c r="MF28" t="s">
        <v>1483</v>
      </c>
      <c r="MG28" t="s">
        <v>746</v>
      </c>
      <c r="MH28" t="s">
        <v>1483</v>
      </c>
      <c r="MI28" t="s">
        <v>746</v>
      </c>
      <c r="MJ28" t="s">
        <v>1483</v>
      </c>
      <c r="MK28" t="s">
        <v>746</v>
      </c>
      <c r="ML28" t="s">
        <v>1483</v>
      </c>
      <c r="MO28" t="s">
        <v>783</v>
      </c>
      <c r="MP28" t="s">
        <v>783</v>
      </c>
      <c r="MQ28" t="s">
        <v>783</v>
      </c>
      <c r="MR28" t="s">
        <v>783</v>
      </c>
      <c r="MS28" t="s">
        <v>783</v>
      </c>
      <c r="MT28" t="s">
        <v>783</v>
      </c>
      <c r="MU28" t="s">
        <v>783</v>
      </c>
      <c r="MV28" t="s">
        <v>783</v>
      </c>
      <c r="MW28" t="s">
        <v>783</v>
      </c>
      <c r="MX28" t="s">
        <v>783</v>
      </c>
      <c r="MZ28" t="s">
        <v>783</v>
      </c>
      <c r="NA28" t="s">
        <v>783</v>
      </c>
      <c r="NB28" t="s">
        <v>783</v>
      </c>
      <c r="NC28" t="s">
        <v>783</v>
      </c>
      <c r="ND28" t="s">
        <v>783</v>
      </c>
      <c r="NE28" t="s">
        <v>784</v>
      </c>
      <c r="NF28" t="s">
        <v>784</v>
      </c>
      <c r="NG28" t="s">
        <v>784</v>
      </c>
      <c r="NH28" t="s">
        <v>784</v>
      </c>
      <c r="NI28" t="s">
        <v>783</v>
      </c>
      <c r="NJ28" t="s">
        <v>783</v>
      </c>
      <c r="NK28" t="s">
        <v>783</v>
      </c>
      <c r="NL28" t="s">
        <v>783</v>
      </c>
      <c r="NM28" t="s">
        <v>783</v>
      </c>
      <c r="NN28" t="s">
        <v>783</v>
      </c>
      <c r="NO28" t="s">
        <v>784</v>
      </c>
      <c r="NP28" t="s">
        <v>783</v>
      </c>
      <c r="NQ28" t="s">
        <v>783</v>
      </c>
      <c r="NR28" t="s">
        <v>783</v>
      </c>
      <c r="NS28" t="s">
        <v>784</v>
      </c>
      <c r="NT28" t="s">
        <v>784</v>
      </c>
      <c r="NU28" t="s">
        <v>783</v>
      </c>
      <c r="NV28" t="s">
        <v>784</v>
      </c>
      <c r="NW28" t="s">
        <v>784</v>
      </c>
      <c r="NX28" t="s">
        <v>784</v>
      </c>
      <c r="NY28" t="s">
        <v>784</v>
      </c>
      <c r="NZ28" t="s">
        <v>783</v>
      </c>
      <c r="OA28" t="s">
        <v>783</v>
      </c>
      <c r="OB28" t="s">
        <v>784</v>
      </c>
      <c r="OC28" t="s">
        <v>784</v>
      </c>
      <c r="OD28" t="s">
        <v>783</v>
      </c>
      <c r="OE28" t="s">
        <v>783</v>
      </c>
      <c r="OF28" t="s">
        <v>783</v>
      </c>
      <c r="OG28" t="s">
        <v>783</v>
      </c>
      <c r="OH28" t="s">
        <v>784</v>
      </c>
      <c r="OI28" t="s">
        <v>783</v>
      </c>
      <c r="OJ28" t="s">
        <v>783</v>
      </c>
    </row>
    <row r="29" spans="1:400" x14ac:dyDescent="0.25">
      <c r="A29">
        <v>25</v>
      </c>
      <c r="B29" t="s">
        <v>186</v>
      </c>
      <c r="C29" t="s">
        <v>187</v>
      </c>
      <c r="D29" t="s">
        <v>57</v>
      </c>
      <c r="E29">
        <v>42</v>
      </c>
      <c r="F29" t="s">
        <v>58</v>
      </c>
      <c r="G29" t="s">
        <v>59</v>
      </c>
      <c r="H29" t="s">
        <v>60</v>
      </c>
      <c r="I29" t="s">
        <v>61</v>
      </c>
      <c r="J29" t="s">
        <v>62</v>
      </c>
      <c r="K29" t="s">
        <v>63</v>
      </c>
      <c r="M29" t="s">
        <v>146</v>
      </c>
      <c r="N29" t="s">
        <v>70</v>
      </c>
      <c r="O29">
        <v>8</v>
      </c>
      <c r="P29" s="1">
        <v>100000</v>
      </c>
      <c r="Q29" s="1">
        <v>0</v>
      </c>
      <c r="R29" t="s">
        <v>188</v>
      </c>
      <c r="S29" s="7">
        <v>30000</v>
      </c>
      <c r="T29" t="s">
        <v>70</v>
      </c>
      <c r="U29" s="5">
        <v>0</v>
      </c>
      <c r="V29" s="3" t="s">
        <v>70</v>
      </c>
      <c r="W29" s="5">
        <v>0</v>
      </c>
      <c r="X29" t="s">
        <v>94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 t="s">
        <v>63</v>
      </c>
      <c r="AR29">
        <v>1</v>
      </c>
      <c r="AS29" s="2">
        <v>0.75</v>
      </c>
      <c r="AT29" t="s">
        <v>531</v>
      </c>
      <c r="AU29">
        <v>0</v>
      </c>
      <c r="AV29">
        <v>0</v>
      </c>
      <c r="AW29">
        <v>1</v>
      </c>
      <c r="AX29">
        <v>0</v>
      </c>
      <c r="AY29">
        <v>0</v>
      </c>
      <c r="AZ29" t="s">
        <v>543</v>
      </c>
      <c r="BA29" t="s">
        <v>511</v>
      </c>
      <c r="BC29" t="s">
        <v>512</v>
      </c>
      <c r="BD29" t="s">
        <v>507</v>
      </c>
      <c r="BE29">
        <v>2004</v>
      </c>
      <c r="BF29">
        <v>19</v>
      </c>
      <c r="BG29" t="s">
        <v>508</v>
      </c>
      <c r="BH29">
        <v>1</v>
      </c>
      <c r="BI29">
        <v>0</v>
      </c>
      <c r="BJ29">
        <v>0</v>
      </c>
      <c r="BK29">
        <v>0</v>
      </c>
      <c r="BL29">
        <v>0</v>
      </c>
      <c r="BM29" t="s">
        <v>63</v>
      </c>
      <c r="BN29" t="s">
        <v>84</v>
      </c>
      <c r="CL29" t="s">
        <v>3863</v>
      </c>
      <c r="CM29" t="s">
        <v>785</v>
      </c>
      <c r="CN29" t="s">
        <v>84</v>
      </c>
      <c r="CO29" t="s">
        <v>84</v>
      </c>
      <c r="CP29" t="s">
        <v>3992</v>
      </c>
      <c r="CQ29" t="s">
        <v>3959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Y29" t="s">
        <v>3993</v>
      </c>
      <c r="CZ29" s="26" t="s">
        <v>4213</v>
      </c>
      <c r="DA29" s="27" t="s">
        <v>4192</v>
      </c>
      <c r="DB29" t="s">
        <v>1779</v>
      </c>
      <c r="DC29">
        <v>1</v>
      </c>
      <c r="DD29">
        <v>1</v>
      </c>
      <c r="DE29">
        <v>0</v>
      </c>
      <c r="DF29">
        <v>0</v>
      </c>
      <c r="DG29">
        <v>0</v>
      </c>
      <c r="DH29">
        <v>0</v>
      </c>
      <c r="DJ29" t="s">
        <v>84</v>
      </c>
      <c r="DK29" s="35"/>
      <c r="DL29" s="37"/>
      <c r="FI29" t="s">
        <v>736</v>
      </c>
      <c r="FJ29" t="s">
        <v>1353</v>
      </c>
      <c r="FK29" t="s">
        <v>733</v>
      </c>
      <c r="FL29" t="s">
        <v>1395</v>
      </c>
      <c r="FM29" t="s">
        <v>736</v>
      </c>
      <c r="FN29" t="s">
        <v>1358</v>
      </c>
      <c r="FO29" t="s">
        <v>733</v>
      </c>
      <c r="FP29" t="s">
        <v>1780</v>
      </c>
      <c r="FQ29" t="s">
        <v>736</v>
      </c>
      <c r="FR29" t="s">
        <v>1358</v>
      </c>
      <c r="FS29" t="s">
        <v>733</v>
      </c>
      <c r="FT29" t="s">
        <v>1781</v>
      </c>
      <c r="FU29" t="s">
        <v>736</v>
      </c>
      <c r="FV29" t="s">
        <v>1782</v>
      </c>
      <c r="FW29" t="s">
        <v>733</v>
      </c>
      <c r="FX29" t="s">
        <v>1783</v>
      </c>
      <c r="FY29" t="s">
        <v>746</v>
      </c>
      <c r="FZ29" t="s">
        <v>1784</v>
      </c>
      <c r="GA29" t="s">
        <v>733</v>
      </c>
      <c r="GB29" t="s">
        <v>1785</v>
      </c>
      <c r="GC29" t="s">
        <v>736</v>
      </c>
      <c r="GD29" t="s">
        <v>1786</v>
      </c>
      <c r="GE29" t="s">
        <v>733</v>
      </c>
      <c r="GF29" t="s">
        <v>1787</v>
      </c>
      <c r="GG29" t="s">
        <v>746</v>
      </c>
      <c r="GH29" t="s">
        <v>1375</v>
      </c>
      <c r="GI29" t="s">
        <v>733</v>
      </c>
      <c r="GJ29" t="s">
        <v>1788</v>
      </c>
      <c r="GK29" t="s">
        <v>733</v>
      </c>
      <c r="GL29" t="s">
        <v>1763</v>
      </c>
      <c r="GM29" t="s">
        <v>733</v>
      </c>
      <c r="GN29" t="s">
        <v>1390</v>
      </c>
      <c r="GO29" t="s">
        <v>733</v>
      </c>
      <c r="GP29" t="s">
        <v>1759</v>
      </c>
      <c r="GQ29" t="s">
        <v>733</v>
      </c>
      <c r="GR29" t="s">
        <v>1789</v>
      </c>
      <c r="GS29" t="s">
        <v>733</v>
      </c>
      <c r="GT29" t="s">
        <v>1759</v>
      </c>
      <c r="GU29" t="s">
        <v>733</v>
      </c>
      <c r="GV29" t="s">
        <v>1790</v>
      </c>
      <c r="GW29" t="s">
        <v>736</v>
      </c>
      <c r="GX29" t="s">
        <v>1358</v>
      </c>
      <c r="GY29" t="s">
        <v>736</v>
      </c>
      <c r="GZ29" t="s">
        <v>1358</v>
      </c>
      <c r="HA29" t="s">
        <v>736</v>
      </c>
      <c r="HB29" t="s">
        <v>1358</v>
      </c>
      <c r="HC29" t="s">
        <v>736</v>
      </c>
      <c r="HD29" t="s">
        <v>1791</v>
      </c>
      <c r="HE29" t="s">
        <v>798</v>
      </c>
      <c r="HF29" t="s">
        <v>1792</v>
      </c>
      <c r="HG29" t="s">
        <v>736</v>
      </c>
      <c r="HH29" t="s">
        <v>1792</v>
      </c>
      <c r="HI29" t="s">
        <v>736</v>
      </c>
      <c r="HJ29" t="s">
        <v>1358</v>
      </c>
      <c r="HK29" t="s">
        <v>743</v>
      </c>
      <c r="HL29" t="s">
        <v>1793</v>
      </c>
      <c r="HM29" t="s">
        <v>743</v>
      </c>
      <c r="HN29" t="s">
        <v>1794</v>
      </c>
      <c r="HO29" t="s">
        <v>746</v>
      </c>
      <c r="HP29" t="s">
        <v>1795</v>
      </c>
      <c r="HQ29" t="s">
        <v>746</v>
      </c>
      <c r="HR29" t="s">
        <v>1796</v>
      </c>
      <c r="HS29" t="s">
        <v>736</v>
      </c>
      <c r="HT29" t="s">
        <v>1797</v>
      </c>
      <c r="HU29" t="s">
        <v>736</v>
      </c>
      <c r="HV29" t="s">
        <v>1798</v>
      </c>
      <c r="HW29" t="s">
        <v>736</v>
      </c>
      <c r="HX29" t="s">
        <v>1411</v>
      </c>
      <c r="HY29" t="s">
        <v>746</v>
      </c>
      <c r="HZ29" t="s">
        <v>1331</v>
      </c>
      <c r="IA29" t="s">
        <v>736</v>
      </c>
      <c r="IB29" t="s">
        <v>1799</v>
      </c>
      <c r="IC29" t="s">
        <v>736</v>
      </c>
      <c r="ID29" t="s">
        <v>1800</v>
      </c>
      <c r="IE29" t="s">
        <v>746</v>
      </c>
      <c r="IF29" t="s">
        <v>1420</v>
      </c>
      <c r="IG29" t="s">
        <v>746</v>
      </c>
      <c r="IH29" t="s">
        <v>1801</v>
      </c>
      <c r="II29" t="s">
        <v>736</v>
      </c>
      <c r="IJ29" t="s">
        <v>1764</v>
      </c>
      <c r="IK29" t="s">
        <v>736</v>
      </c>
      <c r="IL29" t="s">
        <v>1764</v>
      </c>
      <c r="IM29" t="s">
        <v>746</v>
      </c>
      <c r="IN29" t="s">
        <v>1375</v>
      </c>
      <c r="IO29" t="s">
        <v>746</v>
      </c>
      <c r="IP29" t="s">
        <v>1408</v>
      </c>
      <c r="IQ29" t="s">
        <v>746</v>
      </c>
      <c r="IR29" t="s">
        <v>1802</v>
      </c>
      <c r="IS29" t="s">
        <v>746</v>
      </c>
      <c r="IT29" t="s">
        <v>1375</v>
      </c>
      <c r="IU29" t="s">
        <v>746</v>
      </c>
      <c r="IV29" t="s">
        <v>1375</v>
      </c>
      <c r="IW29" t="s">
        <v>746</v>
      </c>
      <c r="IX29" t="s">
        <v>1408</v>
      </c>
      <c r="IY29" t="s">
        <v>746</v>
      </c>
      <c r="IZ29" t="s">
        <v>1375</v>
      </c>
      <c r="JA29" t="s">
        <v>746</v>
      </c>
      <c r="JB29" t="s">
        <v>1337</v>
      </c>
      <c r="JC29" t="s">
        <v>746</v>
      </c>
      <c r="JD29" t="s">
        <v>1375</v>
      </c>
      <c r="JE29" t="s">
        <v>746</v>
      </c>
      <c r="JF29" t="s">
        <v>1408</v>
      </c>
      <c r="JG29" t="s">
        <v>746</v>
      </c>
      <c r="JH29" t="s">
        <v>1375</v>
      </c>
      <c r="JI29" t="s">
        <v>746</v>
      </c>
      <c r="JJ29" t="s">
        <v>1408</v>
      </c>
      <c r="JK29" t="s">
        <v>746</v>
      </c>
      <c r="JL29" t="s">
        <v>1336</v>
      </c>
      <c r="JM29" t="s">
        <v>746</v>
      </c>
      <c r="JN29" t="s">
        <v>1375</v>
      </c>
      <c r="JO29" t="s">
        <v>746</v>
      </c>
      <c r="JP29" t="s">
        <v>1375</v>
      </c>
      <c r="JQ29" t="s">
        <v>746</v>
      </c>
      <c r="JR29" t="s">
        <v>1336</v>
      </c>
      <c r="JS29" t="s">
        <v>746</v>
      </c>
      <c r="JT29" t="s">
        <v>1408</v>
      </c>
      <c r="JU29" t="s">
        <v>746</v>
      </c>
      <c r="JV29" t="s">
        <v>1336</v>
      </c>
      <c r="JW29" t="s">
        <v>746</v>
      </c>
      <c r="JX29" t="s">
        <v>1375</v>
      </c>
      <c r="JY29" t="s">
        <v>746</v>
      </c>
      <c r="JZ29" t="s">
        <v>1408</v>
      </c>
      <c r="KA29" t="s">
        <v>746</v>
      </c>
      <c r="KB29" t="s">
        <v>1408</v>
      </c>
      <c r="KC29" t="s">
        <v>746</v>
      </c>
      <c r="KD29" t="s">
        <v>1336</v>
      </c>
      <c r="KE29" t="s">
        <v>746</v>
      </c>
      <c r="KF29" t="s">
        <v>1375</v>
      </c>
      <c r="KG29" t="s">
        <v>746</v>
      </c>
      <c r="KH29" t="s">
        <v>1408</v>
      </c>
      <c r="KI29" t="s">
        <v>746</v>
      </c>
      <c r="KJ29" t="s">
        <v>1375</v>
      </c>
      <c r="KK29" t="s">
        <v>746</v>
      </c>
      <c r="KL29" t="s">
        <v>1336</v>
      </c>
      <c r="KM29" t="s">
        <v>746</v>
      </c>
      <c r="KN29" t="s">
        <v>1375</v>
      </c>
      <c r="KO29" t="s">
        <v>746</v>
      </c>
      <c r="KP29" t="s">
        <v>1336</v>
      </c>
      <c r="KQ29" t="s">
        <v>746</v>
      </c>
      <c r="KR29" t="s">
        <v>1375</v>
      </c>
      <c r="KS29" t="s">
        <v>746</v>
      </c>
      <c r="KT29" t="s">
        <v>1408</v>
      </c>
      <c r="KU29" t="s">
        <v>746</v>
      </c>
      <c r="KV29" t="s">
        <v>1803</v>
      </c>
      <c r="KW29" t="s">
        <v>746</v>
      </c>
      <c r="KX29" t="s">
        <v>1804</v>
      </c>
      <c r="KY29" t="s">
        <v>746</v>
      </c>
      <c r="KZ29" t="s">
        <v>1805</v>
      </c>
      <c r="LA29" t="s">
        <v>746</v>
      </c>
      <c r="LB29" t="s">
        <v>1806</v>
      </c>
      <c r="LC29" t="s">
        <v>733</v>
      </c>
      <c r="LD29" t="s">
        <v>1365</v>
      </c>
      <c r="LE29" t="s">
        <v>733</v>
      </c>
      <c r="LF29" t="s">
        <v>1415</v>
      </c>
      <c r="LG29" t="s">
        <v>746</v>
      </c>
      <c r="LH29" t="s">
        <v>1415</v>
      </c>
      <c r="LI29" t="s">
        <v>733</v>
      </c>
      <c r="LJ29" t="s">
        <v>1415</v>
      </c>
      <c r="LK29" t="s">
        <v>746</v>
      </c>
      <c r="LL29" t="s">
        <v>1336</v>
      </c>
      <c r="LM29" t="s">
        <v>746</v>
      </c>
      <c r="LN29" t="s">
        <v>1375</v>
      </c>
      <c r="LO29" t="s">
        <v>746</v>
      </c>
      <c r="LP29" t="s">
        <v>1375</v>
      </c>
      <c r="LQ29" t="s">
        <v>746</v>
      </c>
      <c r="LR29" t="s">
        <v>1408</v>
      </c>
      <c r="LS29" t="s">
        <v>733</v>
      </c>
      <c r="LT29" t="s">
        <v>1763</v>
      </c>
      <c r="LU29" t="s">
        <v>733</v>
      </c>
      <c r="LV29" t="s">
        <v>1807</v>
      </c>
      <c r="LW29" t="s">
        <v>746</v>
      </c>
      <c r="LX29" t="s">
        <v>1408</v>
      </c>
      <c r="LY29" t="s">
        <v>746</v>
      </c>
      <c r="LZ29" t="s">
        <v>1408</v>
      </c>
      <c r="MA29" t="s">
        <v>746</v>
      </c>
      <c r="MB29" t="s">
        <v>1408</v>
      </c>
      <c r="MC29" t="s">
        <v>746</v>
      </c>
      <c r="MD29" t="s">
        <v>1408</v>
      </c>
      <c r="ME29" t="s">
        <v>733</v>
      </c>
      <c r="MF29" t="s">
        <v>1808</v>
      </c>
      <c r="MG29" t="s">
        <v>733</v>
      </c>
      <c r="MH29" t="s">
        <v>1415</v>
      </c>
      <c r="MI29" t="s">
        <v>746</v>
      </c>
      <c r="MJ29" t="s">
        <v>1809</v>
      </c>
      <c r="MK29" t="s">
        <v>746</v>
      </c>
      <c r="ML29" t="s">
        <v>1408</v>
      </c>
      <c r="MO29" t="s">
        <v>783</v>
      </c>
      <c r="MP29" t="s">
        <v>784</v>
      </c>
      <c r="MQ29" t="s">
        <v>781</v>
      </c>
      <c r="MR29" t="s">
        <v>783</v>
      </c>
      <c r="MS29" t="s">
        <v>783</v>
      </c>
      <c r="MT29" t="s">
        <v>783</v>
      </c>
      <c r="MU29" t="s">
        <v>783</v>
      </c>
      <c r="MV29" t="s">
        <v>783</v>
      </c>
      <c r="MW29" t="s">
        <v>783</v>
      </c>
      <c r="MX29" t="s">
        <v>783</v>
      </c>
      <c r="MZ29" t="s">
        <v>783</v>
      </c>
      <c r="NA29" t="s">
        <v>783</v>
      </c>
      <c r="NB29" t="s">
        <v>783</v>
      </c>
      <c r="NC29" t="s">
        <v>783</v>
      </c>
      <c r="ND29" t="s">
        <v>784</v>
      </c>
      <c r="NE29" t="s">
        <v>784</v>
      </c>
      <c r="NF29" t="s">
        <v>784</v>
      </c>
      <c r="NG29" t="s">
        <v>783</v>
      </c>
      <c r="NH29" t="s">
        <v>783</v>
      </c>
      <c r="NI29" t="s">
        <v>783</v>
      </c>
      <c r="NJ29" t="s">
        <v>783</v>
      </c>
      <c r="NK29" t="s">
        <v>784</v>
      </c>
      <c r="NL29" t="s">
        <v>783</v>
      </c>
      <c r="NM29" t="s">
        <v>784</v>
      </c>
      <c r="NN29" t="s">
        <v>784</v>
      </c>
      <c r="NO29" t="s">
        <v>784</v>
      </c>
      <c r="NP29" t="s">
        <v>783</v>
      </c>
      <c r="NQ29" t="s">
        <v>783</v>
      </c>
      <c r="NR29" t="s">
        <v>783</v>
      </c>
      <c r="NS29" t="s">
        <v>784</v>
      </c>
      <c r="NT29" t="s">
        <v>784</v>
      </c>
      <c r="NU29" t="s">
        <v>783</v>
      </c>
      <c r="NV29" t="s">
        <v>784</v>
      </c>
      <c r="NW29" t="s">
        <v>784</v>
      </c>
      <c r="NX29" t="s">
        <v>783</v>
      </c>
      <c r="NY29" t="s">
        <v>784</v>
      </c>
      <c r="NZ29" t="s">
        <v>784</v>
      </c>
      <c r="OA29" t="s">
        <v>783</v>
      </c>
      <c r="OB29" t="s">
        <v>783</v>
      </c>
      <c r="OC29" t="s">
        <v>784</v>
      </c>
      <c r="OD29" t="s">
        <v>783</v>
      </c>
      <c r="OE29" t="s">
        <v>783</v>
      </c>
      <c r="OF29" t="s">
        <v>783</v>
      </c>
      <c r="OG29" t="s">
        <v>783</v>
      </c>
      <c r="OH29" t="s">
        <v>783</v>
      </c>
      <c r="OI29" t="s">
        <v>783</v>
      </c>
      <c r="OJ29" t="s">
        <v>783</v>
      </c>
    </row>
    <row r="30" spans="1:400" x14ac:dyDescent="0.25">
      <c r="A30">
        <v>26</v>
      </c>
      <c r="B30" t="s">
        <v>189</v>
      </c>
      <c r="C30" t="s">
        <v>190</v>
      </c>
      <c r="D30" t="s">
        <v>97</v>
      </c>
      <c r="E30">
        <v>28</v>
      </c>
      <c r="F30" t="s">
        <v>58</v>
      </c>
      <c r="G30" t="s">
        <v>76</v>
      </c>
      <c r="H30" t="s">
        <v>60</v>
      </c>
      <c r="I30" t="s">
        <v>113</v>
      </c>
      <c r="J30" t="s">
        <v>62</v>
      </c>
      <c r="K30" t="s">
        <v>84</v>
      </c>
      <c r="L30" t="s">
        <v>191</v>
      </c>
      <c r="M30" t="s">
        <v>146</v>
      </c>
      <c r="N30" t="s">
        <v>70</v>
      </c>
      <c r="O30">
        <v>6</v>
      </c>
      <c r="P30" s="1">
        <v>60000</v>
      </c>
      <c r="Q30" s="1">
        <v>0</v>
      </c>
      <c r="R30" t="s">
        <v>192</v>
      </c>
      <c r="S30" s="7">
        <v>45000</v>
      </c>
      <c r="T30" t="s">
        <v>193</v>
      </c>
      <c r="U30" s="5">
        <v>15000</v>
      </c>
      <c r="V30" s="3" t="s">
        <v>70</v>
      </c>
      <c r="W30" s="5">
        <v>0</v>
      </c>
      <c r="X30" t="s">
        <v>94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 t="s">
        <v>63</v>
      </c>
      <c r="AR30">
        <v>1</v>
      </c>
      <c r="AS30" s="2">
        <v>0.75</v>
      </c>
      <c r="AT30" t="s">
        <v>531</v>
      </c>
      <c r="AU30">
        <v>0</v>
      </c>
      <c r="AV30">
        <v>0</v>
      </c>
      <c r="AW30">
        <v>1</v>
      </c>
      <c r="AX30">
        <v>0</v>
      </c>
      <c r="AY30">
        <v>0</v>
      </c>
      <c r="AZ30" t="s">
        <v>534</v>
      </c>
      <c r="BA30" t="s">
        <v>71</v>
      </c>
      <c r="BB30" t="s">
        <v>544</v>
      </c>
      <c r="BC30" t="s">
        <v>545</v>
      </c>
      <c r="BD30" t="s">
        <v>507</v>
      </c>
      <c r="BE30">
        <v>2019</v>
      </c>
      <c r="BF30">
        <v>4</v>
      </c>
      <c r="BG30" t="s">
        <v>508</v>
      </c>
      <c r="BH30">
        <v>1</v>
      </c>
      <c r="BI30">
        <v>0</v>
      </c>
      <c r="BJ30">
        <v>0</v>
      </c>
      <c r="BK30">
        <v>0</v>
      </c>
      <c r="BL30">
        <v>0</v>
      </c>
      <c r="BM30" t="s">
        <v>63</v>
      </c>
      <c r="BN30" t="s">
        <v>84</v>
      </c>
      <c r="CM30" t="s">
        <v>785</v>
      </c>
      <c r="CN30" t="s">
        <v>63</v>
      </c>
      <c r="CO30" t="s">
        <v>732</v>
      </c>
      <c r="CZ30" s="26"/>
      <c r="DA30" s="27"/>
      <c r="DJ30" t="s">
        <v>84</v>
      </c>
      <c r="DK30" s="35"/>
      <c r="DL30" s="37"/>
      <c r="FI30" t="s">
        <v>736</v>
      </c>
      <c r="FJ30" t="s">
        <v>1802</v>
      </c>
      <c r="FK30" t="s">
        <v>736</v>
      </c>
      <c r="FL30" t="s">
        <v>1482</v>
      </c>
      <c r="FM30" t="s">
        <v>736</v>
      </c>
      <c r="FN30" t="s">
        <v>1375</v>
      </c>
      <c r="FO30" t="s">
        <v>736</v>
      </c>
      <c r="FP30" t="s">
        <v>1810</v>
      </c>
      <c r="FQ30" t="s">
        <v>736</v>
      </c>
      <c r="FR30" t="s">
        <v>1811</v>
      </c>
      <c r="FS30" t="s">
        <v>736</v>
      </c>
      <c r="FT30" t="s">
        <v>1319</v>
      </c>
      <c r="FU30" t="s">
        <v>733</v>
      </c>
      <c r="FV30" t="s">
        <v>1422</v>
      </c>
      <c r="FW30" t="s">
        <v>733</v>
      </c>
      <c r="FX30" t="s">
        <v>1395</v>
      </c>
      <c r="FY30" t="s">
        <v>736</v>
      </c>
      <c r="FZ30" t="s">
        <v>1812</v>
      </c>
      <c r="GA30" t="s">
        <v>733</v>
      </c>
      <c r="GB30" t="s">
        <v>1813</v>
      </c>
      <c r="GC30" t="s">
        <v>736</v>
      </c>
      <c r="GD30" t="s">
        <v>1812</v>
      </c>
      <c r="GE30" t="s">
        <v>733</v>
      </c>
      <c r="GF30" t="s">
        <v>1332</v>
      </c>
      <c r="GG30" t="s">
        <v>736</v>
      </c>
      <c r="GH30" t="s">
        <v>1375</v>
      </c>
      <c r="GI30" t="s">
        <v>733</v>
      </c>
      <c r="GJ30" t="s">
        <v>1332</v>
      </c>
      <c r="GK30" t="s">
        <v>733</v>
      </c>
      <c r="GL30" t="s">
        <v>1763</v>
      </c>
      <c r="GM30" t="s">
        <v>733</v>
      </c>
      <c r="GN30" t="s">
        <v>1415</v>
      </c>
      <c r="GO30" t="s">
        <v>733</v>
      </c>
      <c r="GP30" t="s">
        <v>1763</v>
      </c>
      <c r="GQ30" t="s">
        <v>733</v>
      </c>
      <c r="GR30" t="s">
        <v>1814</v>
      </c>
      <c r="GS30" t="s">
        <v>777</v>
      </c>
      <c r="GT30" t="s">
        <v>1815</v>
      </c>
      <c r="GU30" t="s">
        <v>733</v>
      </c>
      <c r="GV30" t="s">
        <v>1395</v>
      </c>
      <c r="GW30" t="s">
        <v>736</v>
      </c>
      <c r="GX30" t="s">
        <v>1319</v>
      </c>
      <c r="GY30" t="s">
        <v>736</v>
      </c>
      <c r="GZ30" t="s">
        <v>1816</v>
      </c>
      <c r="HA30" t="s">
        <v>736</v>
      </c>
      <c r="HB30" t="s">
        <v>1319</v>
      </c>
      <c r="HC30" t="s">
        <v>736</v>
      </c>
      <c r="HD30" t="s">
        <v>1817</v>
      </c>
      <c r="HE30" t="s">
        <v>798</v>
      </c>
      <c r="HF30" t="s">
        <v>1319</v>
      </c>
      <c r="HG30" t="s">
        <v>736</v>
      </c>
      <c r="HH30" t="s">
        <v>1812</v>
      </c>
      <c r="HI30" t="s">
        <v>736</v>
      </c>
      <c r="HJ30" t="s">
        <v>1812</v>
      </c>
      <c r="HK30" t="s">
        <v>733</v>
      </c>
      <c r="HL30" t="s">
        <v>1415</v>
      </c>
      <c r="HM30" t="s">
        <v>733</v>
      </c>
      <c r="HN30" t="s">
        <v>1415</v>
      </c>
      <c r="HO30" t="s">
        <v>746</v>
      </c>
      <c r="HP30" t="s">
        <v>1818</v>
      </c>
      <c r="HQ30" t="s">
        <v>746</v>
      </c>
      <c r="HR30" t="s">
        <v>1446</v>
      </c>
      <c r="HS30" t="s">
        <v>777</v>
      </c>
      <c r="HT30" t="s">
        <v>1819</v>
      </c>
      <c r="HU30" t="s">
        <v>736</v>
      </c>
      <c r="HV30" t="s">
        <v>1820</v>
      </c>
      <c r="HW30" t="s">
        <v>736</v>
      </c>
      <c r="HX30" t="s">
        <v>1821</v>
      </c>
      <c r="HY30" t="s">
        <v>736</v>
      </c>
      <c r="HZ30" t="s">
        <v>1437</v>
      </c>
      <c r="IA30" t="s">
        <v>736</v>
      </c>
      <c r="IB30" t="s">
        <v>1822</v>
      </c>
      <c r="IC30" t="s">
        <v>736</v>
      </c>
      <c r="ID30" t="s">
        <v>1823</v>
      </c>
      <c r="IE30" t="s">
        <v>733</v>
      </c>
      <c r="IF30" t="s">
        <v>1824</v>
      </c>
      <c r="IG30" t="s">
        <v>736</v>
      </c>
      <c r="IH30" t="s">
        <v>1825</v>
      </c>
      <c r="II30" t="s">
        <v>736</v>
      </c>
      <c r="IJ30" t="s">
        <v>1821</v>
      </c>
      <c r="IK30" t="s">
        <v>736</v>
      </c>
      <c r="IL30" t="s">
        <v>1826</v>
      </c>
      <c r="IM30" t="s">
        <v>736</v>
      </c>
      <c r="IN30" t="s">
        <v>1827</v>
      </c>
      <c r="IO30" t="s">
        <v>736</v>
      </c>
      <c r="IP30" t="s">
        <v>1828</v>
      </c>
      <c r="IQ30" t="s">
        <v>736</v>
      </c>
      <c r="IR30" t="s">
        <v>1829</v>
      </c>
      <c r="IS30" t="s">
        <v>736</v>
      </c>
      <c r="IT30" t="s">
        <v>1830</v>
      </c>
      <c r="IU30" t="s">
        <v>736</v>
      </c>
      <c r="IV30" t="s">
        <v>1831</v>
      </c>
      <c r="IW30" t="s">
        <v>736</v>
      </c>
      <c r="IX30" t="s">
        <v>1832</v>
      </c>
      <c r="IY30" t="s">
        <v>736</v>
      </c>
      <c r="IZ30" t="s">
        <v>1833</v>
      </c>
      <c r="JA30" t="s">
        <v>736</v>
      </c>
      <c r="JB30" t="s">
        <v>1830</v>
      </c>
      <c r="JC30" t="s">
        <v>736</v>
      </c>
      <c r="JD30" t="s">
        <v>1833</v>
      </c>
      <c r="JE30" t="s">
        <v>736</v>
      </c>
      <c r="JF30" t="s">
        <v>1834</v>
      </c>
      <c r="JG30" t="s">
        <v>736</v>
      </c>
      <c r="JH30" t="s">
        <v>1835</v>
      </c>
      <c r="JI30" t="s">
        <v>736</v>
      </c>
      <c r="JJ30" t="s">
        <v>1833</v>
      </c>
      <c r="JK30" t="s">
        <v>736</v>
      </c>
      <c r="JL30" t="s">
        <v>1827</v>
      </c>
      <c r="JM30" t="s">
        <v>736</v>
      </c>
      <c r="JN30" t="s">
        <v>1833</v>
      </c>
      <c r="JO30" t="s">
        <v>736</v>
      </c>
      <c r="JP30" t="s">
        <v>1833</v>
      </c>
      <c r="JQ30" t="s">
        <v>736</v>
      </c>
      <c r="JR30" t="s">
        <v>1831</v>
      </c>
      <c r="JS30" t="s">
        <v>736</v>
      </c>
      <c r="JT30" t="s">
        <v>1836</v>
      </c>
      <c r="JU30" t="s">
        <v>736</v>
      </c>
      <c r="JV30" t="s">
        <v>1833</v>
      </c>
      <c r="JW30" t="s">
        <v>736</v>
      </c>
      <c r="JX30" t="s">
        <v>1835</v>
      </c>
      <c r="JY30" t="s">
        <v>736</v>
      </c>
      <c r="JZ30" t="s">
        <v>1837</v>
      </c>
      <c r="KA30" t="s">
        <v>736</v>
      </c>
      <c r="KB30" t="s">
        <v>1838</v>
      </c>
      <c r="KC30" t="s">
        <v>736</v>
      </c>
      <c r="KD30" t="s">
        <v>1833</v>
      </c>
      <c r="KE30" t="s">
        <v>736</v>
      </c>
      <c r="KF30" t="s">
        <v>1839</v>
      </c>
      <c r="KG30" t="s">
        <v>736</v>
      </c>
      <c r="KH30" t="s">
        <v>1827</v>
      </c>
      <c r="KI30" t="s">
        <v>736</v>
      </c>
      <c r="KJ30" t="s">
        <v>1838</v>
      </c>
      <c r="KK30" t="s">
        <v>736</v>
      </c>
      <c r="KL30" t="s">
        <v>1831</v>
      </c>
      <c r="KM30" t="s">
        <v>736</v>
      </c>
      <c r="KN30" t="s">
        <v>1834</v>
      </c>
      <c r="KO30" t="s">
        <v>736</v>
      </c>
      <c r="KP30" t="s">
        <v>1840</v>
      </c>
      <c r="KQ30" t="s">
        <v>736</v>
      </c>
      <c r="KR30" t="s">
        <v>1841</v>
      </c>
      <c r="KS30" t="s">
        <v>736</v>
      </c>
      <c r="KT30" t="s">
        <v>1840</v>
      </c>
      <c r="KU30" t="s">
        <v>736</v>
      </c>
      <c r="KV30" t="s">
        <v>1823</v>
      </c>
      <c r="KW30" t="s">
        <v>736</v>
      </c>
      <c r="KX30" t="s">
        <v>1835</v>
      </c>
      <c r="KY30" t="s">
        <v>736</v>
      </c>
      <c r="KZ30" t="s">
        <v>1842</v>
      </c>
      <c r="LA30" t="s">
        <v>736</v>
      </c>
      <c r="LB30" t="s">
        <v>1831</v>
      </c>
      <c r="LC30" t="s">
        <v>736</v>
      </c>
      <c r="LD30" t="s">
        <v>1843</v>
      </c>
      <c r="LE30" t="s">
        <v>736</v>
      </c>
      <c r="LF30" t="s">
        <v>1841</v>
      </c>
      <c r="LG30" t="s">
        <v>736</v>
      </c>
      <c r="LH30" t="s">
        <v>1844</v>
      </c>
      <c r="LI30" t="s">
        <v>736</v>
      </c>
      <c r="LJ30" t="s">
        <v>1838</v>
      </c>
      <c r="LK30" t="s">
        <v>736</v>
      </c>
      <c r="LL30" t="s">
        <v>1833</v>
      </c>
      <c r="LM30" t="s">
        <v>736</v>
      </c>
      <c r="LN30" t="s">
        <v>1845</v>
      </c>
      <c r="LO30" t="s">
        <v>736</v>
      </c>
      <c r="LP30" t="s">
        <v>1846</v>
      </c>
      <c r="LQ30" t="s">
        <v>736</v>
      </c>
      <c r="LR30" t="s">
        <v>1847</v>
      </c>
      <c r="LS30" t="s">
        <v>736</v>
      </c>
      <c r="LT30" t="s">
        <v>1833</v>
      </c>
      <c r="LU30" t="s">
        <v>736</v>
      </c>
      <c r="LV30" t="s">
        <v>1835</v>
      </c>
      <c r="LW30" t="s">
        <v>736</v>
      </c>
      <c r="LX30" t="s">
        <v>1833</v>
      </c>
      <c r="LY30" t="s">
        <v>736</v>
      </c>
      <c r="LZ30" t="s">
        <v>1827</v>
      </c>
      <c r="MA30" t="s">
        <v>736</v>
      </c>
      <c r="MB30" t="s">
        <v>1848</v>
      </c>
      <c r="MC30" t="s">
        <v>736</v>
      </c>
      <c r="MD30" t="s">
        <v>1845</v>
      </c>
      <c r="ME30" t="s">
        <v>736</v>
      </c>
      <c r="MF30" t="s">
        <v>1833</v>
      </c>
      <c r="MG30" t="s">
        <v>736</v>
      </c>
      <c r="MH30" t="s">
        <v>1835</v>
      </c>
      <c r="MI30" t="s">
        <v>736</v>
      </c>
      <c r="MJ30" t="s">
        <v>1849</v>
      </c>
      <c r="MK30" t="s">
        <v>736</v>
      </c>
      <c r="ML30" t="s">
        <v>1835</v>
      </c>
      <c r="MO30" t="s">
        <v>783</v>
      </c>
      <c r="MP30" t="s">
        <v>784</v>
      </c>
      <c r="MQ30" t="s">
        <v>783</v>
      </c>
      <c r="MR30" t="s">
        <v>783</v>
      </c>
      <c r="MS30" t="s">
        <v>783</v>
      </c>
      <c r="MT30" t="s">
        <v>783</v>
      </c>
      <c r="MU30" t="s">
        <v>783</v>
      </c>
      <c r="MV30" t="s">
        <v>783</v>
      </c>
      <c r="MW30" t="s">
        <v>783</v>
      </c>
      <c r="MX30" t="s">
        <v>783</v>
      </c>
      <c r="MZ30" t="s">
        <v>783</v>
      </c>
      <c r="NA30" t="s">
        <v>783</v>
      </c>
      <c r="NB30" t="s">
        <v>783</v>
      </c>
      <c r="NC30" t="s">
        <v>783</v>
      </c>
      <c r="ND30" t="s">
        <v>783</v>
      </c>
      <c r="NE30" t="s">
        <v>784</v>
      </c>
      <c r="NF30" t="s">
        <v>783</v>
      </c>
      <c r="NG30" t="s">
        <v>783</v>
      </c>
      <c r="NH30" t="s">
        <v>784</v>
      </c>
      <c r="NI30" t="s">
        <v>783</v>
      </c>
      <c r="NJ30" t="s">
        <v>783</v>
      </c>
      <c r="NK30" t="s">
        <v>783</v>
      </c>
      <c r="NL30" t="s">
        <v>783</v>
      </c>
      <c r="NM30" t="s">
        <v>783</v>
      </c>
      <c r="NN30" t="s">
        <v>784</v>
      </c>
      <c r="NO30" t="s">
        <v>784</v>
      </c>
      <c r="NP30" t="s">
        <v>783</v>
      </c>
      <c r="NQ30" t="s">
        <v>783</v>
      </c>
      <c r="NR30" t="s">
        <v>783</v>
      </c>
      <c r="NS30" t="s">
        <v>783</v>
      </c>
      <c r="NT30" t="s">
        <v>784</v>
      </c>
      <c r="NU30" t="s">
        <v>783</v>
      </c>
      <c r="NV30" t="s">
        <v>784</v>
      </c>
      <c r="NW30" t="s">
        <v>783</v>
      </c>
      <c r="NX30" t="s">
        <v>783</v>
      </c>
      <c r="NY30" t="s">
        <v>784</v>
      </c>
      <c r="NZ30" t="s">
        <v>783</v>
      </c>
      <c r="OA30" t="s">
        <v>783</v>
      </c>
      <c r="OC30" t="s">
        <v>784</v>
      </c>
      <c r="OD30" t="s">
        <v>783</v>
      </c>
      <c r="OE30" t="s">
        <v>783</v>
      </c>
      <c r="OF30" t="s">
        <v>783</v>
      </c>
      <c r="OG30" t="s">
        <v>783</v>
      </c>
      <c r="OH30" t="s">
        <v>783</v>
      </c>
      <c r="OI30" t="s">
        <v>783</v>
      </c>
      <c r="OJ30" t="s">
        <v>783</v>
      </c>
    </row>
    <row r="31" spans="1:400" x14ac:dyDescent="0.25">
      <c r="A31">
        <v>27</v>
      </c>
      <c r="B31" t="s">
        <v>181</v>
      </c>
      <c r="C31" t="s">
        <v>70</v>
      </c>
      <c r="D31" t="s">
        <v>57</v>
      </c>
      <c r="E31">
        <v>58</v>
      </c>
      <c r="F31" t="s">
        <v>58</v>
      </c>
      <c r="G31" t="s">
        <v>59</v>
      </c>
      <c r="H31" t="s">
        <v>60</v>
      </c>
      <c r="I31" t="s">
        <v>61</v>
      </c>
      <c r="J31" t="s">
        <v>62</v>
      </c>
      <c r="K31" t="s">
        <v>63</v>
      </c>
      <c r="M31" t="s">
        <v>146</v>
      </c>
      <c r="N31" t="s">
        <v>70</v>
      </c>
      <c r="O31">
        <v>3</v>
      </c>
      <c r="P31" s="1">
        <v>30000</v>
      </c>
      <c r="Q31" s="1">
        <v>0</v>
      </c>
      <c r="R31" t="s">
        <v>182</v>
      </c>
      <c r="S31" s="7">
        <v>20000</v>
      </c>
      <c r="T31" t="s">
        <v>70</v>
      </c>
      <c r="U31" s="5">
        <v>0</v>
      </c>
      <c r="V31" s="3" t="s">
        <v>70</v>
      </c>
      <c r="W31" s="5">
        <v>0</v>
      </c>
      <c r="X31" t="s">
        <v>73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 t="s">
        <v>63</v>
      </c>
      <c r="AR31">
        <v>1</v>
      </c>
      <c r="AS31" s="2">
        <v>2</v>
      </c>
      <c r="AT31" t="s">
        <v>509</v>
      </c>
      <c r="AU31">
        <v>0</v>
      </c>
      <c r="AV31">
        <v>1</v>
      </c>
      <c r="AW31">
        <v>0</v>
      </c>
      <c r="AX31">
        <v>0</v>
      </c>
      <c r="AY31">
        <v>0</v>
      </c>
      <c r="AZ31" t="s">
        <v>541</v>
      </c>
      <c r="BA31" t="s">
        <v>511</v>
      </c>
      <c r="BC31" t="s">
        <v>515</v>
      </c>
      <c r="BD31" t="s">
        <v>507</v>
      </c>
      <c r="BE31">
        <v>1983</v>
      </c>
      <c r="BF31">
        <v>40</v>
      </c>
      <c r="BG31" t="s">
        <v>508</v>
      </c>
      <c r="BH31">
        <v>1</v>
      </c>
      <c r="BI31">
        <v>0</v>
      </c>
      <c r="BJ31">
        <v>0</v>
      </c>
      <c r="BK31">
        <v>0</v>
      </c>
      <c r="BL31">
        <v>0</v>
      </c>
      <c r="BM31" t="s">
        <v>63</v>
      </c>
      <c r="BN31" t="s">
        <v>63</v>
      </c>
      <c r="BO31" t="s">
        <v>3835</v>
      </c>
      <c r="BP31" t="s">
        <v>3845</v>
      </c>
      <c r="BR31" t="s">
        <v>3881</v>
      </c>
      <c r="BS31" t="s">
        <v>3838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CA31" t="s">
        <v>3839</v>
      </c>
      <c r="CC31" t="s">
        <v>3840</v>
      </c>
      <c r="CN31" t="s">
        <v>63</v>
      </c>
      <c r="CO31" t="s">
        <v>732</v>
      </c>
      <c r="CP31" t="s">
        <v>3994</v>
      </c>
      <c r="CQ31" t="s">
        <v>2996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 t="s">
        <v>3995</v>
      </c>
      <c r="CY31" t="s">
        <v>3866</v>
      </c>
      <c r="CZ31" s="26" t="s">
        <v>4198</v>
      </c>
      <c r="DA31" s="27"/>
      <c r="DJ31" t="s">
        <v>84</v>
      </c>
      <c r="DK31" s="35"/>
      <c r="DL31" s="37"/>
      <c r="FI31" t="s">
        <v>733</v>
      </c>
      <c r="FJ31" t="s">
        <v>1850</v>
      </c>
      <c r="FK31" t="s">
        <v>777</v>
      </c>
      <c r="FL31" t="s">
        <v>1851</v>
      </c>
      <c r="FM31" t="s">
        <v>733</v>
      </c>
      <c r="FN31" t="s">
        <v>1316</v>
      </c>
      <c r="FO31" t="s">
        <v>733</v>
      </c>
      <c r="FP31" t="s">
        <v>1332</v>
      </c>
      <c r="FQ31" t="s">
        <v>736</v>
      </c>
      <c r="FR31" t="s">
        <v>1358</v>
      </c>
      <c r="FS31" t="s">
        <v>733</v>
      </c>
      <c r="FT31" t="s">
        <v>1852</v>
      </c>
      <c r="FU31" t="s">
        <v>733</v>
      </c>
      <c r="FV31" t="s">
        <v>1853</v>
      </c>
      <c r="FW31" t="s">
        <v>733</v>
      </c>
      <c r="FX31" t="s">
        <v>1394</v>
      </c>
      <c r="FY31" t="s">
        <v>733</v>
      </c>
      <c r="FZ31" t="s">
        <v>1397</v>
      </c>
      <c r="GA31" t="s">
        <v>733</v>
      </c>
      <c r="GB31" t="s">
        <v>1854</v>
      </c>
      <c r="GC31" t="s">
        <v>733</v>
      </c>
      <c r="GD31" t="s">
        <v>1855</v>
      </c>
      <c r="GE31" t="s">
        <v>733</v>
      </c>
      <c r="GF31" t="s">
        <v>1856</v>
      </c>
      <c r="GG31" t="s">
        <v>746</v>
      </c>
      <c r="GH31" t="s">
        <v>1375</v>
      </c>
      <c r="GI31" t="s">
        <v>733</v>
      </c>
      <c r="GJ31" t="s">
        <v>1857</v>
      </c>
      <c r="GK31" t="s">
        <v>733</v>
      </c>
      <c r="GL31" t="s">
        <v>1763</v>
      </c>
      <c r="GM31" t="s">
        <v>733</v>
      </c>
      <c r="GN31" t="s">
        <v>1415</v>
      </c>
      <c r="GO31" t="s">
        <v>733</v>
      </c>
      <c r="GP31" t="s">
        <v>1858</v>
      </c>
      <c r="GQ31" t="s">
        <v>733</v>
      </c>
      <c r="GR31" t="s">
        <v>1316</v>
      </c>
      <c r="GS31" t="s">
        <v>736</v>
      </c>
      <c r="GT31" t="s">
        <v>1859</v>
      </c>
      <c r="GU31" t="s">
        <v>733</v>
      </c>
      <c r="GV31" t="s">
        <v>1860</v>
      </c>
      <c r="GW31" t="s">
        <v>736</v>
      </c>
      <c r="GX31" t="s">
        <v>1358</v>
      </c>
      <c r="GY31" t="s">
        <v>736</v>
      </c>
      <c r="GZ31" t="s">
        <v>1358</v>
      </c>
      <c r="HA31" t="s">
        <v>736</v>
      </c>
      <c r="HB31" t="s">
        <v>1792</v>
      </c>
      <c r="HC31" t="s">
        <v>736</v>
      </c>
      <c r="HD31" t="s">
        <v>1792</v>
      </c>
      <c r="HE31" t="s">
        <v>798</v>
      </c>
      <c r="HF31" t="s">
        <v>1792</v>
      </c>
      <c r="HG31" t="s">
        <v>736</v>
      </c>
      <c r="HH31" t="s">
        <v>1764</v>
      </c>
      <c r="HI31" t="s">
        <v>736</v>
      </c>
      <c r="HJ31" t="s">
        <v>1797</v>
      </c>
      <c r="HK31" t="s">
        <v>777</v>
      </c>
      <c r="HL31" t="s">
        <v>1797</v>
      </c>
      <c r="HM31" t="s">
        <v>733</v>
      </c>
      <c r="HN31" t="s">
        <v>1415</v>
      </c>
      <c r="HO31" t="s">
        <v>777</v>
      </c>
      <c r="HP31" t="s">
        <v>1861</v>
      </c>
      <c r="HQ31" t="s">
        <v>733</v>
      </c>
      <c r="HR31" t="s">
        <v>1415</v>
      </c>
      <c r="HS31" t="s">
        <v>736</v>
      </c>
      <c r="HT31" t="s">
        <v>1792</v>
      </c>
      <c r="HU31" t="s">
        <v>736</v>
      </c>
      <c r="HV31" t="s">
        <v>1797</v>
      </c>
      <c r="HW31" t="s">
        <v>736</v>
      </c>
      <c r="HX31" t="s">
        <v>1862</v>
      </c>
      <c r="HY31" t="s">
        <v>736</v>
      </c>
      <c r="HZ31" t="s">
        <v>1862</v>
      </c>
      <c r="IA31" t="s">
        <v>736</v>
      </c>
      <c r="IB31" t="s">
        <v>1757</v>
      </c>
      <c r="IC31" t="s">
        <v>736</v>
      </c>
      <c r="ID31" t="s">
        <v>1792</v>
      </c>
      <c r="IE31" t="s">
        <v>746</v>
      </c>
      <c r="IF31" t="s">
        <v>1408</v>
      </c>
      <c r="IG31" t="s">
        <v>746</v>
      </c>
      <c r="IH31" t="s">
        <v>1863</v>
      </c>
      <c r="II31" t="s">
        <v>736</v>
      </c>
      <c r="IJ31" t="s">
        <v>1764</v>
      </c>
      <c r="IK31" t="s">
        <v>733</v>
      </c>
      <c r="IL31" t="s">
        <v>1764</v>
      </c>
      <c r="IM31" t="s">
        <v>746</v>
      </c>
      <c r="IN31" t="s">
        <v>1375</v>
      </c>
      <c r="IO31" t="s">
        <v>746</v>
      </c>
      <c r="IP31" t="s">
        <v>1408</v>
      </c>
      <c r="IQ31" t="s">
        <v>746</v>
      </c>
      <c r="IR31" t="s">
        <v>1864</v>
      </c>
      <c r="IS31" t="s">
        <v>746</v>
      </c>
      <c r="IT31" t="s">
        <v>1865</v>
      </c>
      <c r="IU31" t="s">
        <v>746</v>
      </c>
      <c r="IV31" t="s">
        <v>1375</v>
      </c>
      <c r="IW31" t="s">
        <v>746</v>
      </c>
      <c r="IX31" t="s">
        <v>1408</v>
      </c>
      <c r="IY31" t="s">
        <v>746</v>
      </c>
      <c r="IZ31" t="s">
        <v>1375</v>
      </c>
      <c r="JA31" t="s">
        <v>746</v>
      </c>
      <c r="JB31" t="s">
        <v>1771</v>
      </c>
      <c r="JC31" t="s">
        <v>733</v>
      </c>
      <c r="JD31" t="s">
        <v>1866</v>
      </c>
      <c r="JE31" t="s">
        <v>733</v>
      </c>
      <c r="JF31" t="s">
        <v>1867</v>
      </c>
      <c r="JG31" t="s">
        <v>746</v>
      </c>
      <c r="JH31" t="s">
        <v>1349</v>
      </c>
      <c r="JI31" t="s">
        <v>746</v>
      </c>
      <c r="JJ31" t="s">
        <v>1375</v>
      </c>
      <c r="JK31" t="s">
        <v>746</v>
      </c>
      <c r="JL31" t="s">
        <v>1375</v>
      </c>
      <c r="JM31" t="s">
        <v>746</v>
      </c>
      <c r="JN31" t="s">
        <v>1408</v>
      </c>
      <c r="JO31" t="s">
        <v>746</v>
      </c>
      <c r="JP31" t="s">
        <v>1375</v>
      </c>
      <c r="JQ31" t="s">
        <v>746</v>
      </c>
      <c r="JR31" t="s">
        <v>1868</v>
      </c>
      <c r="JS31" t="s">
        <v>746</v>
      </c>
      <c r="JT31" t="s">
        <v>1869</v>
      </c>
      <c r="JU31" t="s">
        <v>746</v>
      </c>
      <c r="JV31" t="s">
        <v>1771</v>
      </c>
      <c r="JW31" t="s">
        <v>733</v>
      </c>
      <c r="JX31" t="s">
        <v>1364</v>
      </c>
      <c r="JY31" t="s">
        <v>733</v>
      </c>
      <c r="JZ31" t="s">
        <v>1870</v>
      </c>
      <c r="KA31" t="s">
        <v>746</v>
      </c>
      <c r="KB31" t="s">
        <v>1375</v>
      </c>
      <c r="KC31" t="s">
        <v>746</v>
      </c>
      <c r="KD31" t="s">
        <v>1319</v>
      </c>
      <c r="KE31" t="s">
        <v>746</v>
      </c>
      <c r="KF31" t="s">
        <v>1375</v>
      </c>
      <c r="KG31" t="s">
        <v>746</v>
      </c>
      <c r="KH31" t="s">
        <v>1408</v>
      </c>
      <c r="KI31" t="s">
        <v>746</v>
      </c>
      <c r="KJ31" t="s">
        <v>1358</v>
      </c>
      <c r="KK31" t="s">
        <v>746</v>
      </c>
      <c r="KL31" t="s">
        <v>1871</v>
      </c>
      <c r="KM31" t="s">
        <v>733</v>
      </c>
      <c r="KN31" t="s">
        <v>1423</v>
      </c>
      <c r="KO31" t="s">
        <v>733</v>
      </c>
      <c r="KP31" t="s">
        <v>1352</v>
      </c>
      <c r="KQ31" t="s">
        <v>733</v>
      </c>
      <c r="KR31" t="s">
        <v>1872</v>
      </c>
      <c r="KS31" t="s">
        <v>733</v>
      </c>
      <c r="KT31" t="s">
        <v>1395</v>
      </c>
      <c r="KU31" t="s">
        <v>746</v>
      </c>
      <c r="KV31" t="s">
        <v>1873</v>
      </c>
      <c r="KW31" t="s">
        <v>746</v>
      </c>
      <c r="KX31" t="s">
        <v>1874</v>
      </c>
      <c r="KY31" t="s">
        <v>746</v>
      </c>
      <c r="KZ31" t="s">
        <v>1375</v>
      </c>
      <c r="LA31" t="s">
        <v>746</v>
      </c>
      <c r="LB31" t="s">
        <v>1375</v>
      </c>
      <c r="LC31" t="s">
        <v>736</v>
      </c>
      <c r="LD31" t="s">
        <v>1875</v>
      </c>
      <c r="LE31" t="s">
        <v>736</v>
      </c>
      <c r="LF31" t="s">
        <v>1875</v>
      </c>
      <c r="LG31" t="s">
        <v>746</v>
      </c>
      <c r="LH31" t="s">
        <v>1876</v>
      </c>
      <c r="LI31" t="s">
        <v>746</v>
      </c>
      <c r="LJ31" t="s">
        <v>1375</v>
      </c>
      <c r="LK31" t="s">
        <v>746</v>
      </c>
      <c r="LL31" t="s">
        <v>1771</v>
      </c>
      <c r="LM31" t="s">
        <v>746</v>
      </c>
      <c r="LN31" t="s">
        <v>1771</v>
      </c>
      <c r="LO31" t="s">
        <v>746</v>
      </c>
      <c r="LP31" t="s">
        <v>1877</v>
      </c>
      <c r="LQ31" t="s">
        <v>746</v>
      </c>
      <c r="LR31" t="s">
        <v>1375</v>
      </c>
      <c r="LS31" t="s">
        <v>736</v>
      </c>
      <c r="LT31" t="s">
        <v>1324</v>
      </c>
      <c r="LU31" t="s">
        <v>736</v>
      </c>
      <c r="LV31" t="s">
        <v>1764</v>
      </c>
      <c r="LW31" t="s">
        <v>733</v>
      </c>
      <c r="LX31" t="s">
        <v>1878</v>
      </c>
      <c r="LY31" t="s">
        <v>733</v>
      </c>
      <c r="LZ31" t="s">
        <v>1879</v>
      </c>
      <c r="MA31" t="s">
        <v>746</v>
      </c>
      <c r="MB31" t="s">
        <v>1880</v>
      </c>
      <c r="MC31" t="s">
        <v>746</v>
      </c>
      <c r="MD31" t="s">
        <v>1881</v>
      </c>
      <c r="ME31" t="s">
        <v>736</v>
      </c>
      <c r="MF31" t="s">
        <v>1764</v>
      </c>
      <c r="MG31" t="s">
        <v>736</v>
      </c>
      <c r="MH31" t="s">
        <v>1764</v>
      </c>
      <c r="MI31" t="s">
        <v>746</v>
      </c>
      <c r="MJ31" t="s">
        <v>1408</v>
      </c>
      <c r="MK31" t="s">
        <v>746</v>
      </c>
      <c r="ML31" t="s">
        <v>1408</v>
      </c>
      <c r="MO31" t="s">
        <v>783</v>
      </c>
      <c r="MP31" t="s">
        <v>784</v>
      </c>
      <c r="MQ31" t="s">
        <v>783</v>
      </c>
      <c r="MR31" t="s">
        <v>783</v>
      </c>
      <c r="MS31" t="s">
        <v>783</v>
      </c>
      <c r="MT31" t="s">
        <v>783</v>
      </c>
      <c r="MU31" t="s">
        <v>783</v>
      </c>
      <c r="MV31" t="s">
        <v>783</v>
      </c>
      <c r="MW31" t="s">
        <v>783</v>
      </c>
      <c r="MX31" t="s">
        <v>783</v>
      </c>
      <c r="MZ31" t="s">
        <v>781</v>
      </c>
      <c r="NA31" t="s">
        <v>783</v>
      </c>
      <c r="NB31" t="s">
        <v>783</v>
      </c>
      <c r="NC31" t="s">
        <v>781</v>
      </c>
      <c r="ND31" t="s">
        <v>783</v>
      </c>
      <c r="NE31" t="s">
        <v>784</v>
      </c>
      <c r="NF31" t="s">
        <v>783</v>
      </c>
      <c r="NG31" t="s">
        <v>783</v>
      </c>
      <c r="NH31" t="s">
        <v>784</v>
      </c>
      <c r="NI31" t="s">
        <v>783</v>
      </c>
      <c r="NJ31" t="s">
        <v>783</v>
      </c>
      <c r="NK31" t="s">
        <v>783</v>
      </c>
      <c r="NL31" t="s">
        <v>783</v>
      </c>
      <c r="NM31" t="s">
        <v>783</v>
      </c>
      <c r="NN31" t="s">
        <v>781</v>
      </c>
      <c r="NO31" t="s">
        <v>784</v>
      </c>
      <c r="NP31" t="s">
        <v>783</v>
      </c>
      <c r="NQ31" t="s">
        <v>783</v>
      </c>
      <c r="NR31" t="s">
        <v>783</v>
      </c>
      <c r="NS31" t="s">
        <v>783</v>
      </c>
      <c r="NT31" t="s">
        <v>783</v>
      </c>
      <c r="NU31" t="s">
        <v>783</v>
      </c>
      <c r="NV31" t="s">
        <v>784</v>
      </c>
      <c r="NW31" t="s">
        <v>784</v>
      </c>
      <c r="NX31" t="s">
        <v>783</v>
      </c>
      <c r="NY31" t="s">
        <v>784</v>
      </c>
      <c r="NZ31" t="s">
        <v>783</v>
      </c>
      <c r="OA31" t="s">
        <v>783</v>
      </c>
      <c r="OB31" t="s">
        <v>784</v>
      </c>
      <c r="OC31" t="s">
        <v>783</v>
      </c>
      <c r="OD31" t="s">
        <v>783</v>
      </c>
      <c r="OE31" t="s">
        <v>783</v>
      </c>
      <c r="OF31" t="s">
        <v>783</v>
      </c>
      <c r="OG31" t="s">
        <v>783</v>
      </c>
      <c r="OH31" t="s">
        <v>783</v>
      </c>
      <c r="OI31" t="s">
        <v>783</v>
      </c>
      <c r="OJ31" t="s">
        <v>783</v>
      </c>
    </row>
    <row r="32" spans="1:400" x14ac:dyDescent="0.25">
      <c r="A32">
        <v>28</v>
      </c>
      <c r="B32" t="s">
        <v>195</v>
      </c>
      <c r="C32" t="s">
        <v>196</v>
      </c>
      <c r="D32" t="s">
        <v>57</v>
      </c>
      <c r="E32">
        <v>33</v>
      </c>
      <c r="F32" t="s">
        <v>481</v>
      </c>
      <c r="G32" t="s">
        <v>105</v>
      </c>
      <c r="H32" t="s">
        <v>60</v>
      </c>
      <c r="I32" t="s">
        <v>88</v>
      </c>
      <c r="J32" t="s">
        <v>62</v>
      </c>
      <c r="K32" t="s">
        <v>63</v>
      </c>
      <c r="M32" t="s">
        <v>146</v>
      </c>
      <c r="N32" t="s">
        <v>70</v>
      </c>
      <c r="O32">
        <v>3</v>
      </c>
      <c r="P32" s="1">
        <v>175000</v>
      </c>
      <c r="Q32" s="1">
        <v>0</v>
      </c>
      <c r="R32" t="s">
        <v>198</v>
      </c>
      <c r="S32" s="7">
        <v>175000</v>
      </c>
      <c r="T32" t="s">
        <v>70</v>
      </c>
      <c r="U32" s="5">
        <v>0</v>
      </c>
      <c r="V32" s="3" t="s">
        <v>70</v>
      </c>
      <c r="W32" s="5">
        <v>0</v>
      </c>
      <c r="X32" t="s">
        <v>94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P32" t="s">
        <v>63</v>
      </c>
      <c r="AR32">
        <v>1</v>
      </c>
      <c r="AS32" s="2">
        <v>0.5</v>
      </c>
      <c r="AT32" t="s">
        <v>509</v>
      </c>
      <c r="AU32">
        <v>0</v>
      </c>
      <c r="AV32">
        <v>1</v>
      </c>
      <c r="AW32">
        <v>0</v>
      </c>
      <c r="AX32">
        <v>0</v>
      </c>
      <c r="AY32">
        <v>0</v>
      </c>
      <c r="AZ32" t="s">
        <v>546</v>
      </c>
      <c r="BA32" t="s">
        <v>71</v>
      </c>
      <c r="BB32" t="s">
        <v>506</v>
      </c>
      <c r="BC32" t="s">
        <v>515</v>
      </c>
      <c r="BD32" t="s">
        <v>507</v>
      </c>
      <c r="BE32">
        <v>2018</v>
      </c>
      <c r="BF32">
        <v>5</v>
      </c>
      <c r="BG32" t="s">
        <v>508</v>
      </c>
      <c r="BH32">
        <v>1</v>
      </c>
      <c r="BI32">
        <v>0</v>
      </c>
      <c r="BJ32">
        <v>0</v>
      </c>
      <c r="BK32">
        <v>0</v>
      </c>
      <c r="BL32">
        <v>0</v>
      </c>
      <c r="BM32" t="s">
        <v>84</v>
      </c>
      <c r="BN32" t="s">
        <v>84</v>
      </c>
      <c r="CL32" t="s">
        <v>3898</v>
      </c>
      <c r="CM32" t="s">
        <v>1072</v>
      </c>
      <c r="CN32" t="s">
        <v>63</v>
      </c>
      <c r="CO32" t="s">
        <v>732</v>
      </c>
      <c r="CP32" t="s">
        <v>3996</v>
      </c>
      <c r="CQ32" t="s">
        <v>2996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 t="s">
        <v>3988</v>
      </c>
      <c r="CY32" t="s">
        <v>3997</v>
      </c>
      <c r="CZ32" s="26" t="s">
        <v>3998</v>
      </c>
      <c r="DA32" s="27" t="s">
        <v>4192</v>
      </c>
      <c r="DJ32" t="s">
        <v>84</v>
      </c>
      <c r="DK32" s="35"/>
      <c r="DL32" s="37"/>
      <c r="FI32" t="s">
        <v>746</v>
      </c>
      <c r="FJ32" t="s">
        <v>1882</v>
      </c>
      <c r="FK32" t="s">
        <v>746</v>
      </c>
      <c r="FL32" t="s">
        <v>1882</v>
      </c>
      <c r="FM32" t="s">
        <v>733</v>
      </c>
      <c r="FN32" t="s">
        <v>868</v>
      </c>
      <c r="FO32" t="s">
        <v>736</v>
      </c>
      <c r="FP32" t="s">
        <v>1883</v>
      </c>
      <c r="FQ32" t="s">
        <v>733</v>
      </c>
      <c r="FR32" t="s">
        <v>1884</v>
      </c>
      <c r="FS32" t="s">
        <v>733</v>
      </c>
      <c r="FT32" t="s">
        <v>1885</v>
      </c>
      <c r="FV32" t="s">
        <v>938</v>
      </c>
      <c r="FX32" t="s">
        <v>938</v>
      </c>
      <c r="FY32" t="s">
        <v>733</v>
      </c>
      <c r="FZ32" t="s">
        <v>912</v>
      </c>
      <c r="GA32" t="s">
        <v>733</v>
      </c>
      <c r="GB32" t="s">
        <v>1886</v>
      </c>
      <c r="GC32" t="s">
        <v>733</v>
      </c>
      <c r="GD32" t="s">
        <v>734</v>
      </c>
      <c r="GE32" t="s">
        <v>733</v>
      </c>
      <c r="GF32" t="s">
        <v>734</v>
      </c>
      <c r="GG32" t="s">
        <v>746</v>
      </c>
      <c r="GH32" t="s">
        <v>1657</v>
      </c>
      <c r="GI32" t="s">
        <v>746</v>
      </c>
      <c r="GJ32" t="s">
        <v>1669</v>
      </c>
      <c r="GK32" t="s">
        <v>733</v>
      </c>
      <c r="GL32" t="s">
        <v>1887</v>
      </c>
      <c r="GM32" t="s">
        <v>733</v>
      </c>
      <c r="GN32" t="s">
        <v>1888</v>
      </c>
      <c r="GO32" t="s">
        <v>733</v>
      </c>
      <c r="GP32" t="s">
        <v>912</v>
      </c>
      <c r="GQ32" t="s">
        <v>733</v>
      </c>
      <c r="GR32" t="s">
        <v>734</v>
      </c>
      <c r="GS32" t="s">
        <v>733</v>
      </c>
      <c r="GT32" t="s">
        <v>1889</v>
      </c>
      <c r="GU32" t="s">
        <v>733</v>
      </c>
      <c r="GV32" t="s">
        <v>1889</v>
      </c>
      <c r="GW32" t="s">
        <v>736</v>
      </c>
      <c r="GX32" t="s">
        <v>1200</v>
      </c>
      <c r="GY32" t="s">
        <v>736</v>
      </c>
      <c r="GZ32" t="s">
        <v>1890</v>
      </c>
      <c r="HA32" t="s">
        <v>736</v>
      </c>
      <c r="HB32" t="s">
        <v>1200</v>
      </c>
      <c r="HC32" t="s">
        <v>736</v>
      </c>
      <c r="HD32" t="s">
        <v>1079</v>
      </c>
      <c r="HE32" t="s">
        <v>798</v>
      </c>
      <c r="HF32" t="s">
        <v>1200</v>
      </c>
      <c r="HG32" t="s">
        <v>736</v>
      </c>
      <c r="HH32" t="s">
        <v>1890</v>
      </c>
      <c r="HI32" t="s">
        <v>736</v>
      </c>
      <c r="HJ32" t="s">
        <v>1891</v>
      </c>
      <c r="HL32" t="s">
        <v>1104</v>
      </c>
      <c r="HN32" t="s">
        <v>1104</v>
      </c>
      <c r="HP32" t="s">
        <v>1104</v>
      </c>
      <c r="HR32" t="s">
        <v>1104</v>
      </c>
      <c r="HT32" t="s">
        <v>938</v>
      </c>
      <c r="HV32" t="s">
        <v>938</v>
      </c>
      <c r="HW32" t="s">
        <v>733</v>
      </c>
      <c r="HX32" t="s">
        <v>734</v>
      </c>
      <c r="HY32" t="s">
        <v>733</v>
      </c>
      <c r="HZ32" t="s">
        <v>1892</v>
      </c>
      <c r="IA32" t="s">
        <v>746</v>
      </c>
      <c r="IB32" t="s">
        <v>1882</v>
      </c>
      <c r="IC32" t="s">
        <v>746</v>
      </c>
      <c r="ID32" t="s">
        <v>1882</v>
      </c>
      <c r="IE32" t="s">
        <v>746</v>
      </c>
      <c r="IF32" t="s">
        <v>1893</v>
      </c>
      <c r="IG32" t="s">
        <v>746</v>
      </c>
      <c r="IH32" t="s">
        <v>1893</v>
      </c>
      <c r="IJ32" t="s">
        <v>938</v>
      </c>
      <c r="IL32" t="s">
        <v>938</v>
      </c>
      <c r="IM32" t="s">
        <v>746</v>
      </c>
      <c r="IN32" t="s">
        <v>1657</v>
      </c>
      <c r="IO32" t="s">
        <v>746</v>
      </c>
      <c r="IP32" t="s">
        <v>1657</v>
      </c>
      <c r="IQ32" t="s">
        <v>746</v>
      </c>
      <c r="IR32" t="s">
        <v>1657</v>
      </c>
      <c r="IS32" t="s">
        <v>746</v>
      </c>
      <c r="IT32" t="s">
        <v>1657</v>
      </c>
      <c r="IU32" t="s">
        <v>746</v>
      </c>
      <c r="IV32" t="s">
        <v>1657</v>
      </c>
      <c r="IW32" t="s">
        <v>746</v>
      </c>
      <c r="IX32" t="s">
        <v>1657</v>
      </c>
      <c r="IY32" t="s">
        <v>746</v>
      </c>
      <c r="IZ32" t="s">
        <v>1657</v>
      </c>
      <c r="JA32" t="s">
        <v>746</v>
      </c>
      <c r="JB32" t="s">
        <v>1657</v>
      </c>
      <c r="JC32" t="s">
        <v>746</v>
      </c>
      <c r="JD32" t="s">
        <v>1657</v>
      </c>
      <c r="JE32" t="s">
        <v>746</v>
      </c>
      <c r="JF32" t="s">
        <v>1657</v>
      </c>
      <c r="JG32" t="s">
        <v>746</v>
      </c>
      <c r="JH32" t="s">
        <v>1657</v>
      </c>
      <c r="JI32" t="s">
        <v>746</v>
      </c>
      <c r="JJ32" t="s">
        <v>1657</v>
      </c>
      <c r="JL32" t="s">
        <v>1104</v>
      </c>
      <c r="JN32" t="s">
        <v>1104</v>
      </c>
      <c r="JP32" t="s">
        <v>1894</v>
      </c>
      <c r="JR32" t="s">
        <v>1104</v>
      </c>
      <c r="JS32" t="s">
        <v>746</v>
      </c>
      <c r="JT32" t="s">
        <v>1657</v>
      </c>
      <c r="JU32" t="s">
        <v>746</v>
      </c>
      <c r="JV32" t="s">
        <v>1657</v>
      </c>
      <c r="JW32" t="s">
        <v>746</v>
      </c>
      <c r="JX32" t="s">
        <v>1657</v>
      </c>
      <c r="JY32" t="s">
        <v>746</v>
      </c>
      <c r="JZ32" t="s">
        <v>1657</v>
      </c>
      <c r="KA32" t="s">
        <v>746</v>
      </c>
      <c r="KB32" t="s">
        <v>1657</v>
      </c>
      <c r="KC32" t="s">
        <v>746</v>
      </c>
      <c r="KD32" t="s">
        <v>1657</v>
      </c>
      <c r="KE32" t="s">
        <v>746</v>
      </c>
      <c r="KF32" t="s">
        <v>1657</v>
      </c>
      <c r="KG32" t="s">
        <v>746</v>
      </c>
      <c r="KH32" t="s">
        <v>1657</v>
      </c>
      <c r="KI32" t="s">
        <v>746</v>
      </c>
      <c r="KJ32" t="s">
        <v>1657</v>
      </c>
      <c r="KK32" t="s">
        <v>746</v>
      </c>
      <c r="KL32" t="s">
        <v>1657</v>
      </c>
      <c r="KM32" t="s">
        <v>746</v>
      </c>
      <c r="KN32" t="s">
        <v>1657</v>
      </c>
      <c r="KO32" t="s">
        <v>746</v>
      </c>
      <c r="KP32" t="s">
        <v>1657</v>
      </c>
      <c r="KQ32" t="s">
        <v>746</v>
      </c>
      <c r="KR32" t="s">
        <v>1657</v>
      </c>
      <c r="KS32" t="s">
        <v>746</v>
      </c>
      <c r="KT32" t="s">
        <v>1657</v>
      </c>
      <c r="KU32" t="s">
        <v>746</v>
      </c>
      <c r="KV32" t="s">
        <v>1895</v>
      </c>
      <c r="KW32" t="s">
        <v>746</v>
      </c>
      <c r="KX32" t="s">
        <v>1895</v>
      </c>
      <c r="KY32" t="s">
        <v>746</v>
      </c>
      <c r="KZ32" t="s">
        <v>956</v>
      </c>
      <c r="LA32" t="s">
        <v>746</v>
      </c>
      <c r="LB32" t="s">
        <v>956</v>
      </c>
      <c r="LC32" t="s">
        <v>736</v>
      </c>
      <c r="LD32" t="s">
        <v>1896</v>
      </c>
      <c r="LE32" t="s">
        <v>733</v>
      </c>
      <c r="LF32" t="s">
        <v>1896</v>
      </c>
      <c r="LG32" t="s">
        <v>736</v>
      </c>
      <c r="LH32" t="s">
        <v>1896</v>
      </c>
      <c r="LI32" t="s">
        <v>736</v>
      </c>
      <c r="LJ32" t="s">
        <v>1896</v>
      </c>
      <c r="LL32" t="s">
        <v>938</v>
      </c>
      <c r="LN32" t="s">
        <v>938</v>
      </c>
      <c r="LO32" t="s">
        <v>736</v>
      </c>
      <c r="LP32" t="s">
        <v>1269</v>
      </c>
      <c r="LQ32" t="s">
        <v>746</v>
      </c>
      <c r="LR32" t="s">
        <v>1269</v>
      </c>
      <c r="LT32" t="s">
        <v>938</v>
      </c>
      <c r="LV32" t="s">
        <v>938</v>
      </c>
      <c r="LW32" t="s">
        <v>746</v>
      </c>
      <c r="LX32" t="s">
        <v>1119</v>
      </c>
      <c r="LY32" t="s">
        <v>746</v>
      </c>
      <c r="LZ32" t="s">
        <v>1897</v>
      </c>
      <c r="MA32" t="s">
        <v>746</v>
      </c>
      <c r="MB32" t="s">
        <v>1657</v>
      </c>
      <c r="MC32" t="s">
        <v>746</v>
      </c>
      <c r="MD32" t="s">
        <v>1898</v>
      </c>
      <c r="ME32" t="s">
        <v>733</v>
      </c>
      <c r="MF32" t="s">
        <v>1120</v>
      </c>
      <c r="MG32" t="s">
        <v>733</v>
      </c>
      <c r="MH32" t="s">
        <v>1115</v>
      </c>
      <c r="MI32" t="s">
        <v>746</v>
      </c>
      <c r="MJ32" t="s">
        <v>1234</v>
      </c>
      <c r="MK32" t="s">
        <v>746</v>
      </c>
      <c r="ML32" t="s">
        <v>945</v>
      </c>
      <c r="MO32" t="s">
        <v>783</v>
      </c>
      <c r="MP32" t="s">
        <v>783</v>
      </c>
      <c r="MQ32" t="s">
        <v>907</v>
      </c>
      <c r="MR32" t="s">
        <v>783</v>
      </c>
      <c r="MS32" t="s">
        <v>784</v>
      </c>
      <c r="MT32" t="s">
        <v>783</v>
      </c>
      <c r="MU32" t="s">
        <v>783</v>
      </c>
      <c r="MV32" t="s">
        <v>783</v>
      </c>
      <c r="MW32" t="s">
        <v>783</v>
      </c>
      <c r="MX32" t="s">
        <v>783</v>
      </c>
      <c r="MZ32" t="s">
        <v>783</v>
      </c>
      <c r="NA32" t="s">
        <v>783</v>
      </c>
      <c r="NB32" t="s">
        <v>782</v>
      </c>
      <c r="NC32" t="s">
        <v>784</v>
      </c>
      <c r="ND32" t="s">
        <v>783</v>
      </c>
      <c r="NE32" t="s">
        <v>781</v>
      </c>
      <c r="NF32" t="s">
        <v>783</v>
      </c>
      <c r="NG32" t="s">
        <v>783</v>
      </c>
      <c r="NH32" t="s">
        <v>783</v>
      </c>
      <c r="NI32" t="s">
        <v>784</v>
      </c>
      <c r="NJ32" t="s">
        <v>783</v>
      </c>
      <c r="NK32" t="s">
        <v>783</v>
      </c>
      <c r="NL32" t="s">
        <v>784</v>
      </c>
      <c r="NM32" t="s">
        <v>907</v>
      </c>
      <c r="NN32" t="s">
        <v>784</v>
      </c>
      <c r="NO32" t="s">
        <v>784</v>
      </c>
      <c r="NP32" t="s">
        <v>907</v>
      </c>
      <c r="NQ32" t="s">
        <v>783</v>
      </c>
      <c r="NR32" t="s">
        <v>783</v>
      </c>
      <c r="NS32" t="s">
        <v>784</v>
      </c>
      <c r="NT32" t="s">
        <v>784</v>
      </c>
      <c r="NU32" t="s">
        <v>783</v>
      </c>
      <c r="NV32" t="s">
        <v>784</v>
      </c>
      <c r="NW32" t="s">
        <v>784</v>
      </c>
      <c r="NX32" t="s">
        <v>783</v>
      </c>
      <c r="NY32" t="s">
        <v>784</v>
      </c>
      <c r="NZ32" t="s">
        <v>784</v>
      </c>
      <c r="OA32" t="s">
        <v>783</v>
      </c>
      <c r="OB32" t="s">
        <v>783</v>
      </c>
      <c r="OC32" t="s">
        <v>784</v>
      </c>
      <c r="OD32" t="s">
        <v>781</v>
      </c>
      <c r="OE32" t="s">
        <v>783</v>
      </c>
      <c r="OF32" t="s">
        <v>784</v>
      </c>
      <c r="OG32" t="s">
        <v>781</v>
      </c>
      <c r="OH32" t="s">
        <v>783</v>
      </c>
      <c r="OI32" t="s">
        <v>783</v>
      </c>
      <c r="OJ32" t="s">
        <v>781</v>
      </c>
    </row>
    <row r="33" spans="1:400" x14ac:dyDescent="0.25">
      <c r="A33">
        <v>29</v>
      </c>
      <c r="B33" t="s">
        <v>199</v>
      </c>
      <c r="C33" t="s">
        <v>200</v>
      </c>
      <c r="D33" t="s">
        <v>57</v>
      </c>
      <c r="E33">
        <v>33</v>
      </c>
      <c r="F33" t="s">
        <v>58</v>
      </c>
      <c r="G33" t="s">
        <v>201</v>
      </c>
      <c r="H33" t="s">
        <v>60</v>
      </c>
      <c r="I33" t="s">
        <v>61</v>
      </c>
      <c r="J33" t="s">
        <v>62</v>
      </c>
      <c r="K33" t="s">
        <v>63</v>
      </c>
      <c r="M33" t="s">
        <v>146</v>
      </c>
      <c r="N33" t="s">
        <v>70</v>
      </c>
      <c r="O33">
        <v>4</v>
      </c>
      <c r="P33" s="1">
        <v>160000</v>
      </c>
      <c r="Q33" s="1">
        <v>0</v>
      </c>
      <c r="R33" t="s">
        <v>127</v>
      </c>
      <c r="S33" s="7">
        <v>160000</v>
      </c>
      <c r="T33" t="s">
        <v>70</v>
      </c>
      <c r="U33" s="5">
        <v>0</v>
      </c>
      <c r="V33" s="3" t="s">
        <v>70</v>
      </c>
      <c r="W33" s="5">
        <v>0</v>
      </c>
      <c r="X33" t="s">
        <v>202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 t="s">
        <v>63</v>
      </c>
      <c r="AR33">
        <v>1</v>
      </c>
      <c r="AS33" s="2">
        <v>0.5</v>
      </c>
      <c r="AT33" t="s">
        <v>509</v>
      </c>
      <c r="AU33">
        <v>0</v>
      </c>
      <c r="AV33">
        <v>1</v>
      </c>
      <c r="AW33">
        <v>0</v>
      </c>
      <c r="AX33">
        <v>0</v>
      </c>
      <c r="AY33">
        <v>0</v>
      </c>
      <c r="AZ33" t="s">
        <v>547</v>
      </c>
      <c r="BA33" t="s">
        <v>511</v>
      </c>
      <c r="BC33" t="s">
        <v>512</v>
      </c>
      <c r="BD33" t="s">
        <v>507</v>
      </c>
      <c r="BE33">
        <v>2015</v>
      </c>
      <c r="BF33">
        <v>8</v>
      </c>
      <c r="BG33" t="s">
        <v>508</v>
      </c>
      <c r="BH33">
        <v>1</v>
      </c>
      <c r="BI33">
        <v>0</v>
      </c>
      <c r="BJ33">
        <v>0</v>
      </c>
      <c r="BK33">
        <v>0</v>
      </c>
      <c r="BL33">
        <v>0</v>
      </c>
      <c r="BM33" t="s">
        <v>84</v>
      </c>
      <c r="BN33" t="s">
        <v>84</v>
      </c>
      <c r="CL33" t="s">
        <v>3859</v>
      </c>
      <c r="CM33" t="s">
        <v>1072</v>
      </c>
      <c r="CN33" t="s">
        <v>63</v>
      </c>
      <c r="CO33" t="s">
        <v>732</v>
      </c>
      <c r="CP33" t="s">
        <v>3999</v>
      </c>
      <c r="CQ33" t="s">
        <v>2996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 t="s">
        <v>3988</v>
      </c>
      <c r="CY33" t="s">
        <v>3989</v>
      </c>
      <c r="CZ33" s="26" t="s">
        <v>3990</v>
      </c>
      <c r="DA33" s="27" t="s">
        <v>4192</v>
      </c>
      <c r="DJ33" t="s">
        <v>63</v>
      </c>
      <c r="DK33" s="35" t="s">
        <v>4132</v>
      </c>
      <c r="DL33" s="37" t="s">
        <v>4257</v>
      </c>
      <c r="DM33" t="s">
        <v>4133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O33" t="s">
        <v>4111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FI33" t="s">
        <v>736</v>
      </c>
      <c r="FJ33" t="s">
        <v>1200</v>
      </c>
      <c r="FK33" t="s">
        <v>746</v>
      </c>
      <c r="FL33" t="s">
        <v>1899</v>
      </c>
      <c r="FM33" t="s">
        <v>736</v>
      </c>
      <c r="FN33" t="s">
        <v>1900</v>
      </c>
      <c r="FO33" t="s">
        <v>736</v>
      </c>
      <c r="FP33" t="s">
        <v>1901</v>
      </c>
      <c r="FQ33" t="s">
        <v>736</v>
      </c>
      <c r="FR33" t="s">
        <v>1902</v>
      </c>
      <c r="FS33" t="s">
        <v>746</v>
      </c>
      <c r="FT33" t="s">
        <v>1903</v>
      </c>
      <c r="FU33" t="s">
        <v>733</v>
      </c>
      <c r="FV33" t="s">
        <v>1194</v>
      </c>
      <c r="FW33" t="s">
        <v>746</v>
      </c>
      <c r="FX33" t="s">
        <v>1904</v>
      </c>
      <c r="FY33" t="s">
        <v>733</v>
      </c>
      <c r="FZ33" t="s">
        <v>912</v>
      </c>
      <c r="GA33" t="s">
        <v>733</v>
      </c>
      <c r="GB33" t="s">
        <v>912</v>
      </c>
      <c r="GC33" t="s">
        <v>746</v>
      </c>
      <c r="GD33" t="s">
        <v>1905</v>
      </c>
      <c r="GE33" t="s">
        <v>746</v>
      </c>
      <c r="GF33" t="s">
        <v>1906</v>
      </c>
      <c r="GG33" t="s">
        <v>746</v>
      </c>
      <c r="GH33" t="s">
        <v>1907</v>
      </c>
      <c r="GI33" t="s">
        <v>746</v>
      </c>
      <c r="GJ33" t="s">
        <v>999</v>
      </c>
      <c r="GK33" t="s">
        <v>733</v>
      </c>
      <c r="GL33" t="s">
        <v>1908</v>
      </c>
      <c r="GM33" t="s">
        <v>733</v>
      </c>
      <c r="GN33" t="s">
        <v>1909</v>
      </c>
      <c r="GO33" t="s">
        <v>733</v>
      </c>
      <c r="GP33" t="s">
        <v>1910</v>
      </c>
      <c r="GQ33" t="s">
        <v>733</v>
      </c>
      <c r="GR33" t="s">
        <v>1687</v>
      </c>
      <c r="GS33" t="s">
        <v>733</v>
      </c>
      <c r="GT33" t="s">
        <v>1911</v>
      </c>
      <c r="GU33" t="s">
        <v>733</v>
      </c>
      <c r="GV33" t="s">
        <v>923</v>
      </c>
      <c r="GW33" t="s">
        <v>736</v>
      </c>
      <c r="GX33" t="s">
        <v>1200</v>
      </c>
      <c r="GY33" t="s">
        <v>733</v>
      </c>
      <c r="GZ33" t="s">
        <v>1120</v>
      </c>
      <c r="HA33" t="s">
        <v>736</v>
      </c>
      <c r="HB33" t="s">
        <v>1200</v>
      </c>
      <c r="HC33" t="s">
        <v>733</v>
      </c>
      <c r="HD33" t="s">
        <v>1115</v>
      </c>
      <c r="HE33" t="s">
        <v>798</v>
      </c>
      <c r="HF33" t="s">
        <v>1200</v>
      </c>
      <c r="HG33" t="s">
        <v>733</v>
      </c>
      <c r="HH33" t="s">
        <v>1188</v>
      </c>
      <c r="HI33" t="s">
        <v>733</v>
      </c>
      <c r="HJ33" t="s">
        <v>1188</v>
      </c>
      <c r="HL33" t="s">
        <v>1104</v>
      </c>
      <c r="HN33" t="s">
        <v>1104</v>
      </c>
      <c r="HP33" t="s">
        <v>1104</v>
      </c>
      <c r="HR33" t="s">
        <v>1104</v>
      </c>
      <c r="HS33" t="s">
        <v>736</v>
      </c>
      <c r="HT33" t="s">
        <v>1200</v>
      </c>
      <c r="HU33" t="s">
        <v>736</v>
      </c>
      <c r="HV33" t="s">
        <v>1890</v>
      </c>
      <c r="HW33" t="s">
        <v>733</v>
      </c>
      <c r="HX33" t="s">
        <v>1912</v>
      </c>
      <c r="HY33" t="s">
        <v>733</v>
      </c>
      <c r="HZ33" t="s">
        <v>1912</v>
      </c>
      <c r="IA33" t="s">
        <v>736</v>
      </c>
      <c r="IB33" t="s">
        <v>1913</v>
      </c>
      <c r="IC33" t="s">
        <v>736</v>
      </c>
      <c r="ID33" t="s">
        <v>1914</v>
      </c>
      <c r="IF33" t="s">
        <v>938</v>
      </c>
      <c r="IH33" t="s">
        <v>938</v>
      </c>
      <c r="II33" t="s">
        <v>736</v>
      </c>
      <c r="IJ33" t="s">
        <v>1263</v>
      </c>
      <c r="IK33" t="s">
        <v>736</v>
      </c>
      <c r="IL33" t="s">
        <v>1263</v>
      </c>
      <c r="IM33" t="s">
        <v>733</v>
      </c>
      <c r="IN33" t="s">
        <v>1915</v>
      </c>
      <c r="IO33" t="s">
        <v>733</v>
      </c>
      <c r="IP33" t="s">
        <v>961</v>
      </c>
      <c r="IQ33" t="s">
        <v>733</v>
      </c>
      <c r="IR33" t="s">
        <v>1916</v>
      </c>
      <c r="IS33" t="s">
        <v>746</v>
      </c>
      <c r="IT33" t="s">
        <v>1917</v>
      </c>
      <c r="IU33" t="s">
        <v>746</v>
      </c>
      <c r="IV33" t="s">
        <v>1746</v>
      </c>
      <c r="IW33" t="s">
        <v>746</v>
      </c>
      <c r="IX33" t="s">
        <v>950</v>
      </c>
      <c r="IY33" t="s">
        <v>746</v>
      </c>
      <c r="IZ33" t="s">
        <v>1746</v>
      </c>
      <c r="JA33" t="s">
        <v>746</v>
      </c>
      <c r="JB33" t="s">
        <v>844</v>
      </c>
      <c r="JC33" t="s">
        <v>746</v>
      </c>
      <c r="JD33" t="s">
        <v>1746</v>
      </c>
      <c r="JE33" t="s">
        <v>746</v>
      </c>
      <c r="JF33" t="s">
        <v>950</v>
      </c>
      <c r="JG33" t="s">
        <v>746</v>
      </c>
      <c r="JH33" t="s">
        <v>1746</v>
      </c>
      <c r="JI33" t="s">
        <v>746</v>
      </c>
      <c r="JJ33" t="s">
        <v>844</v>
      </c>
      <c r="JL33" t="s">
        <v>1104</v>
      </c>
      <c r="JN33" t="s">
        <v>1104</v>
      </c>
      <c r="JP33" t="s">
        <v>1104</v>
      </c>
      <c r="JR33" t="s">
        <v>1104</v>
      </c>
      <c r="JS33" t="s">
        <v>746</v>
      </c>
      <c r="JT33" t="s">
        <v>1746</v>
      </c>
      <c r="JU33" t="s">
        <v>746</v>
      </c>
      <c r="JV33" t="s">
        <v>1918</v>
      </c>
      <c r="JW33" t="s">
        <v>746</v>
      </c>
      <c r="JX33" t="s">
        <v>1746</v>
      </c>
      <c r="JY33" t="s">
        <v>746</v>
      </c>
      <c r="JZ33" t="s">
        <v>1919</v>
      </c>
      <c r="KA33" t="s">
        <v>746</v>
      </c>
      <c r="KB33" t="s">
        <v>1746</v>
      </c>
      <c r="KC33" t="s">
        <v>746</v>
      </c>
      <c r="KD33" t="s">
        <v>1919</v>
      </c>
      <c r="KE33" t="s">
        <v>746</v>
      </c>
      <c r="KF33" t="s">
        <v>1746</v>
      </c>
      <c r="KG33" t="s">
        <v>746</v>
      </c>
      <c r="KH33" t="s">
        <v>1919</v>
      </c>
      <c r="KI33" t="s">
        <v>746</v>
      </c>
      <c r="KJ33" t="s">
        <v>1746</v>
      </c>
      <c r="KK33" t="s">
        <v>746</v>
      </c>
      <c r="KL33" t="s">
        <v>1919</v>
      </c>
      <c r="KM33" t="s">
        <v>746</v>
      </c>
      <c r="KN33" t="s">
        <v>1919</v>
      </c>
      <c r="KO33" t="s">
        <v>746</v>
      </c>
      <c r="KP33" t="s">
        <v>1920</v>
      </c>
      <c r="KQ33" t="s">
        <v>746</v>
      </c>
      <c r="KR33" t="s">
        <v>1746</v>
      </c>
      <c r="KS33" t="s">
        <v>746</v>
      </c>
      <c r="KT33" t="s">
        <v>950</v>
      </c>
      <c r="KU33" t="s">
        <v>733</v>
      </c>
      <c r="KV33" t="s">
        <v>1921</v>
      </c>
      <c r="KW33" t="s">
        <v>733</v>
      </c>
      <c r="KX33" t="s">
        <v>961</v>
      </c>
      <c r="KY33" t="s">
        <v>733</v>
      </c>
      <c r="KZ33" t="s">
        <v>961</v>
      </c>
      <c r="LA33" t="s">
        <v>746</v>
      </c>
      <c r="LB33" t="s">
        <v>950</v>
      </c>
      <c r="LC33" t="s">
        <v>736</v>
      </c>
      <c r="LD33" t="s">
        <v>1200</v>
      </c>
      <c r="LE33" t="s">
        <v>736</v>
      </c>
      <c r="LF33" t="s">
        <v>1922</v>
      </c>
      <c r="LG33" t="s">
        <v>733</v>
      </c>
      <c r="LH33" t="s">
        <v>1923</v>
      </c>
      <c r="LI33" t="s">
        <v>736</v>
      </c>
      <c r="LJ33" t="s">
        <v>1890</v>
      </c>
      <c r="LK33" t="s">
        <v>733</v>
      </c>
      <c r="LL33" t="s">
        <v>1924</v>
      </c>
      <c r="LM33" t="s">
        <v>746</v>
      </c>
      <c r="LN33" t="s">
        <v>1925</v>
      </c>
      <c r="LO33" t="s">
        <v>746</v>
      </c>
      <c r="LP33" t="s">
        <v>953</v>
      </c>
      <c r="LQ33" t="s">
        <v>746</v>
      </c>
      <c r="LR33" t="s">
        <v>953</v>
      </c>
      <c r="LT33" t="s">
        <v>938</v>
      </c>
      <c r="LV33" t="s">
        <v>938</v>
      </c>
      <c r="LW33" t="s">
        <v>746</v>
      </c>
      <c r="LX33" t="s">
        <v>1119</v>
      </c>
      <c r="LY33" t="s">
        <v>746</v>
      </c>
      <c r="LZ33" t="s">
        <v>1119</v>
      </c>
      <c r="MA33" t="s">
        <v>746</v>
      </c>
      <c r="MB33" t="s">
        <v>1926</v>
      </c>
      <c r="MC33" t="s">
        <v>746</v>
      </c>
      <c r="MD33" t="s">
        <v>1926</v>
      </c>
      <c r="ME33" t="s">
        <v>733</v>
      </c>
      <c r="MF33" t="s">
        <v>1120</v>
      </c>
      <c r="MG33" t="s">
        <v>746</v>
      </c>
      <c r="MH33" t="s">
        <v>1708</v>
      </c>
      <c r="MI33" t="s">
        <v>733</v>
      </c>
      <c r="MJ33" t="s">
        <v>1234</v>
      </c>
      <c r="MK33" t="s">
        <v>746</v>
      </c>
      <c r="ML33" t="s">
        <v>974</v>
      </c>
      <c r="MO33" t="s">
        <v>783</v>
      </c>
      <c r="MP33" t="s">
        <v>784</v>
      </c>
      <c r="MQ33" t="s">
        <v>783</v>
      </c>
      <c r="MR33" t="s">
        <v>784</v>
      </c>
      <c r="MS33" t="s">
        <v>784</v>
      </c>
      <c r="MT33" t="s">
        <v>783</v>
      </c>
      <c r="MU33" t="s">
        <v>783</v>
      </c>
      <c r="MV33" t="s">
        <v>783</v>
      </c>
      <c r="MW33" t="s">
        <v>783</v>
      </c>
      <c r="MX33" t="s">
        <v>783</v>
      </c>
      <c r="MZ33" t="s">
        <v>907</v>
      </c>
      <c r="NA33" t="s">
        <v>783</v>
      </c>
      <c r="NB33" t="s">
        <v>783</v>
      </c>
      <c r="NC33" t="s">
        <v>907</v>
      </c>
      <c r="ND33" t="s">
        <v>783</v>
      </c>
      <c r="NE33" t="s">
        <v>784</v>
      </c>
      <c r="NF33" t="s">
        <v>907</v>
      </c>
      <c r="NG33" t="s">
        <v>783</v>
      </c>
      <c r="NH33" t="s">
        <v>907</v>
      </c>
      <c r="NI33" t="s">
        <v>783</v>
      </c>
      <c r="NJ33" t="s">
        <v>907</v>
      </c>
      <c r="NK33" t="s">
        <v>783</v>
      </c>
      <c r="NL33" t="s">
        <v>783</v>
      </c>
      <c r="NM33" t="s">
        <v>783</v>
      </c>
      <c r="NN33" t="s">
        <v>784</v>
      </c>
      <c r="NO33" t="s">
        <v>784</v>
      </c>
      <c r="NP33" t="s">
        <v>783</v>
      </c>
      <c r="NQ33" t="s">
        <v>783</v>
      </c>
      <c r="NR33" t="s">
        <v>783</v>
      </c>
      <c r="NS33" t="s">
        <v>907</v>
      </c>
      <c r="NT33" t="s">
        <v>784</v>
      </c>
      <c r="NU33" t="s">
        <v>783</v>
      </c>
      <c r="NV33" t="s">
        <v>784</v>
      </c>
      <c r="NW33" t="s">
        <v>784</v>
      </c>
      <c r="NX33" t="s">
        <v>907</v>
      </c>
      <c r="NY33" t="s">
        <v>784</v>
      </c>
      <c r="NZ33" t="s">
        <v>783</v>
      </c>
      <c r="OA33" t="s">
        <v>781</v>
      </c>
      <c r="OB33" t="s">
        <v>784</v>
      </c>
      <c r="OC33" t="s">
        <v>784</v>
      </c>
      <c r="OD33" t="s">
        <v>783</v>
      </c>
      <c r="OE33" t="s">
        <v>783</v>
      </c>
      <c r="OF33" t="s">
        <v>783</v>
      </c>
      <c r="OG33" t="s">
        <v>783</v>
      </c>
      <c r="OH33" t="s">
        <v>783</v>
      </c>
      <c r="OI33" t="s">
        <v>783</v>
      </c>
      <c r="OJ33" t="s">
        <v>783</v>
      </c>
    </row>
    <row r="34" spans="1:400" x14ac:dyDescent="0.25">
      <c r="A34">
        <v>30</v>
      </c>
      <c r="B34" t="s">
        <v>203</v>
      </c>
      <c r="C34" t="s">
        <v>204</v>
      </c>
      <c r="D34" t="s">
        <v>97</v>
      </c>
      <c r="E34">
        <v>46</v>
      </c>
      <c r="F34" t="s">
        <v>58</v>
      </c>
      <c r="G34" t="s">
        <v>105</v>
      </c>
      <c r="H34" t="s">
        <v>60</v>
      </c>
      <c r="I34" t="s">
        <v>113</v>
      </c>
      <c r="J34" t="s">
        <v>62</v>
      </c>
      <c r="K34" t="s">
        <v>84</v>
      </c>
      <c r="L34" t="s">
        <v>98</v>
      </c>
      <c r="M34" t="s">
        <v>146</v>
      </c>
      <c r="N34" t="s">
        <v>70</v>
      </c>
      <c r="O34">
        <v>10</v>
      </c>
      <c r="P34" s="1">
        <v>70000</v>
      </c>
      <c r="Q34" s="1">
        <v>0</v>
      </c>
      <c r="R34" t="s">
        <v>115</v>
      </c>
      <c r="S34" s="7">
        <v>70000</v>
      </c>
      <c r="T34" t="s">
        <v>70</v>
      </c>
      <c r="U34" s="5">
        <v>0</v>
      </c>
      <c r="V34" s="3" t="s">
        <v>70</v>
      </c>
      <c r="W34" s="5">
        <v>0</v>
      </c>
      <c r="X34" t="s">
        <v>73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 t="s">
        <v>63</v>
      </c>
      <c r="AR34">
        <v>1</v>
      </c>
      <c r="AS34" s="2">
        <v>0.5</v>
      </c>
      <c r="AT34" t="s">
        <v>503</v>
      </c>
      <c r="AU34">
        <v>0</v>
      </c>
      <c r="AV34">
        <v>0</v>
      </c>
      <c r="AW34">
        <v>0</v>
      </c>
      <c r="AX34">
        <v>1</v>
      </c>
      <c r="AY34">
        <v>0</v>
      </c>
      <c r="AZ34" t="s">
        <v>538</v>
      </c>
      <c r="BA34" t="s">
        <v>511</v>
      </c>
      <c r="BC34" t="s">
        <v>512</v>
      </c>
      <c r="BD34" t="s">
        <v>507</v>
      </c>
      <c r="BE34">
        <v>2018</v>
      </c>
      <c r="BF34">
        <v>5</v>
      </c>
      <c r="BG34" t="s">
        <v>508</v>
      </c>
      <c r="BH34">
        <v>1</v>
      </c>
      <c r="BI34">
        <v>0</v>
      </c>
      <c r="BJ34">
        <v>0</v>
      </c>
      <c r="BK34">
        <v>0</v>
      </c>
      <c r="BL34">
        <v>0</v>
      </c>
      <c r="BM34" t="s">
        <v>63</v>
      </c>
      <c r="BN34" t="s">
        <v>63</v>
      </c>
      <c r="BO34" t="s">
        <v>3886</v>
      </c>
      <c r="BP34" t="s">
        <v>3845</v>
      </c>
      <c r="BR34" t="s">
        <v>3887</v>
      </c>
      <c r="BS34" t="s">
        <v>3838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CA34" t="s">
        <v>3839</v>
      </c>
      <c r="CC34" t="s">
        <v>3840</v>
      </c>
      <c r="CD34" t="s">
        <v>3841</v>
      </c>
      <c r="CE34" t="s">
        <v>3867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N34" t="s">
        <v>63</v>
      </c>
      <c r="CO34" t="s">
        <v>732</v>
      </c>
      <c r="CP34" t="s">
        <v>4000</v>
      </c>
      <c r="CQ34" t="s">
        <v>3985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1</v>
      </c>
      <c r="CX34" t="s">
        <v>3964</v>
      </c>
      <c r="CY34" t="s">
        <v>3957</v>
      </c>
      <c r="CZ34" s="26" t="s">
        <v>4001</v>
      </c>
      <c r="DA34" s="27" t="s">
        <v>4216</v>
      </c>
      <c r="DJ34" t="s">
        <v>84</v>
      </c>
      <c r="DK34" s="35"/>
      <c r="DL34" s="37"/>
      <c r="FI34" t="s">
        <v>733</v>
      </c>
      <c r="FJ34" t="s">
        <v>1927</v>
      </c>
      <c r="FK34" t="s">
        <v>733</v>
      </c>
      <c r="FL34" t="s">
        <v>928</v>
      </c>
      <c r="FM34" t="s">
        <v>733</v>
      </c>
      <c r="FN34" t="s">
        <v>1928</v>
      </c>
      <c r="FO34" t="s">
        <v>733</v>
      </c>
      <c r="FP34" t="s">
        <v>734</v>
      </c>
      <c r="FQ34" t="s">
        <v>733</v>
      </c>
      <c r="FR34" t="s">
        <v>1115</v>
      </c>
      <c r="FS34" t="s">
        <v>733</v>
      </c>
      <c r="FT34" t="s">
        <v>1120</v>
      </c>
      <c r="FU34" t="s">
        <v>733</v>
      </c>
      <c r="FV34" t="s">
        <v>1929</v>
      </c>
      <c r="FW34" t="s">
        <v>733</v>
      </c>
      <c r="FX34" t="s">
        <v>1929</v>
      </c>
      <c r="FY34" t="s">
        <v>733</v>
      </c>
      <c r="FZ34" t="s">
        <v>928</v>
      </c>
      <c r="GA34" t="s">
        <v>733</v>
      </c>
      <c r="GB34" t="s">
        <v>734</v>
      </c>
      <c r="GC34" t="s">
        <v>733</v>
      </c>
      <c r="GD34" t="s">
        <v>1930</v>
      </c>
      <c r="GE34" t="s">
        <v>733</v>
      </c>
      <c r="GF34" t="s">
        <v>912</v>
      </c>
      <c r="GG34" t="s">
        <v>733</v>
      </c>
      <c r="GH34" t="s">
        <v>1188</v>
      </c>
      <c r="GI34" t="s">
        <v>733</v>
      </c>
      <c r="GJ34" t="s">
        <v>734</v>
      </c>
      <c r="GK34" t="s">
        <v>733</v>
      </c>
      <c r="GL34" t="s">
        <v>961</v>
      </c>
      <c r="GM34" t="s">
        <v>733</v>
      </c>
      <c r="GN34" t="s">
        <v>1931</v>
      </c>
      <c r="GO34" t="s">
        <v>733</v>
      </c>
      <c r="GP34" t="s">
        <v>912</v>
      </c>
      <c r="GQ34" t="s">
        <v>733</v>
      </c>
      <c r="GR34" t="s">
        <v>912</v>
      </c>
      <c r="GS34" t="s">
        <v>733</v>
      </c>
      <c r="GT34" t="s">
        <v>1656</v>
      </c>
      <c r="GU34" t="s">
        <v>733</v>
      </c>
      <c r="GV34" t="s">
        <v>1932</v>
      </c>
      <c r="GW34" t="s">
        <v>733</v>
      </c>
      <c r="GX34" t="s">
        <v>924</v>
      </c>
      <c r="GY34" t="s">
        <v>733</v>
      </c>
      <c r="GZ34" t="s">
        <v>1115</v>
      </c>
      <c r="HA34" t="s">
        <v>733</v>
      </c>
      <c r="HB34" t="s">
        <v>1120</v>
      </c>
      <c r="HC34" t="s">
        <v>733</v>
      </c>
      <c r="HD34" t="s">
        <v>1115</v>
      </c>
      <c r="HE34" t="s">
        <v>798</v>
      </c>
      <c r="HF34" t="s">
        <v>1933</v>
      </c>
      <c r="HG34" t="s">
        <v>736</v>
      </c>
      <c r="HH34" t="s">
        <v>1934</v>
      </c>
      <c r="HI34" t="s">
        <v>733</v>
      </c>
      <c r="HJ34" t="s">
        <v>1188</v>
      </c>
      <c r="HL34" t="s">
        <v>1104</v>
      </c>
      <c r="HN34" t="s">
        <v>1104</v>
      </c>
      <c r="HO34" t="s">
        <v>746</v>
      </c>
      <c r="HP34" t="s">
        <v>879</v>
      </c>
      <c r="HQ34" t="s">
        <v>746</v>
      </c>
      <c r="HR34" t="s">
        <v>879</v>
      </c>
      <c r="HS34" t="s">
        <v>733</v>
      </c>
      <c r="HT34" t="s">
        <v>1935</v>
      </c>
      <c r="HU34" t="s">
        <v>733</v>
      </c>
      <c r="HV34" t="s">
        <v>1935</v>
      </c>
      <c r="HW34" t="s">
        <v>733</v>
      </c>
      <c r="HX34" t="s">
        <v>1936</v>
      </c>
      <c r="HY34" t="s">
        <v>733</v>
      </c>
      <c r="HZ34" t="s">
        <v>1936</v>
      </c>
      <c r="IA34" t="s">
        <v>733</v>
      </c>
      <c r="IB34" t="s">
        <v>1115</v>
      </c>
      <c r="IC34" t="s">
        <v>733</v>
      </c>
      <c r="ID34" t="s">
        <v>1115</v>
      </c>
      <c r="IF34" t="s">
        <v>938</v>
      </c>
      <c r="IH34" t="s">
        <v>938</v>
      </c>
      <c r="II34" t="s">
        <v>733</v>
      </c>
      <c r="IJ34" t="s">
        <v>1115</v>
      </c>
      <c r="IK34" t="s">
        <v>733</v>
      </c>
      <c r="IL34" t="s">
        <v>1115</v>
      </c>
      <c r="IM34" t="s">
        <v>733</v>
      </c>
      <c r="IN34" t="s">
        <v>1937</v>
      </c>
      <c r="IO34" t="s">
        <v>733</v>
      </c>
      <c r="IP34" t="s">
        <v>1937</v>
      </c>
      <c r="IQ34" t="s">
        <v>733</v>
      </c>
      <c r="IR34" t="s">
        <v>1938</v>
      </c>
      <c r="IS34" t="s">
        <v>733</v>
      </c>
      <c r="IT34" t="s">
        <v>1939</v>
      </c>
      <c r="IU34" t="s">
        <v>733</v>
      </c>
      <c r="IV34" t="s">
        <v>1940</v>
      </c>
      <c r="IW34" t="s">
        <v>746</v>
      </c>
      <c r="IX34" t="s">
        <v>1941</v>
      </c>
      <c r="IY34" t="s">
        <v>733</v>
      </c>
      <c r="IZ34" t="s">
        <v>1940</v>
      </c>
      <c r="JA34" t="s">
        <v>746</v>
      </c>
      <c r="JB34" t="s">
        <v>1941</v>
      </c>
      <c r="JC34" t="s">
        <v>733</v>
      </c>
      <c r="JD34" t="s">
        <v>1940</v>
      </c>
      <c r="JE34" t="s">
        <v>746</v>
      </c>
      <c r="JF34" t="s">
        <v>1941</v>
      </c>
      <c r="JG34" t="s">
        <v>733</v>
      </c>
      <c r="JH34" t="s">
        <v>1940</v>
      </c>
      <c r="JI34" t="s">
        <v>746</v>
      </c>
      <c r="JJ34" t="s">
        <v>1941</v>
      </c>
      <c r="JL34" t="s">
        <v>1104</v>
      </c>
      <c r="JN34" t="s">
        <v>1104</v>
      </c>
      <c r="JP34" t="s">
        <v>1104</v>
      </c>
      <c r="JR34" t="s">
        <v>1104</v>
      </c>
      <c r="JS34" t="s">
        <v>733</v>
      </c>
      <c r="JT34" t="s">
        <v>1940</v>
      </c>
      <c r="JU34" t="s">
        <v>746</v>
      </c>
      <c r="JV34" t="s">
        <v>1941</v>
      </c>
      <c r="JW34" t="s">
        <v>733</v>
      </c>
      <c r="JX34" t="s">
        <v>1940</v>
      </c>
      <c r="JY34" t="s">
        <v>746</v>
      </c>
      <c r="JZ34" t="s">
        <v>1941</v>
      </c>
      <c r="KA34" t="s">
        <v>733</v>
      </c>
      <c r="KB34" t="s">
        <v>1940</v>
      </c>
      <c r="KC34" t="s">
        <v>746</v>
      </c>
      <c r="KD34" t="s">
        <v>1941</v>
      </c>
      <c r="KE34" t="s">
        <v>733</v>
      </c>
      <c r="KF34" t="s">
        <v>1940</v>
      </c>
      <c r="KG34" t="s">
        <v>746</v>
      </c>
      <c r="KH34" t="s">
        <v>1941</v>
      </c>
      <c r="KI34" t="s">
        <v>733</v>
      </c>
      <c r="KJ34" t="s">
        <v>1940</v>
      </c>
      <c r="KK34" t="s">
        <v>746</v>
      </c>
      <c r="KL34" t="s">
        <v>1941</v>
      </c>
      <c r="KM34" t="s">
        <v>733</v>
      </c>
      <c r="KN34" t="s">
        <v>1940</v>
      </c>
      <c r="KO34" t="s">
        <v>746</v>
      </c>
      <c r="KP34" t="s">
        <v>1941</v>
      </c>
      <c r="KQ34" t="s">
        <v>733</v>
      </c>
      <c r="KR34" t="s">
        <v>1940</v>
      </c>
      <c r="KS34" t="s">
        <v>746</v>
      </c>
      <c r="KT34" t="s">
        <v>1941</v>
      </c>
      <c r="KU34" t="s">
        <v>733</v>
      </c>
      <c r="KV34" t="s">
        <v>1940</v>
      </c>
      <c r="KW34" t="s">
        <v>746</v>
      </c>
      <c r="KX34" t="s">
        <v>1941</v>
      </c>
      <c r="KY34" t="s">
        <v>733</v>
      </c>
      <c r="KZ34" t="s">
        <v>928</v>
      </c>
      <c r="LA34" t="s">
        <v>733</v>
      </c>
      <c r="LB34" t="s">
        <v>1188</v>
      </c>
      <c r="LC34" t="s">
        <v>733</v>
      </c>
      <c r="LD34" t="s">
        <v>912</v>
      </c>
      <c r="LE34" t="s">
        <v>736</v>
      </c>
      <c r="LF34" t="s">
        <v>1942</v>
      </c>
      <c r="LG34" t="s">
        <v>733</v>
      </c>
      <c r="LH34" t="s">
        <v>912</v>
      </c>
      <c r="LI34" t="s">
        <v>736</v>
      </c>
      <c r="LJ34" t="s">
        <v>1943</v>
      </c>
      <c r="LK34" t="s">
        <v>733</v>
      </c>
      <c r="LL34" t="s">
        <v>1115</v>
      </c>
      <c r="LM34" t="s">
        <v>733</v>
      </c>
      <c r="LN34" t="s">
        <v>1115</v>
      </c>
      <c r="LO34" t="s">
        <v>733</v>
      </c>
      <c r="LP34" t="s">
        <v>1944</v>
      </c>
      <c r="LQ34" t="s">
        <v>733</v>
      </c>
      <c r="LR34" t="s">
        <v>1944</v>
      </c>
      <c r="LS34" t="s">
        <v>733</v>
      </c>
      <c r="LT34" t="s">
        <v>1945</v>
      </c>
      <c r="LU34" t="s">
        <v>736</v>
      </c>
      <c r="LV34" t="s">
        <v>974</v>
      </c>
      <c r="LW34" t="s">
        <v>733</v>
      </c>
      <c r="LX34" t="s">
        <v>1231</v>
      </c>
      <c r="LY34" t="s">
        <v>733</v>
      </c>
      <c r="LZ34" t="s">
        <v>1946</v>
      </c>
      <c r="MA34" t="s">
        <v>733</v>
      </c>
      <c r="MB34" t="s">
        <v>1947</v>
      </c>
      <c r="MC34" t="s">
        <v>733</v>
      </c>
      <c r="MD34" t="s">
        <v>1948</v>
      </c>
      <c r="ME34" t="s">
        <v>733</v>
      </c>
      <c r="MF34" t="s">
        <v>1949</v>
      </c>
      <c r="MG34" t="s">
        <v>733</v>
      </c>
      <c r="MH34" t="s">
        <v>1949</v>
      </c>
      <c r="MI34" t="s">
        <v>733</v>
      </c>
      <c r="MJ34" t="s">
        <v>1950</v>
      </c>
      <c r="MK34" t="s">
        <v>733</v>
      </c>
      <c r="ML34" t="s">
        <v>1234</v>
      </c>
      <c r="MO34" t="s">
        <v>783</v>
      </c>
      <c r="MP34" t="s">
        <v>783</v>
      </c>
      <c r="MQ34" t="s">
        <v>783</v>
      </c>
      <c r="MR34" t="s">
        <v>783</v>
      </c>
      <c r="MS34" t="s">
        <v>783</v>
      </c>
      <c r="MT34" t="s">
        <v>783</v>
      </c>
      <c r="MU34" t="s">
        <v>783</v>
      </c>
      <c r="MV34" t="s">
        <v>783</v>
      </c>
      <c r="MW34" t="s">
        <v>781</v>
      </c>
      <c r="MX34" t="s">
        <v>781</v>
      </c>
      <c r="MZ34" t="s">
        <v>783</v>
      </c>
      <c r="NA34" t="s">
        <v>784</v>
      </c>
      <c r="NB34" t="s">
        <v>783</v>
      </c>
      <c r="NC34" t="s">
        <v>781</v>
      </c>
      <c r="ND34" t="s">
        <v>783</v>
      </c>
      <c r="NE34" t="s">
        <v>784</v>
      </c>
      <c r="NF34" t="s">
        <v>784</v>
      </c>
      <c r="NG34" t="s">
        <v>783</v>
      </c>
      <c r="NH34" t="s">
        <v>907</v>
      </c>
      <c r="NI34" t="s">
        <v>907</v>
      </c>
      <c r="NJ34" t="s">
        <v>783</v>
      </c>
      <c r="NK34" t="s">
        <v>784</v>
      </c>
      <c r="NL34" t="s">
        <v>784</v>
      </c>
      <c r="NM34" t="s">
        <v>783</v>
      </c>
      <c r="NN34" t="s">
        <v>784</v>
      </c>
      <c r="NO34" t="s">
        <v>782</v>
      </c>
      <c r="NP34" t="s">
        <v>784</v>
      </c>
      <c r="NQ34" t="s">
        <v>783</v>
      </c>
      <c r="NR34" t="s">
        <v>783</v>
      </c>
      <c r="NS34" t="s">
        <v>784</v>
      </c>
      <c r="NT34" t="s">
        <v>784</v>
      </c>
      <c r="NU34" t="s">
        <v>783</v>
      </c>
      <c r="NV34" t="s">
        <v>782</v>
      </c>
      <c r="NW34" t="s">
        <v>782</v>
      </c>
      <c r="NX34" t="s">
        <v>784</v>
      </c>
      <c r="NY34" t="s">
        <v>784</v>
      </c>
      <c r="NZ34" t="s">
        <v>783</v>
      </c>
      <c r="OA34" t="s">
        <v>781</v>
      </c>
      <c r="OB34" t="s">
        <v>782</v>
      </c>
      <c r="OC34" t="s">
        <v>784</v>
      </c>
      <c r="OD34" t="s">
        <v>784</v>
      </c>
      <c r="OE34" t="s">
        <v>784</v>
      </c>
      <c r="OF34" t="s">
        <v>783</v>
      </c>
      <c r="OG34" t="s">
        <v>783</v>
      </c>
      <c r="OH34" t="s">
        <v>783</v>
      </c>
      <c r="OI34" t="s">
        <v>783</v>
      </c>
      <c r="OJ34" t="s">
        <v>783</v>
      </c>
    </row>
    <row r="35" spans="1:400" x14ac:dyDescent="0.25">
      <c r="A35">
        <v>31</v>
      </c>
      <c r="B35" t="s">
        <v>205</v>
      </c>
      <c r="C35" t="s">
        <v>206</v>
      </c>
      <c r="D35" t="s">
        <v>57</v>
      </c>
      <c r="E35">
        <v>30</v>
      </c>
      <c r="F35" t="s">
        <v>58</v>
      </c>
      <c r="G35" t="s">
        <v>76</v>
      </c>
      <c r="H35" t="s">
        <v>60</v>
      </c>
      <c r="I35" t="s">
        <v>113</v>
      </c>
      <c r="J35" t="s">
        <v>62</v>
      </c>
      <c r="K35" t="s">
        <v>63</v>
      </c>
      <c r="M35" t="s">
        <v>146</v>
      </c>
      <c r="N35" t="s">
        <v>70</v>
      </c>
      <c r="O35">
        <v>5</v>
      </c>
      <c r="P35" s="1">
        <v>395000</v>
      </c>
      <c r="Q35" s="1" t="s">
        <v>208</v>
      </c>
      <c r="R35" t="s">
        <v>209</v>
      </c>
      <c r="S35" s="7">
        <v>300000</v>
      </c>
      <c r="T35" t="s">
        <v>210</v>
      </c>
      <c r="U35" s="5">
        <v>95000</v>
      </c>
      <c r="V35" s="3" t="s">
        <v>70</v>
      </c>
      <c r="W35" s="5">
        <v>0</v>
      </c>
      <c r="X35" t="s">
        <v>73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P35" t="s">
        <v>63</v>
      </c>
      <c r="AR35">
        <v>1</v>
      </c>
      <c r="AS35" s="2">
        <v>0.75</v>
      </c>
      <c r="AT35" t="s">
        <v>503</v>
      </c>
      <c r="AU35">
        <v>0</v>
      </c>
      <c r="AV35">
        <v>0</v>
      </c>
      <c r="AW35">
        <v>0</v>
      </c>
      <c r="AX35">
        <v>1</v>
      </c>
      <c r="AY35">
        <v>0</v>
      </c>
      <c r="AZ35" t="s">
        <v>548</v>
      </c>
      <c r="BA35" t="s">
        <v>511</v>
      </c>
      <c r="BB35" t="s">
        <v>549</v>
      </c>
      <c r="BC35" t="s">
        <v>515</v>
      </c>
      <c r="BD35" t="s">
        <v>507</v>
      </c>
      <c r="BE35">
        <v>2017</v>
      </c>
      <c r="BF35">
        <v>6</v>
      </c>
      <c r="BG35" t="s">
        <v>508</v>
      </c>
      <c r="BH35">
        <v>1</v>
      </c>
      <c r="BI35">
        <v>0</v>
      </c>
      <c r="BJ35">
        <v>0</v>
      </c>
      <c r="BK35">
        <v>0</v>
      </c>
      <c r="BL35">
        <v>0</v>
      </c>
      <c r="BM35" t="s">
        <v>84</v>
      </c>
      <c r="BN35" t="s">
        <v>84</v>
      </c>
      <c r="CM35" t="s">
        <v>785</v>
      </c>
      <c r="CN35" t="s">
        <v>63</v>
      </c>
      <c r="CO35" t="s">
        <v>732</v>
      </c>
      <c r="CP35" t="s">
        <v>4002</v>
      </c>
      <c r="CQ35" t="s">
        <v>2996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 t="s">
        <v>3988</v>
      </c>
      <c r="CY35" t="s">
        <v>3971</v>
      </c>
      <c r="CZ35" s="26" t="s">
        <v>4003</v>
      </c>
      <c r="DA35" s="27" t="s">
        <v>4192</v>
      </c>
      <c r="DJ35" t="s">
        <v>84</v>
      </c>
      <c r="DK35" s="35"/>
      <c r="DL35" s="37"/>
      <c r="FI35" t="s">
        <v>736</v>
      </c>
      <c r="FJ35" t="s">
        <v>1951</v>
      </c>
      <c r="FK35" t="s">
        <v>736</v>
      </c>
      <c r="FL35" t="s">
        <v>1952</v>
      </c>
      <c r="FM35" t="s">
        <v>733</v>
      </c>
      <c r="FN35" t="s">
        <v>1953</v>
      </c>
      <c r="FO35" t="s">
        <v>733</v>
      </c>
      <c r="FP35" t="s">
        <v>1954</v>
      </c>
      <c r="FQ35" t="s">
        <v>736</v>
      </c>
      <c r="FR35" t="s">
        <v>1496</v>
      </c>
      <c r="FS35" t="s">
        <v>736</v>
      </c>
      <c r="FT35" t="s">
        <v>1955</v>
      </c>
      <c r="FU35" t="s">
        <v>736</v>
      </c>
      <c r="FV35" t="s">
        <v>1956</v>
      </c>
      <c r="FW35" t="s">
        <v>736</v>
      </c>
      <c r="FX35" t="s">
        <v>1957</v>
      </c>
      <c r="FY35" t="s">
        <v>733</v>
      </c>
      <c r="FZ35" t="s">
        <v>817</v>
      </c>
      <c r="GA35" t="s">
        <v>733</v>
      </c>
      <c r="GB35" t="s">
        <v>1551</v>
      </c>
      <c r="GC35" t="s">
        <v>733</v>
      </c>
      <c r="GD35" t="s">
        <v>1392</v>
      </c>
      <c r="GE35" t="s">
        <v>733</v>
      </c>
      <c r="GF35" t="s">
        <v>1958</v>
      </c>
      <c r="GG35" t="s">
        <v>746</v>
      </c>
      <c r="GH35" t="s">
        <v>1375</v>
      </c>
      <c r="GI35" t="s">
        <v>746</v>
      </c>
      <c r="GJ35" t="s">
        <v>1959</v>
      </c>
      <c r="GL35" t="s">
        <v>938</v>
      </c>
      <c r="GN35" t="s">
        <v>938</v>
      </c>
      <c r="GO35" t="s">
        <v>736</v>
      </c>
      <c r="GP35" t="s">
        <v>1960</v>
      </c>
      <c r="GQ35" t="s">
        <v>736</v>
      </c>
      <c r="GR35" t="s">
        <v>1961</v>
      </c>
      <c r="GS35" t="s">
        <v>736</v>
      </c>
      <c r="GT35" t="s">
        <v>1962</v>
      </c>
      <c r="GU35" t="s">
        <v>736</v>
      </c>
      <c r="GV35" t="s">
        <v>1963</v>
      </c>
      <c r="GW35" t="s">
        <v>736</v>
      </c>
      <c r="GX35" t="s">
        <v>1964</v>
      </c>
      <c r="GY35" t="s">
        <v>736</v>
      </c>
      <c r="GZ35" t="s">
        <v>1797</v>
      </c>
      <c r="HA35" t="s">
        <v>736</v>
      </c>
      <c r="HB35" t="s">
        <v>1965</v>
      </c>
      <c r="HC35" t="s">
        <v>736</v>
      </c>
      <c r="HD35" t="s">
        <v>1523</v>
      </c>
      <c r="HE35" t="s">
        <v>798</v>
      </c>
      <c r="HF35" t="s">
        <v>1966</v>
      </c>
      <c r="HG35" t="s">
        <v>736</v>
      </c>
      <c r="HH35" t="s">
        <v>1967</v>
      </c>
      <c r="HI35" t="s">
        <v>736</v>
      </c>
      <c r="HJ35" t="s">
        <v>1968</v>
      </c>
      <c r="HL35" t="s">
        <v>938</v>
      </c>
      <c r="HN35" t="s">
        <v>938</v>
      </c>
      <c r="HP35" t="s">
        <v>938</v>
      </c>
      <c r="HR35" t="s">
        <v>938</v>
      </c>
      <c r="HS35" t="s">
        <v>736</v>
      </c>
      <c r="HT35" t="s">
        <v>1969</v>
      </c>
      <c r="HU35" t="s">
        <v>736</v>
      </c>
      <c r="HV35" t="s">
        <v>1970</v>
      </c>
      <c r="HW35" t="s">
        <v>736</v>
      </c>
      <c r="HX35" t="s">
        <v>1971</v>
      </c>
      <c r="HY35" t="s">
        <v>736</v>
      </c>
      <c r="HZ35" t="s">
        <v>1960</v>
      </c>
      <c r="IA35" t="s">
        <v>736</v>
      </c>
      <c r="IB35" t="s">
        <v>1972</v>
      </c>
      <c r="IC35" t="s">
        <v>736</v>
      </c>
      <c r="ID35" t="s">
        <v>1523</v>
      </c>
      <c r="IF35" t="s">
        <v>938</v>
      </c>
      <c r="IH35" t="s">
        <v>938</v>
      </c>
      <c r="II35" t="s">
        <v>733</v>
      </c>
      <c r="IJ35" t="s">
        <v>1973</v>
      </c>
      <c r="IK35" t="s">
        <v>733</v>
      </c>
      <c r="IL35" t="s">
        <v>1974</v>
      </c>
      <c r="IM35" t="s">
        <v>746</v>
      </c>
      <c r="IN35" t="s">
        <v>1975</v>
      </c>
      <c r="IO35" t="s">
        <v>746</v>
      </c>
      <c r="IP35" t="s">
        <v>1976</v>
      </c>
      <c r="IQ35" t="s">
        <v>746</v>
      </c>
      <c r="IR35" t="s">
        <v>1977</v>
      </c>
      <c r="IS35" t="s">
        <v>746</v>
      </c>
      <c r="IT35" t="s">
        <v>1978</v>
      </c>
      <c r="IU35" t="s">
        <v>746</v>
      </c>
      <c r="IV35" t="s">
        <v>1336</v>
      </c>
      <c r="IW35" t="s">
        <v>746</v>
      </c>
      <c r="IX35" t="s">
        <v>1979</v>
      </c>
      <c r="IY35" t="s">
        <v>746</v>
      </c>
      <c r="IZ35" t="s">
        <v>1979</v>
      </c>
      <c r="JA35" t="s">
        <v>746</v>
      </c>
      <c r="JB35" t="s">
        <v>1613</v>
      </c>
      <c r="JC35" t="s">
        <v>746</v>
      </c>
      <c r="JD35" t="s">
        <v>1375</v>
      </c>
      <c r="JE35" t="s">
        <v>746</v>
      </c>
      <c r="JF35" t="s">
        <v>1980</v>
      </c>
      <c r="JH35" t="s">
        <v>938</v>
      </c>
      <c r="JJ35" t="s">
        <v>938</v>
      </c>
      <c r="JL35" t="s">
        <v>938</v>
      </c>
      <c r="JN35" t="s">
        <v>938</v>
      </c>
      <c r="JP35" t="s">
        <v>938</v>
      </c>
      <c r="JR35" t="s">
        <v>938</v>
      </c>
      <c r="JS35" t="s">
        <v>746</v>
      </c>
      <c r="JT35" t="s">
        <v>1980</v>
      </c>
      <c r="JU35" t="s">
        <v>746</v>
      </c>
      <c r="JV35" t="s">
        <v>1981</v>
      </c>
      <c r="JW35" t="s">
        <v>746</v>
      </c>
      <c r="JX35" t="s">
        <v>1980</v>
      </c>
      <c r="JY35" t="s">
        <v>746</v>
      </c>
      <c r="JZ35" t="s">
        <v>1981</v>
      </c>
      <c r="KB35" t="s">
        <v>938</v>
      </c>
      <c r="KD35" t="s">
        <v>938</v>
      </c>
      <c r="KE35" t="s">
        <v>746</v>
      </c>
      <c r="KF35" t="s">
        <v>1980</v>
      </c>
      <c r="KG35" t="s">
        <v>746</v>
      </c>
      <c r="KH35" t="s">
        <v>1981</v>
      </c>
      <c r="KI35" t="s">
        <v>746</v>
      </c>
      <c r="KJ35" t="s">
        <v>1980</v>
      </c>
      <c r="KK35" t="s">
        <v>746</v>
      </c>
      <c r="KL35" t="s">
        <v>1981</v>
      </c>
      <c r="KM35" t="s">
        <v>746</v>
      </c>
      <c r="KN35" t="s">
        <v>1980</v>
      </c>
      <c r="KO35" t="s">
        <v>746</v>
      </c>
      <c r="KP35" t="s">
        <v>1981</v>
      </c>
      <c r="KQ35" t="s">
        <v>746</v>
      </c>
      <c r="KR35" t="s">
        <v>1980</v>
      </c>
      <c r="KS35" t="s">
        <v>746</v>
      </c>
      <c r="KT35" t="s">
        <v>1981</v>
      </c>
      <c r="KU35" t="s">
        <v>746</v>
      </c>
      <c r="KV35" t="s">
        <v>1980</v>
      </c>
      <c r="KW35" t="s">
        <v>746</v>
      </c>
      <c r="KX35" t="s">
        <v>1981</v>
      </c>
      <c r="KY35" t="s">
        <v>746</v>
      </c>
      <c r="KZ35" t="s">
        <v>1982</v>
      </c>
      <c r="LA35" t="s">
        <v>746</v>
      </c>
      <c r="LB35" t="s">
        <v>1981</v>
      </c>
      <c r="LC35" t="s">
        <v>736</v>
      </c>
      <c r="LD35" t="s">
        <v>1983</v>
      </c>
      <c r="LE35" t="s">
        <v>736</v>
      </c>
      <c r="LF35" t="s">
        <v>1984</v>
      </c>
      <c r="LG35" t="s">
        <v>736</v>
      </c>
      <c r="LH35" t="s">
        <v>1985</v>
      </c>
      <c r="LI35" t="s">
        <v>736</v>
      </c>
      <c r="LJ35" t="s">
        <v>1986</v>
      </c>
      <c r="LK35" t="s">
        <v>746</v>
      </c>
      <c r="LL35" t="s">
        <v>1987</v>
      </c>
      <c r="LM35" t="s">
        <v>746</v>
      </c>
      <c r="LN35" t="s">
        <v>1988</v>
      </c>
      <c r="LO35" t="s">
        <v>736</v>
      </c>
      <c r="LP35" t="s">
        <v>1971</v>
      </c>
      <c r="LQ35" t="s">
        <v>736</v>
      </c>
      <c r="LR35" t="s">
        <v>1960</v>
      </c>
      <c r="LS35" t="s">
        <v>736</v>
      </c>
      <c r="LT35" t="s">
        <v>1534</v>
      </c>
      <c r="LU35" t="s">
        <v>736</v>
      </c>
      <c r="LV35" t="s">
        <v>1989</v>
      </c>
      <c r="LW35" t="s">
        <v>746</v>
      </c>
      <c r="LX35" t="s">
        <v>1771</v>
      </c>
      <c r="LY35" t="s">
        <v>746</v>
      </c>
      <c r="LZ35" t="s">
        <v>1990</v>
      </c>
      <c r="MA35" t="s">
        <v>746</v>
      </c>
      <c r="MB35" t="s">
        <v>1273</v>
      </c>
      <c r="MC35" t="s">
        <v>746</v>
      </c>
      <c r="MD35" t="s">
        <v>1991</v>
      </c>
      <c r="ME35" t="s">
        <v>746</v>
      </c>
      <c r="MF35" t="s">
        <v>1992</v>
      </c>
      <c r="MG35" t="s">
        <v>746</v>
      </c>
      <c r="MH35" t="s">
        <v>1993</v>
      </c>
      <c r="MI35" t="s">
        <v>746</v>
      </c>
      <c r="MJ35" t="s">
        <v>1994</v>
      </c>
      <c r="MK35" t="s">
        <v>746</v>
      </c>
      <c r="ML35" t="s">
        <v>1995</v>
      </c>
      <c r="MM35" t="s">
        <v>70</v>
      </c>
      <c r="MO35" t="s">
        <v>783</v>
      </c>
      <c r="MP35" t="s">
        <v>784</v>
      </c>
      <c r="MQ35" t="s">
        <v>783</v>
      </c>
      <c r="MR35" t="s">
        <v>783</v>
      </c>
      <c r="MS35" t="s">
        <v>783</v>
      </c>
      <c r="MT35" t="s">
        <v>783</v>
      </c>
      <c r="MU35" t="s">
        <v>783</v>
      </c>
      <c r="MV35" t="s">
        <v>783</v>
      </c>
      <c r="MW35" t="s">
        <v>783</v>
      </c>
      <c r="MX35" t="s">
        <v>783</v>
      </c>
      <c r="MZ35" t="s">
        <v>783</v>
      </c>
      <c r="NA35" t="s">
        <v>783</v>
      </c>
      <c r="NB35" t="s">
        <v>783</v>
      </c>
      <c r="NC35" t="s">
        <v>783</v>
      </c>
      <c r="ND35" t="s">
        <v>783</v>
      </c>
      <c r="NE35" t="s">
        <v>784</v>
      </c>
      <c r="NF35" t="s">
        <v>907</v>
      </c>
      <c r="NG35" t="s">
        <v>907</v>
      </c>
      <c r="NH35" t="s">
        <v>784</v>
      </c>
      <c r="NI35" t="s">
        <v>783</v>
      </c>
      <c r="NJ35" t="s">
        <v>783</v>
      </c>
      <c r="NK35" t="s">
        <v>783</v>
      </c>
      <c r="NL35" t="s">
        <v>783</v>
      </c>
      <c r="NM35" t="s">
        <v>783</v>
      </c>
      <c r="NN35" t="s">
        <v>784</v>
      </c>
      <c r="NO35" t="s">
        <v>784</v>
      </c>
      <c r="NP35" t="s">
        <v>907</v>
      </c>
      <c r="NQ35" t="s">
        <v>783</v>
      </c>
      <c r="NR35" t="s">
        <v>783</v>
      </c>
      <c r="NS35" t="s">
        <v>783</v>
      </c>
      <c r="NT35" t="s">
        <v>784</v>
      </c>
      <c r="NU35" t="s">
        <v>783</v>
      </c>
      <c r="NV35" t="s">
        <v>784</v>
      </c>
      <c r="NW35" t="s">
        <v>784</v>
      </c>
      <c r="NX35" t="s">
        <v>783</v>
      </c>
      <c r="NY35" t="s">
        <v>784</v>
      </c>
      <c r="NZ35" t="s">
        <v>783</v>
      </c>
      <c r="OA35" t="s">
        <v>907</v>
      </c>
      <c r="OB35" t="s">
        <v>784</v>
      </c>
      <c r="OC35" t="s">
        <v>784</v>
      </c>
      <c r="OD35" t="s">
        <v>784</v>
      </c>
      <c r="OE35" t="s">
        <v>907</v>
      </c>
      <c r="OF35" t="s">
        <v>783</v>
      </c>
      <c r="OG35" t="s">
        <v>783</v>
      </c>
      <c r="OH35" t="s">
        <v>784</v>
      </c>
      <c r="OI35" t="s">
        <v>783</v>
      </c>
      <c r="OJ35" t="s">
        <v>783</v>
      </c>
    </row>
    <row r="36" spans="1:400" x14ac:dyDescent="0.25">
      <c r="A36">
        <v>32</v>
      </c>
      <c r="B36" t="s">
        <v>222</v>
      </c>
      <c r="C36" t="s">
        <v>223</v>
      </c>
      <c r="D36" t="s">
        <v>57</v>
      </c>
      <c r="E36">
        <v>45</v>
      </c>
      <c r="F36" t="s">
        <v>58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M36" t="s">
        <v>146</v>
      </c>
      <c r="N36" t="s">
        <v>224</v>
      </c>
      <c r="O36">
        <v>4</v>
      </c>
      <c r="P36" s="1">
        <v>65000</v>
      </c>
      <c r="Q36" s="1">
        <v>4500</v>
      </c>
      <c r="R36" t="s">
        <v>152</v>
      </c>
      <c r="S36" s="7">
        <v>45000</v>
      </c>
      <c r="T36" t="s">
        <v>70</v>
      </c>
      <c r="U36" s="5">
        <v>0</v>
      </c>
      <c r="V36" s="3" t="s">
        <v>224</v>
      </c>
      <c r="W36" s="5">
        <v>4200</v>
      </c>
      <c r="X36" t="s">
        <v>94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 t="s">
        <v>63</v>
      </c>
      <c r="AR36">
        <v>1</v>
      </c>
      <c r="AS36" s="2">
        <v>0.75</v>
      </c>
      <c r="AT36" t="s">
        <v>531</v>
      </c>
      <c r="AU36">
        <v>0</v>
      </c>
      <c r="AV36">
        <v>0</v>
      </c>
      <c r="AW36">
        <v>1</v>
      </c>
      <c r="AX36">
        <v>0</v>
      </c>
      <c r="AY36">
        <v>0</v>
      </c>
      <c r="AZ36" t="s">
        <v>553</v>
      </c>
      <c r="BA36" t="s">
        <v>519</v>
      </c>
      <c r="BC36" t="s">
        <v>533</v>
      </c>
      <c r="BD36" t="s">
        <v>521</v>
      </c>
      <c r="BE36">
        <v>2011</v>
      </c>
      <c r="BF36">
        <v>12</v>
      </c>
      <c r="BG36" t="s">
        <v>508</v>
      </c>
      <c r="BH36">
        <v>1</v>
      </c>
      <c r="BI36">
        <v>0</v>
      </c>
      <c r="BJ36">
        <v>0</v>
      </c>
      <c r="BK36">
        <v>0</v>
      </c>
      <c r="BL36">
        <v>0</v>
      </c>
      <c r="BM36" t="s">
        <v>63</v>
      </c>
      <c r="BN36" t="s">
        <v>84</v>
      </c>
      <c r="CM36" t="s">
        <v>1072</v>
      </c>
      <c r="CN36" t="s">
        <v>63</v>
      </c>
      <c r="CO36" t="s">
        <v>732</v>
      </c>
      <c r="CP36" t="s">
        <v>4004</v>
      </c>
      <c r="CQ36" t="s">
        <v>3959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Y36" t="s">
        <v>3971</v>
      </c>
      <c r="CZ36" s="26" t="s">
        <v>4200</v>
      </c>
      <c r="DA36" s="27" t="s">
        <v>4192</v>
      </c>
      <c r="DJ36" t="s">
        <v>84</v>
      </c>
      <c r="DK36" s="35"/>
      <c r="DL36" s="37"/>
      <c r="FI36" t="s">
        <v>733</v>
      </c>
      <c r="FJ36" t="s">
        <v>1996</v>
      </c>
      <c r="FK36" t="s">
        <v>743</v>
      </c>
      <c r="FL36" t="s">
        <v>1770</v>
      </c>
      <c r="FM36" t="s">
        <v>733</v>
      </c>
      <c r="FN36" t="s">
        <v>1997</v>
      </c>
      <c r="FO36" t="s">
        <v>733</v>
      </c>
      <c r="FP36" t="s">
        <v>1332</v>
      </c>
      <c r="FQ36" t="s">
        <v>777</v>
      </c>
      <c r="FR36" t="s">
        <v>1757</v>
      </c>
      <c r="FS36" t="s">
        <v>733</v>
      </c>
      <c r="FT36" t="s">
        <v>1998</v>
      </c>
      <c r="FU36" t="s">
        <v>733</v>
      </c>
      <c r="FV36" t="s">
        <v>1999</v>
      </c>
      <c r="FW36" t="s">
        <v>733</v>
      </c>
      <c r="FX36" t="s">
        <v>1316</v>
      </c>
      <c r="FY36" t="s">
        <v>746</v>
      </c>
      <c r="FZ36" t="s">
        <v>2000</v>
      </c>
      <c r="GA36" t="s">
        <v>733</v>
      </c>
      <c r="GB36" t="s">
        <v>2001</v>
      </c>
      <c r="GC36" t="s">
        <v>736</v>
      </c>
      <c r="GD36" t="s">
        <v>2002</v>
      </c>
      <c r="GE36" t="s">
        <v>733</v>
      </c>
      <c r="GF36" t="s">
        <v>2003</v>
      </c>
      <c r="GG36" t="s">
        <v>746</v>
      </c>
      <c r="GH36" t="s">
        <v>1375</v>
      </c>
      <c r="GI36" t="s">
        <v>733</v>
      </c>
      <c r="GJ36" t="s">
        <v>2004</v>
      </c>
      <c r="GK36" t="s">
        <v>733</v>
      </c>
      <c r="GL36" t="s">
        <v>1763</v>
      </c>
      <c r="GM36" t="s">
        <v>777</v>
      </c>
      <c r="GN36" t="s">
        <v>2005</v>
      </c>
      <c r="GO36" t="s">
        <v>733</v>
      </c>
      <c r="GP36" t="s">
        <v>1763</v>
      </c>
      <c r="GQ36" t="s">
        <v>733</v>
      </c>
      <c r="GR36" t="s">
        <v>1316</v>
      </c>
      <c r="GS36" t="s">
        <v>733</v>
      </c>
      <c r="GT36" t="s">
        <v>2006</v>
      </c>
      <c r="GU36" t="s">
        <v>733</v>
      </c>
      <c r="GV36" t="s">
        <v>2007</v>
      </c>
      <c r="GW36" t="s">
        <v>736</v>
      </c>
      <c r="GX36" t="s">
        <v>1764</v>
      </c>
      <c r="GY36" t="s">
        <v>733</v>
      </c>
      <c r="GZ36" t="s">
        <v>2008</v>
      </c>
      <c r="HA36" t="s">
        <v>736</v>
      </c>
      <c r="HB36" t="s">
        <v>1797</v>
      </c>
      <c r="HC36" t="s">
        <v>736</v>
      </c>
      <c r="HD36" t="s">
        <v>2009</v>
      </c>
      <c r="HE36" t="s">
        <v>798</v>
      </c>
      <c r="HF36" t="s">
        <v>1764</v>
      </c>
      <c r="HG36" t="s">
        <v>736</v>
      </c>
      <c r="HH36" t="s">
        <v>1797</v>
      </c>
      <c r="HI36" t="s">
        <v>736</v>
      </c>
      <c r="HJ36" t="s">
        <v>1792</v>
      </c>
      <c r="HK36" t="s">
        <v>746</v>
      </c>
      <c r="HL36" t="s">
        <v>1408</v>
      </c>
      <c r="HM36" t="s">
        <v>746</v>
      </c>
      <c r="HN36" t="s">
        <v>1408</v>
      </c>
      <c r="HO36" t="s">
        <v>746</v>
      </c>
      <c r="HP36" t="s">
        <v>1408</v>
      </c>
      <c r="HQ36" t="s">
        <v>746</v>
      </c>
      <c r="HR36" t="s">
        <v>1336</v>
      </c>
      <c r="HS36" t="s">
        <v>736</v>
      </c>
      <c r="HT36" t="s">
        <v>1792</v>
      </c>
      <c r="HU36" t="s">
        <v>736</v>
      </c>
      <c r="HV36" t="s">
        <v>1797</v>
      </c>
      <c r="HW36" t="s">
        <v>733</v>
      </c>
      <c r="HX36" t="s">
        <v>1403</v>
      </c>
      <c r="HY36" t="s">
        <v>733</v>
      </c>
      <c r="HZ36" t="s">
        <v>2010</v>
      </c>
      <c r="IA36" t="s">
        <v>736</v>
      </c>
      <c r="IB36" t="s">
        <v>1757</v>
      </c>
      <c r="IC36" t="s">
        <v>736</v>
      </c>
      <c r="ID36" t="s">
        <v>1764</v>
      </c>
      <c r="IE36" t="s">
        <v>746</v>
      </c>
      <c r="IF36" t="s">
        <v>1408</v>
      </c>
      <c r="IG36" t="s">
        <v>746</v>
      </c>
      <c r="IH36" t="s">
        <v>1336</v>
      </c>
      <c r="II36" t="s">
        <v>736</v>
      </c>
      <c r="IJ36" t="s">
        <v>1764</v>
      </c>
      <c r="IK36" t="s">
        <v>736</v>
      </c>
      <c r="IL36" t="s">
        <v>1764</v>
      </c>
      <c r="IM36" t="s">
        <v>746</v>
      </c>
      <c r="IN36" t="s">
        <v>1771</v>
      </c>
      <c r="IO36" t="s">
        <v>746</v>
      </c>
      <c r="IP36" t="s">
        <v>1375</v>
      </c>
      <c r="IQ36" t="s">
        <v>746</v>
      </c>
      <c r="IR36" t="s">
        <v>2011</v>
      </c>
      <c r="IS36" t="s">
        <v>746</v>
      </c>
      <c r="IT36" t="s">
        <v>2012</v>
      </c>
      <c r="IU36" t="s">
        <v>746</v>
      </c>
      <c r="IV36" t="s">
        <v>1771</v>
      </c>
      <c r="IW36" t="s">
        <v>746</v>
      </c>
      <c r="IX36" t="s">
        <v>1770</v>
      </c>
      <c r="IY36" t="s">
        <v>746</v>
      </c>
      <c r="IZ36" t="s">
        <v>1336</v>
      </c>
      <c r="JA36" t="s">
        <v>746</v>
      </c>
      <c r="JB36" t="s">
        <v>1375</v>
      </c>
      <c r="JC36" t="s">
        <v>746</v>
      </c>
      <c r="JD36" t="s">
        <v>1868</v>
      </c>
      <c r="JE36" t="s">
        <v>746</v>
      </c>
      <c r="JF36" t="s">
        <v>1868</v>
      </c>
      <c r="JG36" t="s">
        <v>746</v>
      </c>
      <c r="JH36" t="s">
        <v>1771</v>
      </c>
      <c r="JI36" t="s">
        <v>746</v>
      </c>
      <c r="JJ36" t="s">
        <v>2012</v>
      </c>
      <c r="JK36" t="s">
        <v>746</v>
      </c>
      <c r="JL36" t="s">
        <v>1375</v>
      </c>
      <c r="JM36" t="s">
        <v>746</v>
      </c>
      <c r="JN36" t="s">
        <v>1408</v>
      </c>
      <c r="JO36" t="s">
        <v>746</v>
      </c>
      <c r="JP36" t="s">
        <v>1375</v>
      </c>
      <c r="JQ36" t="s">
        <v>746</v>
      </c>
      <c r="JR36" t="s">
        <v>1375</v>
      </c>
      <c r="JS36" t="s">
        <v>746</v>
      </c>
      <c r="JT36" t="s">
        <v>1868</v>
      </c>
      <c r="JU36" t="s">
        <v>746</v>
      </c>
      <c r="JV36" t="s">
        <v>1868</v>
      </c>
      <c r="JW36" t="s">
        <v>746</v>
      </c>
      <c r="JX36" t="s">
        <v>1771</v>
      </c>
      <c r="JY36" t="s">
        <v>746</v>
      </c>
      <c r="JZ36" t="s">
        <v>1868</v>
      </c>
      <c r="KA36" t="s">
        <v>746</v>
      </c>
      <c r="KB36" t="s">
        <v>1375</v>
      </c>
      <c r="KC36" t="s">
        <v>746</v>
      </c>
      <c r="KD36" t="s">
        <v>1771</v>
      </c>
      <c r="KE36" t="s">
        <v>746</v>
      </c>
      <c r="KF36" t="s">
        <v>2013</v>
      </c>
      <c r="KG36" t="s">
        <v>746</v>
      </c>
      <c r="KH36" t="s">
        <v>1375</v>
      </c>
      <c r="KI36" t="s">
        <v>746</v>
      </c>
      <c r="KJ36" t="s">
        <v>1408</v>
      </c>
      <c r="KK36" t="s">
        <v>746</v>
      </c>
      <c r="KL36" t="s">
        <v>1375</v>
      </c>
      <c r="KM36" t="s">
        <v>746</v>
      </c>
      <c r="KN36" t="s">
        <v>2014</v>
      </c>
      <c r="KO36" t="s">
        <v>746</v>
      </c>
      <c r="KP36" t="s">
        <v>1408</v>
      </c>
      <c r="KQ36" t="s">
        <v>746</v>
      </c>
      <c r="KR36" t="s">
        <v>1375</v>
      </c>
      <c r="KS36" t="s">
        <v>746</v>
      </c>
      <c r="KT36" t="s">
        <v>1868</v>
      </c>
      <c r="KU36" t="s">
        <v>746</v>
      </c>
      <c r="KV36" t="s">
        <v>2015</v>
      </c>
      <c r="KW36" t="s">
        <v>746</v>
      </c>
      <c r="KX36" t="s">
        <v>1375</v>
      </c>
      <c r="KY36" t="s">
        <v>746</v>
      </c>
      <c r="KZ36" t="s">
        <v>1375</v>
      </c>
      <c r="LA36" t="s">
        <v>746</v>
      </c>
      <c r="LB36" t="s">
        <v>2012</v>
      </c>
      <c r="LC36" t="s">
        <v>746</v>
      </c>
      <c r="LD36" t="s">
        <v>1375</v>
      </c>
      <c r="LE36" t="s">
        <v>746</v>
      </c>
      <c r="LF36" t="s">
        <v>1319</v>
      </c>
      <c r="LG36" t="s">
        <v>746</v>
      </c>
      <c r="LH36" t="s">
        <v>1375</v>
      </c>
      <c r="LI36" t="s">
        <v>746</v>
      </c>
      <c r="LJ36" t="s">
        <v>1375</v>
      </c>
      <c r="LK36" t="s">
        <v>746</v>
      </c>
      <c r="LL36" t="s">
        <v>1771</v>
      </c>
      <c r="LM36" t="s">
        <v>746</v>
      </c>
      <c r="LN36" t="s">
        <v>1375</v>
      </c>
      <c r="LO36" t="s">
        <v>746</v>
      </c>
      <c r="LP36" t="s">
        <v>1771</v>
      </c>
      <c r="LQ36" t="s">
        <v>746</v>
      </c>
      <c r="LR36" t="s">
        <v>1375</v>
      </c>
      <c r="LS36" t="s">
        <v>746</v>
      </c>
      <c r="LT36" t="s">
        <v>2016</v>
      </c>
      <c r="LU36" t="s">
        <v>746</v>
      </c>
      <c r="LV36" t="s">
        <v>2017</v>
      </c>
      <c r="LW36" t="s">
        <v>746</v>
      </c>
      <c r="LX36" t="s">
        <v>1408</v>
      </c>
      <c r="LY36" t="s">
        <v>746</v>
      </c>
      <c r="LZ36" t="s">
        <v>1319</v>
      </c>
      <c r="MA36" t="s">
        <v>746</v>
      </c>
      <c r="MB36" t="s">
        <v>1408</v>
      </c>
      <c r="MC36" t="s">
        <v>746</v>
      </c>
      <c r="MD36" t="s">
        <v>1319</v>
      </c>
      <c r="ME36" t="s">
        <v>733</v>
      </c>
      <c r="MF36" t="s">
        <v>1415</v>
      </c>
      <c r="MG36" t="s">
        <v>733</v>
      </c>
      <c r="MH36" t="s">
        <v>1415</v>
      </c>
      <c r="MI36" t="s">
        <v>746</v>
      </c>
      <c r="MJ36" t="s">
        <v>1771</v>
      </c>
      <c r="MK36" t="s">
        <v>746</v>
      </c>
      <c r="ML36" t="s">
        <v>1868</v>
      </c>
      <c r="MO36" t="s">
        <v>783</v>
      </c>
      <c r="MP36" t="s">
        <v>784</v>
      </c>
      <c r="MQ36" t="s">
        <v>782</v>
      </c>
      <c r="MR36" t="s">
        <v>783</v>
      </c>
      <c r="MS36" t="s">
        <v>783</v>
      </c>
      <c r="MT36" t="s">
        <v>783</v>
      </c>
      <c r="MU36" t="s">
        <v>783</v>
      </c>
      <c r="MV36" t="s">
        <v>783</v>
      </c>
      <c r="MW36" t="s">
        <v>783</v>
      </c>
      <c r="MX36" t="s">
        <v>783</v>
      </c>
      <c r="MZ36" t="s">
        <v>783</v>
      </c>
      <c r="NA36" t="s">
        <v>783</v>
      </c>
      <c r="NB36" t="s">
        <v>783</v>
      </c>
      <c r="NC36" t="s">
        <v>783</v>
      </c>
      <c r="ND36" t="s">
        <v>783</v>
      </c>
      <c r="NE36" t="s">
        <v>784</v>
      </c>
      <c r="NF36" t="s">
        <v>783</v>
      </c>
      <c r="NG36" t="s">
        <v>783</v>
      </c>
      <c r="NH36" t="s">
        <v>784</v>
      </c>
      <c r="NI36" t="s">
        <v>783</v>
      </c>
      <c r="NJ36" t="s">
        <v>783</v>
      </c>
      <c r="NK36" t="s">
        <v>783</v>
      </c>
      <c r="NL36" t="s">
        <v>782</v>
      </c>
      <c r="NM36" t="s">
        <v>783</v>
      </c>
      <c r="NN36" t="s">
        <v>784</v>
      </c>
      <c r="NO36" t="s">
        <v>784</v>
      </c>
      <c r="NP36" t="s">
        <v>783</v>
      </c>
      <c r="NQ36" t="s">
        <v>783</v>
      </c>
      <c r="NR36" t="s">
        <v>783</v>
      </c>
      <c r="NS36" t="s">
        <v>784</v>
      </c>
      <c r="NT36" t="s">
        <v>784</v>
      </c>
      <c r="NU36" t="s">
        <v>783</v>
      </c>
      <c r="NV36" t="s">
        <v>784</v>
      </c>
      <c r="NW36" t="s">
        <v>784</v>
      </c>
      <c r="NX36" t="s">
        <v>783</v>
      </c>
      <c r="NY36" t="s">
        <v>783</v>
      </c>
      <c r="NZ36" t="s">
        <v>783</v>
      </c>
      <c r="OA36" t="s">
        <v>782</v>
      </c>
      <c r="OB36" t="s">
        <v>782</v>
      </c>
      <c r="OC36" t="s">
        <v>783</v>
      </c>
      <c r="OD36" t="s">
        <v>782</v>
      </c>
      <c r="OE36" t="s">
        <v>782</v>
      </c>
      <c r="OF36" t="s">
        <v>783</v>
      </c>
      <c r="OG36" t="s">
        <v>783</v>
      </c>
      <c r="OH36" t="s">
        <v>783</v>
      </c>
      <c r="OI36" t="s">
        <v>783</v>
      </c>
      <c r="OJ36" t="s">
        <v>783</v>
      </c>
    </row>
    <row r="37" spans="1:400" x14ac:dyDescent="0.25">
      <c r="A37">
        <v>33</v>
      </c>
      <c r="B37" t="s">
        <v>216</v>
      </c>
      <c r="C37" t="s">
        <v>217</v>
      </c>
      <c r="D37" t="s">
        <v>57</v>
      </c>
      <c r="E37">
        <v>34</v>
      </c>
      <c r="F37" t="s">
        <v>58</v>
      </c>
      <c r="G37" t="s">
        <v>76</v>
      </c>
      <c r="H37" t="s">
        <v>60</v>
      </c>
      <c r="I37" t="s">
        <v>113</v>
      </c>
      <c r="J37" t="s">
        <v>62</v>
      </c>
      <c r="K37" t="s">
        <v>63</v>
      </c>
      <c r="M37" t="s">
        <v>146</v>
      </c>
      <c r="N37" t="s">
        <v>70</v>
      </c>
      <c r="O37">
        <v>4</v>
      </c>
      <c r="P37" s="1">
        <v>50000</v>
      </c>
      <c r="Q37" s="1">
        <v>0</v>
      </c>
      <c r="R37" t="s">
        <v>182</v>
      </c>
      <c r="S37" s="7">
        <v>30000</v>
      </c>
      <c r="T37" t="s">
        <v>70</v>
      </c>
      <c r="U37" s="5">
        <v>0</v>
      </c>
      <c r="V37" s="3" t="s">
        <v>70</v>
      </c>
      <c r="W37" s="5">
        <v>0</v>
      </c>
      <c r="X37" t="s">
        <v>73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P37" t="s">
        <v>63</v>
      </c>
      <c r="AR37">
        <v>1</v>
      </c>
      <c r="AS37" s="2">
        <v>0.75</v>
      </c>
      <c r="AT37" t="s">
        <v>531</v>
      </c>
      <c r="AU37">
        <v>0</v>
      </c>
      <c r="AV37">
        <v>0</v>
      </c>
      <c r="AW37">
        <v>1</v>
      </c>
      <c r="AX37">
        <v>0</v>
      </c>
      <c r="AY37">
        <v>0</v>
      </c>
      <c r="AZ37" t="s">
        <v>551</v>
      </c>
      <c r="BA37" t="s">
        <v>511</v>
      </c>
      <c r="BC37" t="s">
        <v>533</v>
      </c>
      <c r="BD37" t="s">
        <v>521</v>
      </c>
      <c r="BE37">
        <v>2017</v>
      </c>
      <c r="BF37">
        <v>6</v>
      </c>
      <c r="BG37" t="s">
        <v>508</v>
      </c>
      <c r="BH37">
        <v>1</v>
      </c>
      <c r="BI37">
        <v>0</v>
      </c>
      <c r="BJ37">
        <v>0</v>
      </c>
      <c r="BK37">
        <v>0</v>
      </c>
      <c r="BL37">
        <v>0</v>
      </c>
      <c r="BM37" t="s">
        <v>84</v>
      </c>
      <c r="BN37" t="s">
        <v>84</v>
      </c>
      <c r="CM37" t="s">
        <v>785</v>
      </c>
      <c r="CN37" t="s">
        <v>63</v>
      </c>
      <c r="CO37" t="s">
        <v>732</v>
      </c>
      <c r="CP37" t="s">
        <v>4006</v>
      </c>
      <c r="CQ37" t="s">
        <v>3959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Y37" t="s">
        <v>3912</v>
      </c>
      <c r="CZ37" s="26" t="s">
        <v>4200</v>
      </c>
      <c r="DA37" s="27" t="s">
        <v>4192</v>
      </c>
      <c r="DJ37" t="s">
        <v>84</v>
      </c>
      <c r="DK37" s="35"/>
      <c r="DL37" s="37"/>
      <c r="FI37" t="s">
        <v>733</v>
      </c>
      <c r="FJ37" t="s">
        <v>1316</v>
      </c>
      <c r="FK37" t="s">
        <v>733</v>
      </c>
      <c r="FL37" t="s">
        <v>1415</v>
      </c>
      <c r="FM37" t="s">
        <v>733</v>
      </c>
      <c r="FN37" t="s">
        <v>2018</v>
      </c>
      <c r="FO37" t="s">
        <v>733</v>
      </c>
      <c r="FP37" t="s">
        <v>2019</v>
      </c>
      <c r="FQ37" t="s">
        <v>733</v>
      </c>
      <c r="FR37" t="s">
        <v>2020</v>
      </c>
      <c r="FS37" t="s">
        <v>733</v>
      </c>
      <c r="FT37" t="s">
        <v>2021</v>
      </c>
      <c r="FU37" t="s">
        <v>733</v>
      </c>
      <c r="FV37" t="s">
        <v>2022</v>
      </c>
      <c r="FW37" t="s">
        <v>733</v>
      </c>
      <c r="FX37" t="s">
        <v>2023</v>
      </c>
      <c r="FY37" t="s">
        <v>733</v>
      </c>
      <c r="FZ37" t="s">
        <v>1763</v>
      </c>
      <c r="GA37" t="s">
        <v>733</v>
      </c>
      <c r="GB37" t="s">
        <v>2024</v>
      </c>
      <c r="GC37" t="s">
        <v>736</v>
      </c>
      <c r="GD37" t="s">
        <v>2025</v>
      </c>
      <c r="GE37" t="s">
        <v>733</v>
      </c>
      <c r="GF37" t="s">
        <v>2003</v>
      </c>
      <c r="GG37" t="s">
        <v>746</v>
      </c>
      <c r="GH37" t="s">
        <v>1802</v>
      </c>
      <c r="GI37" t="s">
        <v>746</v>
      </c>
      <c r="GJ37" t="s">
        <v>2026</v>
      </c>
      <c r="GK37" t="s">
        <v>733</v>
      </c>
      <c r="GL37" t="s">
        <v>1763</v>
      </c>
      <c r="GM37" t="s">
        <v>733</v>
      </c>
      <c r="GN37" t="s">
        <v>1316</v>
      </c>
      <c r="GO37" t="s">
        <v>733</v>
      </c>
      <c r="GP37" t="s">
        <v>2027</v>
      </c>
      <c r="GQ37" t="s">
        <v>733</v>
      </c>
      <c r="GR37" t="s">
        <v>1758</v>
      </c>
      <c r="GS37" t="s">
        <v>733</v>
      </c>
      <c r="GT37" t="s">
        <v>2028</v>
      </c>
      <c r="GU37" t="s">
        <v>733</v>
      </c>
      <c r="GV37" t="s">
        <v>2029</v>
      </c>
      <c r="GW37" t="s">
        <v>736</v>
      </c>
      <c r="GX37" t="s">
        <v>2030</v>
      </c>
      <c r="GY37" t="s">
        <v>736</v>
      </c>
      <c r="GZ37" t="s">
        <v>1764</v>
      </c>
      <c r="HA37" t="s">
        <v>736</v>
      </c>
      <c r="HB37" t="s">
        <v>2031</v>
      </c>
      <c r="HC37" t="s">
        <v>736</v>
      </c>
      <c r="HD37" t="s">
        <v>1764</v>
      </c>
      <c r="HE37" t="s">
        <v>798</v>
      </c>
      <c r="HF37" t="s">
        <v>1757</v>
      </c>
      <c r="HG37" t="s">
        <v>736</v>
      </c>
      <c r="HH37" t="s">
        <v>1797</v>
      </c>
      <c r="HI37" t="s">
        <v>736</v>
      </c>
      <c r="HJ37" t="s">
        <v>1764</v>
      </c>
      <c r="HK37" t="s">
        <v>746</v>
      </c>
      <c r="HL37" t="s">
        <v>2032</v>
      </c>
      <c r="HM37" t="s">
        <v>746</v>
      </c>
      <c r="HN37" t="s">
        <v>2033</v>
      </c>
      <c r="HO37" t="s">
        <v>746</v>
      </c>
      <c r="HP37" t="s">
        <v>2034</v>
      </c>
      <c r="HQ37" t="s">
        <v>746</v>
      </c>
      <c r="HR37" t="s">
        <v>1408</v>
      </c>
      <c r="HS37" t="s">
        <v>736</v>
      </c>
      <c r="HT37" t="s">
        <v>1797</v>
      </c>
      <c r="HU37" t="s">
        <v>736</v>
      </c>
      <c r="HV37" t="s">
        <v>1792</v>
      </c>
      <c r="HW37" t="s">
        <v>736</v>
      </c>
      <c r="HX37" t="s">
        <v>2035</v>
      </c>
      <c r="HY37" t="s">
        <v>733</v>
      </c>
      <c r="HZ37" t="s">
        <v>1420</v>
      </c>
      <c r="IA37" t="s">
        <v>733</v>
      </c>
      <c r="IB37" t="s">
        <v>2036</v>
      </c>
      <c r="IC37" t="s">
        <v>733</v>
      </c>
      <c r="ID37" t="s">
        <v>1785</v>
      </c>
      <c r="IE37" t="s">
        <v>746</v>
      </c>
      <c r="IF37" t="s">
        <v>1863</v>
      </c>
      <c r="IG37" t="s">
        <v>733</v>
      </c>
      <c r="IH37" t="s">
        <v>1868</v>
      </c>
      <c r="II37" t="s">
        <v>777</v>
      </c>
      <c r="IJ37" t="s">
        <v>2037</v>
      </c>
      <c r="IK37" t="s">
        <v>733</v>
      </c>
      <c r="IL37" t="s">
        <v>2038</v>
      </c>
      <c r="IM37" t="s">
        <v>733</v>
      </c>
      <c r="IN37" t="s">
        <v>2039</v>
      </c>
      <c r="IO37" t="s">
        <v>733</v>
      </c>
      <c r="IP37" t="s">
        <v>2040</v>
      </c>
      <c r="IQ37" t="s">
        <v>733</v>
      </c>
      <c r="IR37" t="s">
        <v>2041</v>
      </c>
      <c r="IS37" t="s">
        <v>733</v>
      </c>
      <c r="IT37" t="s">
        <v>1751</v>
      </c>
      <c r="IU37" t="s">
        <v>746</v>
      </c>
      <c r="IV37" t="s">
        <v>2042</v>
      </c>
      <c r="IW37" t="s">
        <v>733</v>
      </c>
      <c r="IX37" t="s">
        <v>2043</v>
      </c>
      <c r="IY37" t="s">
        <v>746</v>
      </c>
      <c r="IZ37" t="s">
        <v>2044</v>
      </c>
      <c r="JA37" t="s">
        <v>746</v>
      </c>
      <c r="JB37" t="s">
        <v>1868</v>
      </c>
      <c r="JC37" t="s">
        <v>746</v>
      </c>
      <c r="JD37" t="s">
        <v>1375</v>
      </c>
      <c r="JE37" t="s">
        <v>746</v>
      </c>
      <c r="JF37" t="s">
        <v>1868</v>
      </c>
      <c r="JG37" t="s">
        <v>746</v>
      </c>
      <c r="JH37" t="s">
        <v>1868</v>
      </c>
      <c r="JI37" t="s">
        <v>746</v>
      </c>
      <c r="JJ37" t="s">
        <v>1770</v>
      </c>
      <c r="JK37" t="s">
        <v>746</v>
      </c>
      <c r="JL37" t="s">
        <v>2045</v>
      </c>
      <c r="JM37" t="s">
        <v>746</v>
      </c>
      <c r="JN37" t="s">
        <v>1375</v>
      </c>
      <c r="JO37" t="s">
        <v>746</v>
      </c>
      <c r="JP37" t="s">
        <v>2046</v>
      </c>
      <c r="JQ37" t="s">
        <v>746</v>
      </c>
      <c r="JR37" t="s">
        <v>1375</v>
      </c>
      <c r="JS37" t="s">
        <v>746</v>
      </c>
      <c r="JT37" t="s">
        <v>2047</v>
      </c>
      <c r="JU37" t="s">
        <v>746</v>
      </c>
      <c r="JV37" t="s">
        <v>1408</v>
      </c>
      <c r="JW37" t="s">
        <v>746</v>
      </c>
      <c r="JX37" t="s">
        <v>2048</v>
      </c>
      <c r="JY37" t="s">
        <v>746</v>
      </c>
      <c r="JZ37" t="s">
        <v>1408</v>
      </c>
      <c r="KA37" t="s">
        <v>746</v>
      </c>
      <c r="KB37" t="s">
        <v>1770</v>
      </c>
      <c r="KC37" t="s">
        <v>746</v>
      </c>
      <c r="KD37" t="s">
        <v>1408</v>
      </c>
      <c r="KE37" t="s">
        <v>746</v>
      </c>
      <c r="KF37" t="s">
        <v>1375</v>
      </c>
      <c r="KG37" t="s">
        <v>746</v>
      </c>
      <c r="KH37" t="s">
        <v>2049</v>
      </c>
      <c r="KI37" t="s">
        <v>746</v>
      </c>
      <c r="KJ37" t="s">
        <v>2050</v>
      </c>
      <c r="KK37" t="s">
        <v>746</v>
      </c>
      <c r="KL37" t="s">
        <v>1773</v>
      </c>
      <c r="KM37" t="s">
        <v>746</v>
      </c>
      <c r="KN37" t="s">
        <v>1375</v>
      </c>
      <c r="KO37" t="s">
        <v>746</v>
      </c>
      <c r="KP37" t="s">
        <v>2051</v>
      </c>
      <c r="KQ37" t="s">
        <v>746</v>
      </c>
      <c r="KR37" t="s">
        <v>1868</v>
      </c>
      <c r="KS37" t="s">
        <v>746</v>
      </c>
      <c r="KT37" t="s">
        <v>1319</v>
      </c>
      <c r="KU37" t="s">
        <v>746</v>
      </c>
      <c r="KV37" t="s">
        <v>1475</v>
      </c>
      <c r="KW37" t="s">
        <v>746</v>
      </c>
      <c r="KX37" t="s">
        <v>2052</v>
      </c>
      <c r="KY37" t="s">
        <v>746</v>
      </c>
      <c r="KZ37" t="s">
        <v>2053</v>
      </c>
      <c r="LA37" t="s">
        <v>746</v>
      </c>
      <c r="LB37" t="s">
        <v>1319</v>
      </c>
      <c r="LC37" t="s">
        <v>736</v>
      </c>
      <c r="LD37" t="s">
        <v>2054</v>
      </c>
      <c r="LE37" t="s">
        <v>733</v>
      </c>
      <c r="LF37" t="s">
        <v>1415</v>
      </c>
      <c r="LG37" t="s">
        <v>736</v>
      </c>
      <c r="LH37" t="s">
        <v>2054</v>
      </c>
      <c r="LI37" t="s">
        <v>733</v>
      </c>
      <c r="LJ37" t="s">
        <v>2055</v>
      </c>
      <c r="LK37" t="s">
        <v>746</v>
      </c>
      <c r="LL37" t="s">
        <v>1771</v>
      </c>
      <c r="LM37" t="s">
        <v>746</v>
      </c>
      <c r="LN37" t="s">
        <v>2056</v>
      </c>
      <c r="LO37" t="s">
        <v>746</v>
      </c>
      <c r="LP37" t="s">
        <v>2057</v>
      </c>
      <c r="LQ37" t="s">
        <v>746</v>
      </c>
      <c r="LR37" t="s">
        <v>2058</v>
      </c>
      <c r="LS37" t="s">
        <v>746</v>
      </c>
      <c r="LT37" t="s">
        <v>2059</v>
      </c>
      <c r="LU37" t="s">
        <v>746</v>
      </c>
      <c r="LV37" t="s">
        <v>2060</v>
      </c>
      <c r="LW37" t="s">
        <v>746</v>
      </c>
      <c r="LX37" t="s">
        <v>2061</v>
      </c>
      <c r="LY37" t="s">
        <v>746</v>
      </c>
      <c r="LZ37" t="s">
        <v>2062</v>
      </c>
      <c r="MA37" t="s">
        <v>733</v>
      </c>
      <c r="MB37" t="s">
        <v>2063</v>
      </c>
      <c r="MC37" t="s">
        <v>733</v>
      </c>
      <c r="MD37" t="s">
        <v>1415</v>
      </c>
      <c r="ME37" t="s">
        <v>733</v>
      </c>
      <c r="MF37" t="s">
        <v>1415</v>
      </c>
      <c r="MG37" t="s">
        <v>733</v>
      </c>
      <c r="MH37" t="s">
        <v>1415</v>
      </c>
      <c r="MI37" t="s">
        <v>746</v>
      </c>
      <c r="MJ37" t="s">
        <v>2064</v>
      </c>
      <c r="MK37" t="s">
        <v>746</v>
      </c>
      <c r="ML37" t="s">
        <v>1408</v>
      </c>
      <c r="MM37" t="s">
        <v>70</v>
      </c>
      <c r="MO37" t="s">
        <v>783</v>
      </c>
      <c r="MP37" t="s">
        <v>784</v>
      </c>
      <c r="MQ37" t="s">
        <v>784</v>
      </c>
      <c r="MR37" t="s">
        <v>783</v>
      </c>
      <c r="MS37" t="s">
        <v>784</v>
      </c>
      <c r="MT37" t="s">
        <v>783</v>
      </c>
      <c r="MU37" t="s">
        <v>783</v>
      </c>
      <c r="MV37" t="s">
        <v>783</v>
      </c>
      <c r="MW37" t="s">
        <v>783</v>
      </c>
      <c r="MX37" t="s">
        <v>784</v>
      </c>
      <c r="MZ37" t="s">
        <v>783</v>
      </c>
      <c r="NA37" t="s">
        <v>783</v>
      </c>
      <c r="NB37" t="s">
        <v>783</v>
      </c>
      <c r="NC37" t="s">
        <v>783</v>
      </c>
      <c r="ND37" t="s">
        <v>783</v>
      </c>
      <c r="NE37" t="s">
        <v>784</v>
      </c>
      <c r="NF37" t="s">
        <v>783</v>
      </c>
      <c r="NG37" t="s">
        <v>783</v>
      </c>
      <c r="NH37" t="s">
        <v>784</v>
      </c>
      <c r="NJ37" t="s">
        <v>783</v>
      </c>
      <c r="NK37" t="s">
        <v>783</v>
      </c>
      <c r="NL37" t="s">
        <v>784</v>
      </c>
      <c r="NM37" t="s">
        <v>783</v>
      </c>
      <c r="NN37" t="s">
        <v>783</v>
      </c>
      <c r="NO37" t="s">
        <v>783</v>
      </c>
      <c r="NP37" t="s">
        <v>783</v>
      </c>
      <c r="NQ37" t="s">
        <v>783</v>
      </c>
      <c r="NR37" t="s">
        <v>783</v>
      </c>
      <c r="NS37" t="s">
        <v>784</v>
      </c>
      <c r="NT37" t="s">
        <v>784</v>
      </c>
      <c r="NU37" t="s">
        <v>783</v>
      </c>
      <c r="NV37" t="s">
        <v>784</v>
      </c>
      <c r="NW37" t="s">
        <v>784</v>
      </c>
      <c r="NX37" t="s">
        <v>783</v>
      </c>
      <c r="NY37" t="s">
        <v>783</v>
      </c>
      <c r="NZ37" t="s">
        <v>783</v>
      </c>
      <c r="OA37" t="s">
        <v>783</v>
      </c>
      <c r="OB37" t="s">
        <v>784</v>
      </c>
      <c r="OC37" t="s">
        <v>783</v>
      </c>
      <c r="OD37" t="s">
        <v>783</v>
      </c>
      <c r="OE37" t="s">
        <v>783</v>
      </c>
      <c r="OF37" t="s">
        <v>783</v>
      </c>
      <c r="OG37" t="s">
        <v>783</v>
      </c>
      <c r="OH37" t="s">
        <v>783</v>
      </c>
      <c r="OI37" t="s">
        <v>783</v>
      </c>
      <c r="OJ37" t="s">
        <v>783</v>
      </c>
    </row>
    <row r="38" spans="1:400" x14ac:dyDescent="0.25">
      <c r="A38">
        <v>34</v>
      </c>
      <c r="B38" t="s">
        <v>218</v>
      </c>
      <c r="C38" t="s">
        <v>219</v>
      </c>
      <c r="D38" t="s">
        <v>57</v>
      </c>
      <c r="E38">
        <v>25</v>
      </c>
      <c r="F38" t="s">
        <v>58</v>
      </c>
      <c r="G38" t="s">
        <v>76</v>
      </c>
      <c r="H38" t="s">
        <v>60</v>
      </c>
      <c r="I38" t="s">
        <v>61</v>
      </c>
      <c r="J38" t="s">
        <v>62</v>
      </c>
      <c r="K38" t="s">
        <v>63</v>
      </c>
      <c r="M38" t="s">
        <v>146</v>
      </c>
      <c r="N38" t="s">
        <v>70</v>
      </c>
      <c r="O38">
        <v>4</v>
      </c>
      <c r="P38" s="1">
        <v>50000</v>
      </c>
      <c r="Q38" s="1">
        <v>0</v>
      </c>
      <c r="R38" t="s">
        <v>220</v>
      </c>
      <c r="S38" s="7">
        <v>45000</v>
      </c>
      <c r="T38" t="s">
        <v>70</v>
      </c>
      <c r="U38" s="5">
        <v>0</v>
      </c>
      <c r="V38" s="3" t="s">
        <v>70</v>
      </c>
      <c r="W38" s="5">
        <v>0</v>
      </c>
      <c r="X38" t="s">
        <v>83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 t="s">
        <v>63</v>
      </c>
      <c r="AR38">
        <v>1</v>
      </c>
      <c r="AS38" s="2">
        <v>0.75</v>
      </c>
      <c r="AT38" t="s">
        <v>509</v>
      </c>
      <c r="AU38">
        <v>0</v>
      </c>
      <c r="AV38">
        <v>1</v>
      </c>
      <c r="AW38">
        <v>0</v>
      </c>
      <c r="AX38">
        <v>0</v>
      </c>
      <c r="AY38">
        <v>0</v>
      </c>
      <c r="AZ38" t="s">
        <v>552</v>
      </c>
      <c r="BA38" t="s">
        <v>519</v>
      </c>
      <c r="BC38" t="s">
        <v>533</v>
      </c>
      <c r="BD38" t="s">
        <v>521</v>
      </c>
      <c r="BE38">
        <v>2017</v>
      </c>
      <c r="BF38">
        <v>6</v>
      </c>
      <c r="BG38" t="s">
        <v>508</v>
      </c>
      <c r="BH38">
        <v>1</v>
      </c>
      <c r="BI38">
        <v>0</v>
      </c>
      <c r="BJ38">
        <v>0</v>
      </c>
      <c r="BK38">
        <v>0</v>
      </c>
      <c r="BL38">
        <v>0</v>
      </c>
      <c r="BM38" t="s">
        <v>84</v>
      </c>
      <c r="BN38" t="s">
        <v>84</v>
      </c>
      <c r="CM38" t="s">
        <v>785</v>
      </c>
      <c r="CN38" t="s">
        <v>84</v>
      </c>
      <c r="CO38" t="s">
        <v>84</v>
      </c>
      <c r="CZ38" s="26"/>
      <c r="DA38" s="27"/>
      <c r="DB38" t="s">
        <v>1779</v>
      </c>
      <c r="DC38">
        <v>1</v>
      </c>
      <c r="DD38">
        <v>1</v>
      </c>
      <c r="DE38">
        <v>0</v>
      </c>
      <c r="DF38">
        <v>0</v>
      </c>
      <c r="DG38">
        <v>0</v>
      </c>
      <c r="DH38">
        <v>0</v>
      </c>
      <c r="DJ38" t="s">
        <v>84</v>
      </c>
      <c r="DK38" s="35"/>
      <c r="DL38" s="37"/>
      <c r="FI38" t="s">
        <v>733</v>
      </c>
      <c r="FJ38" t="s">
        <v>1316</v>
      </c>
      <c r="FK38" t="s">
        <v>733</v>
      </c>
      <c r="FL38" t="s">
        <v>1758</v>
      </c>
      <c r="FM38" t="s">
        <v>733</v>
      </c>
      <c r="FN38" t="s">
        <v>2065</v>
      </c>
      <c r="FO38" t="s">
        <v>733</v>
      </c>
      <c r="FP38" t="s">
        <v>2066</v>
      </c>
      <c r="FQ38" t="s">
        <v>733</v>
      </c>
      <c r="FR38" t="s">
        <v>2067</v>
      </c>
      <c r="FS38" t="s">
        <v>733</v>
      </c>
      <c r="FT38" t="s">
        <v>2068</v>
      </c>
      <c r="FU38" t="s">
        <v>733</v>
      </c>
      <c r="FV38" t="s">
        <v>2069</v>
      </c>
      <c r="FW38" t="s">
        <v>733</v>
      </c>
      <c r="FX38" t="s">
        <v>2070</v>
      </c>
      <c r="FY38" t="s">
        <v>733</v>
      </c>
      <c r="FZ38" t="s">
        <v>1390</v>
      </c>
      <c r="GA38" t="s">
        <v>733</v>
      </c>
      <c r="GB38" t="s">
        <v>2071</v>
      </c>
      <c r="GD38" t="s">
        <v>1390</v>
      </c>
      <c r="GE38" t="s">
        <v>733</v>
      </c>
      <c r="GF38" t="s">
        <v>2072</v>
      </c>
      <c r="GG38" t="s">
        <v>746</v>
      </c>
      <c r="GH38" t="s">
        <v>2073</v>
      </c>
      <c r="GI38" t="s">
        <v>733</v>
      </c>
      <c r="GJ38" t="s">
        <v>2074</v>
      </c>
      <c r="GK38" t="s">
        <v>733</v>
      </c>
      <c r="GL38" t="s">
        <v>2075</v>
      </c>
      <c r="GM38" t="s">
        <v>733</v>
      </c>
      <c r="GN38" t="s">
        <v>2076</v>
      </c>
      <c r="GO38" t="s">
        <v>733</v>
      </c>
      <c r="GP38" t="s">
        <v>2077</v>
      </c>
      <c r="GQ38" t="s">
        <v>733</v>
      </c>
      <c r="GR38" t="s">
        <v>2078</v>
      </c>
      <c r="GS38" t="s">
        <v>733</v>
      </c>
      <c r="GT38" t="s">
        <v>2079</v>
      </c>
      <c r="GU38" t="s">
        <v>733</v>
      </c>
      <c r="GV38" t="s">
        <v>2080</v>
      </c>
      <c r="GW38" t="s">
        <v>736</v>
      </c>
      <c r="GX38" t="s">
        <v>1797</v>
      </c>
      <c r="GY38" t="s">
        <v>736</v>
      </c>
      <c r="GZ38" t="s">
        <v>1764</v>
      </c>
      <c r="HA38" t="s">
        <v>736</v>
      </c>
      <c r="HB38" t="s">
        <v>1797</v>
      </c>
      <c r="HC38" t="s">
        <v>736</v>
      </c>
      <c r="HD38" t="s">
        <v>1764</v>
      </c>
      <c r="HE38" t="s">
        <v>798</v>
      </c>
      <c r="HF38" t="s">
        <v>2081</v>
      </c>
      <c r="HG38" t="s">
        <v>736</v>
      </c>
      <c r="HH38" t="s">
        <v>2082</v>
      </c>
      <c r="HI38" t="s">
        <v>736</v>
      </c>
      <c r="HJ38" t="s">
        <v>2083</v>
      </c>
      <c r="HK38" t="s">
        <v>746</v>
      </c>
      <c r="HL38" t="s">
        <v>2084</v>
      </c>
      <c r="HM38" t="s">
        <v>746</v>
      </c>
      <c r="HN38" t="s">
        <v>1408</v>
      </c>
      <c r="HO38" t="s">
        <v>746</v>
      </c>
      <c r="HP38" t="s">
        <v>1408</v>
      </c>
      <c r="HQ38" t="s">
        <v>746</v>
      </c>
      <c r="HR38" t="s">
        <v>1408</v>
      </c>
      <c r="HS38" t="s">
        <v>733</v>
      </c>
      <c r="HT38" t="s">
        <v>1342</v>
      </c>
      <c r="HU38" t="s">
        <v>733</v>
      </c>
      <c r="HV38" t="s">
        <v>2085</v>
      </c>
      <c r="HW38" t="s">
        <v>733</v>
      </c>
      <c r="HX38" t="s">
        <v>1316</v>
      </c>
      <c r="HY38" t="s">
        <v>733</v>
      </c>
      <c r="HZ38" t="s">
        <v>1814</v>
      </c>
      <c r="IA38" t="s">
        <v>733</v>
      </c>
      <c r="IB38" t="s">
        <v>1390</v>
      </c>
      <c r="IC38" t="s">
        <v>733</v>
      </c>
      <c r="ID38" t="s">
        <v>2086</v>
      </c>
      <c r="IE38" t="s">
        <v>743</v>
      </c>
      <c r="IF38" t="s">
        <v>2087</v>
      </c>
      <c r="IG38" t="s">
        <v>746</v>
      </c>
      <c r="IH38" t="s">
        <v>2088</v>
      </c>
      <c r="II38" t="s">
        <v>736</v>
      </c>
      <c r="IJ38" t="s">
        <v>1764</v>
      </c>
      <c r="IK38" t="s">
        <v>736</v>
      </c>
      <c r="IL38" t="s">
        <v>2089</v>
      </c>
      <c r="IM38" t="s">
        <v>733</v>
      </c>
      <c r="IN38" t="s">
        <v>2090</v>
      </c>
      <c r="IO38" t="s">
        <v>733</v>
      </c>
      <c r="IP38" t="s">
        <v>2091</v>
      </c>
      <c r="IQ38" t="s">
        <v>746</v>
      </c>
      <c r="IR38" t="s">
        <v>1959</v>
      </c>
      <c r="IS38" t="s">
        <v>733</v>
      </c>
      <c r="IT38" t="s">
        <v>2092</v>
      </c>
      <c r="IU38" t="s">
        <v>746</v>
      </c>
      <c r="IV38" t="s">
        <v>1770</v>
      </c>
      <c r="IW38" t="s">
        <v>746</v>
      </c>
      <c r="IX38" t="s">
        <v>2093</v>
      </c>
      <c r="IY38" t="s">
        <v>746</v>
      </c>
      <c r="IZ38" t="s">
        <v>1770</v>
      </c>
      <c r="JA38" t="s">
        <v>746</v>
      </c>
      <c r="JB38" t="s">
        <v>1336</v>
      </c>
      <c r="JC38" t="s">
        <v>746</v>
      </c>
      <c r="JD38" t="s">
        <v>1770</v>
      </c>
      <c r="JE38" t="s">
        <v>746</v>
      </c>
      <c r="JF38" t="s">
        <v>1408</v>
      </c>
      <c r="JG38" t="s">
        <v>746</v>
      </c>
      <c r="JH38" t="s">
        <v>1770</v>
      </c>
      <c r="JI38" t="s">
        <v>746</v>
      </c>
      <c r="JJ38" t="s">
        <v>1336</v>
      </c>
      <c r="JK38" t="s">
        <v>746</v>
      </c>
      <c r="JL38" t="s">
        <v>1770</v>
      </c>
      <c r="JM38" t="s">
        <v>746</v>
      </c>
      <c r="JN38" t="s">
        <v>1336</v>
      </c>
      <c r="JO38" t="s">
        <v>746</v>
      </c>
      <c r="JP38" t="s">
        <v>1375</v>
      </c>
      <c r="JQ38" t="s">
        <v>746</v>
      </c>
      <c r="JR38" t="s">
        <v>1336</v>
      </c>
      <c r="JS38" t="s">
        <v>746</v>
      </c>
      <c r="JT38" t="s">
        <v>1336</v>
      </c>
      <c r="JU38" t="s">
        <v>746</v>
      </c>
      <c r="JV38" t="s">
        <v>2094</v>
      </c>
      <c r="JW38" t="s">
        <v>746</v>
      </c>
      <c r="JX38" t="s">
        <v>2048</v>
      </c>
      <c r="JY38" t="s">
        <v>746</v>
      </c>
      <c r="JZ38" t="s">
        <v>1773</v>
      </c>
      <c r="KA38" t="s">
        <v>746</v>
      </c>
      <c r="KB38" t="s">
        <v>1770</v>
      </c>
      <c r="KC38" t="s">
        <v>746</v>
      </c>
      <c r="KD38" t="s">
        <v>1408</v>
      </c>
      <c r="KE38" t="s">
        <v>746</v>
      </c>
      <c r="KF38" t="s">
        <v>2048</v>
      </c>
      <c r="KG38" t="s">
        <v>746</v>
      </c>
      <c r="KH38" t="s">
        <v>2095</v>
      </c>
      <c r="KI38" t="s">
        <v>746</v>
      </c>
      <c r="KJ38" t="s">
        <v>1336</v>
      </c>
      <c r="KK38" t="s">
        <v>746</v>
      </c>
      <c r="KL38" t="s">
        <v>1408</v>
      </c>
      <c r="KM38" t="s">
        <v>746</v>
      </c>
      <c r="KN38" t="s">
        <v>1336</v>
      </c>
      <c r="KO38" t="s">
        <v>746</v>
      </c>
      <c r="KP38" t="s">
        <v>1408</v>
      </c>
      <c r="KQ38" t="s">
        <v>746</v>
      </c>
      <c r="KR38" t="s">
        <v>2096</v>
      </c>
      <c r="KS38" t="s">
        <v>746</v>
      </c>
      <c r="KT38" t="s">
        <v>1868</v>
      </c>
      <c r="KU38" t="s">
        <v>746</v>
      </c>
      <c r="KV38" t="s">
        <v>2097</v>
      </c>
      <c r="KW38" t="s">
        <v>746</v>
      </c>
      <c r="KX38" t="s">
        <v>2098</v>
      </c>
      <c r="KY38" t="s">
        <v>746</v>
      </c>
      <c r="KZ38" t="s">
        <v>2047</v>
      </c>
      <c r="LA38" t="s">
        <v>746</v>
      </c>
      <c r="LB38" t="s">
        <v>1408</v>
      </c>
      <c r="LC38" t="s">
        <v>777</v>
      </c>
      <c r="LD38" t="s">
        <v>2099</v>
      </c>
      <c r="LE38" t="s">
        <v>733</v>
      </c>
      <c r="LF38" t="s">
        <v>1415</v>
      </c>
      <c r="LG38" t="s">
        <v>733</v>
      </c>
      <c r="LH38" t="s">
        <v>2100</v>
      </c>
      <c r="LI38" t="s">
        <v>733</v>
      </c>
      <c r="LJ38" t="s">
        <v>1415</v>
      </c>
      <c r="LK38" t="s">
        <v>746</v>
      </c>
      <c r="LL38" t="s">
        <v>1771</v>
      </c>
      <c r="LM38" t="s">
        <v>746</v>
      </c>
      <c r="LN38" t="s">
        <v>1771</v>
      </c>
      <c r="LO38" t="s">
        <v>746</v>
      </c>
      <c r="LP38" t="s">
        <v>2101</v>
      </c>
      <c r="LQ38" t="s">
        <v>746</v>
      </c>
      <c r="LR38" t="s">
        <v>1375</v>
      </c>
      <c r="LS38" t="s">
        <v>746</v>
      </c>
      <c r="LT38" t="s">
        <v>2102</v>
      </c>
      <c r="LU38" t="s">
        <v>746</v>
      </c>
      <c r="LV38" t="s">
        <v>2103</v>
      </c>
      <c r="LW38" t="s">
        <v>746</v>
      </c>
      <c r="LX38" t="s">
        <v>1319</v>
      </c>
      <c r="LY38" t="s">
        <v>746</v>
      </c>
      <c r="LZ38" t="s">
        <v>1408</v>
      </c>
      <c r="MA38" t="s">
        <v>746</v>
      </c>
      <c r="MB38" t="s">
        <v>1319</v>
      </c>
      <c r="MC38" t="s">
        <v>746</v>
      </c>
      <c r="MD38" t="s">
        <v>1408</v>
      </c>
      <c r="ME38" t="s">
        <v>733</v>
      </c>
      <c r="MF38" t="s">
        <v>1415</v>
      </c>
      <c r="MG38" t="s">
        <v>733</v>
      </c>
      <c r="MH38" t="s">
        <v>2104</v>
      </c>
      <c r="MI38" t="s">
        <v>746</v>
      </c>
      <c r="MJ38" t="s">
        <v>1408</v>
      </c>
      <c r="MK38" t="s">
        <v>746</v>
      </c>
      <c r="ML38" t="s">
        <v>1408</v>
      </c>
      <c r="MM38" t="s">
        <v>70</v>
      </c>
      <c r="MO38" t="s">
        <v>784</v>
      </c>
      <c r="MP38" t="s">
        <v>784</v>
      </c>
      <c r="MQ38" t="s">
        <v>784</v>
      </c>
      <c r="MR38" t="s">
        <v>783</v>
      </c>
      <c r="MS38" t="s">
        <v>784</v>
      </c>
      <c r="MT38" t="s">
        <v>784</v>
      </c>
      <c r="MU38" t="s">
        <v>784</v>
      </c>
      <c r="MV38" t="s">
        <v>783</v>
      </c>
      <c r="MW38" t="s">
        <v>783</v>
      </c>
      <c r="MX38" t="s">
        <v>783</v>
      </c>
      <c r="MZ38" t="s">
        <v>783</v>
      </c>
      <c r="NA38" t="s">
        <v>783</v>
      </c>
      <c r="NB38" t="s">
        <v>783</v>
      </c>
      <c r="NC38" t="s">
        <v>783</v>
      </c>
      <c r="ND38" t="s">
        <v>783</v>
      </c>
      <c r="NE38" t="s">
        <v>784</v>
      </c>
      <c r="NF38" t="s">
        <v>783</v>
      </c>
      <c r="NG38" t="s">
        <v>907</v>
      </c>
      <c r="NH38" t="s">
        <v>783</v>
      </c>
      <c r="NI38" t="s">
        <v>783</v>
      </c>
      <c r="NJ38" t="s">
        <v>783</v>
      </c>
      <c r="NK38" t="s">
        <v>784</v>
      </c>
      <c r="NL38" t="s">
        <v>783</v>
      </c>
      <c r="NM38" t="s">
        <v>784</v>
      </c>
      <c r="NN38" t="s">
        <v>784</v>
      </c>
      <c r="NO38" t="s">
        <v>784</v>
      </c>
      <c r="NP38" t="s">
        <v>784</v>
      </c>
      <c r="NQ38" t="s">
        <v>783</v>
      </c>
      <c r="NR38" t="s">
        <v>783</v>
      </c>
      <c r="NS38" t="s">
        <v>783</v>
      </c>
      <c r="NT38" t="s">
        <v>784</v>
      </c>
      <c r="NU38" t="s">
        <v>783</v>
      </c>
      <c r="NV38" t="s">
        <v>784</v>
      </c>
      <c r="NW38" t="s">
        <v>784</v>
      </c>
      <c r="NX38" t="s">
        <v>784</v>
      </c>
      <c r="NY38" t="s">
        <v>784</v>
      </c>
      <c r="NZ38" t="s">
        <v>783</v>
      </c>
      <c r="OA38" t="s">
        <v>783</v>
      </c>
      <c r="OB38" t="s">
        <v>784</v>
      </c>
      <c r="OC38" t="s">
        <v>784</v>
      </c>
      <c r="OD38" t="s">
        <v>783</v>
      </c>
      <c r="OE38" t="s">
        <v>783</v>
      </c>
      <c r="OF38" t="s">
        <v>783</v>
      </c>
      <c r="OG38" t="s">
        <v>783</v>
      </c>
      <c r="OH38" t="s">
        <v>783</v>
      </c>
      <c r="OI38" t="s">
        <v>783</v>
      </c>
      <c r="OJ38" t="s">
        <v>783</v>
      </c>
    </row>
    <row r="39" spans="1:400" x14ac:dyDescent="0.25">
      <c r="A39">
        <v>35</v>
      </c>
      <c r="B39" t="s">
        <v>226</v>
      </c>
      <c r="C39" t="s">
        <v>227</v>
      </c>
      <c r="D39" t="s">
        <v>57</v>
      </c>
      <c r="E39">
        <v>39</v>
      </c>
      <c r="F39" t="s">
        <v>58</v>
      </c>
      <c r="G39" t="s">
        <v>76</v>
      </c>
      <c r="H39" t="s">
        <v>60</v>
      </c>
      <c r="I39" t="s">
        <v>61</v>
      </c>
      <c r="J39" t="s">
        <v>62</v>
      </c>
      <c r="K39" t="s">
        <v>63</v>
      </c>
      <c r="M39" t="s">
        <v>146</v>
      </c>
      <c r="N39" t="s">
        <v>70</v>
      </c>
      <c r="O39">
        <v>4</v>
      </c>
      <c r="P39" s="1">
        <v>50000</v>
      </c>
      <c r="Q39" s="1">
        <v>6000</v>
      </c>
      <c r="R39" t="s">
        <v>140</v>
      </c>
      <c r="S39" s="7">
        <v>44000</v>
      </c>
      <c r="T39" t="s">
        <v>70</v>
      </c>
      <c r="U39" s="5">
        <v>0</v>
      </c>
      <c r="V39" s="3" t="s">
        <v>4183</v>
      </c>
      <c r="W39" s="5">
        <v>6000</v>
      </c>
      <c r="X39" t="s">
        <v>94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P39" t="s">
        <v>63</v>
      </c>
      <c r="AR39">
        <v>1</v>
      </c>
      <c r="AS39" s="2">
        <v>1</v>
      </c>
      <c r="AT39" t="s">
        <v>531</v>
      </c>
      <c r="AU39">
        <v>0</v>
      </c>
      <c r="AV39">
        <v>0</v>
      </c>
      <c r="AW39">
        <v>1</v>
      </c>
      <c r="AX39">
        <v>0</v>
      </c>
      <c r="AY39">
        <v>0</v>
      </c>
      <c r="AZ39" t="s">
        <v>140</v>
      </c>
      <c r="BA39" t="s">
        <v>511</v>
      </c>
      <c r="BC39" t="s">
        <v>515</v>
      </c>
      <c r="BD39" t="s">
        <v>507</v>
      </c>
      <c r="BE39">
        <v>2017</v>
      </c>
      <c r="BF39">
        <v>6</v>
      </c>
      <c r="BG39" t="s">
        <v>508</v>
      </c>
      <c r="BH39">
        <v>1</v>
      </c>
      <c r="BI39">
        <v>0</v>
      </c>
      <c r="BJ39">
        <v>0</v>
      </c>
      <c r="BK39">
        <v>0</v>
      </c>
      <c r="BL39">
        <v>0</v>
      </c>
      <c r="BM39" t="s">
        <v>63</v>
      </c>
      <c r="BN39" t="s">
        <v>63</v>
      </c>
      <c r="BO39" t="s">
        <v>3888</v>
      </c>
      <c r="BP39" t="s">
        <v>3889</v>
      </c>
      <c r="BR39" t="s">
        <v>3890</v>
      </c>
      <c r="BS39" t="s">
        <v>3838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CA39" t="s">
        <v>3839</v>
      </c>
      <c r="CC39" t="s">
        <v>3840</v>
      </c>
      <c r="CD39" t="s">
        <v>3891</v>
      </c>
      <c r="CE39" t="s">
        <v>3867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N39" t="s">
        <v>63</v>
      </c>
      <c r="CO39" t="s">
        <v>732</v>
      </c>
      <c r="CP39" t="s">
        <v>3976</v>
      </c>
      <c r="CQ39" t="s">
        <v>2996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 t="s">
        <v>3988</v>
      </c>
      <c r="CY39" t="s">
        <v>1543</v>
      </c>
      <c r="CZ39" s="26" t="s">
        <v>4202</v>
      </c>
      <c r="DA39" s="27" t="s">
        <v>4192</v>
      </c>
      <c r="DJ39" t="s">
        <v>84</v>
      </c>
      <c r="DK39" s="35"/>
      <c r="DL39" s="37"/>
      <c r="EY39" t="s">
        <v>4105</v>
      </c>
      <c r="EZ39">
        <v>0</v>
      </c>
      <c r="FA39">
        <v>0</v>
      </c>
      <c r="FB39">
        <v>1</v>
      </c>
      <c r="FC39">
        <v>0</v>
      </c>
      <c r="FF39" t="s">
        <v>4116</v>
      </c>
      <c r="FI39" t="s">
        <v>733</v>
      </c>
      <c r="FJ39" t="s">
        <v>2105</v>
      </c>
      <c r="FK39" t="s">
        <v>746</v>
      </c>
      <c r="FL39" t="s">
        <v>2106</v>
      </c>
      <c r="FM39" t="s">
        <v>736</v>
      </c>
      <c r="FN39" t="s">
        <v>2107</v>
      </c>
      <c r="FO39" t="s">
        <v>736</v>
      </c>
      <c r="FP39" t="s">
        <v>1496</v>
      </c>
      <c r="FQ39" t="s">
        <v>736</v>
      </c>
      <c r="FR39" t="s">
        <v>2108</v>
      </c>
      <c r="FS39" t="s">
        <v>736</v>
      </c>
      <c r="FT39" t="s">
        <v>2109</v>
      </c>
      <c r="FU39" t="s">
        <v>736</v>
      </c>
      <c r="FV39" t="s">
        <v>2110</v>
      </c>
      <c r="FW39" t="s">
        <v>736</v>
      </c>
      <c r="FX39" t="s">
        <v>1523</v>
      </c>
      <c r="FY39" t="s">
        <v>733</v>
      </c>
      <c r="FZ39" t="s">
        <v>2111</v>
      </c>
      <c r="GA39" t="s">
        <v>733</v>
      </c>
      <c r="GB39" t="s">
        <v>2112</v>
      </c>
      <c r="GC39" t="s">
        <v>746</v>
      </c>
      <c r="GD39" t="s">
        <v>2113</v>
      </c>
      <c r="GE39" t="s">
        <v>736</v>
      </c>
      <c r="GF39" t="s">
        <v>2114</v>
      </c>
      <c r="GG39" t="s">
        <v>746</v>
      </c>
      <c r="GH39" t="s">
        <v>1375</v>
      </c>
      <c r="GI39" t="s">
        <v>746</v>
      </c>
      <c r="GJ39" t="s">
        <v>2115</v>
      </c>
      <c r="GK39" t="s">
        <v>733</v>
      </c>
      <c r="GL39" t="s">
        <v>2116</v>
      </c>
      <c r="GM39" t="s">
        <v>736</v>
      </c>
      <c r="GN39" t="s">
        <v>2117</v>
      </c>
      <c r="GO39" t="s">
        <v>746</v>
      </c>
      <c r="GP39" t="s">
        <v>2118</v>
      </c>
      <c r="GQ39" t="s">
        <v>736</v>
      </c>
      <c r="GR39" t="s">
        <v>2119</v>
      </c>
      <c r="GT39" t="s">
        <v>938</v>
      </c>
      <c r="GV39" t="s">
        <v>938</v>
      </c>
      <c r="GW39" t="s">
        <v>733</v>
      </c>
      <c r="GX39" t="s">
        <v>2120</v>
      </c>
      <c r="GY39" t="s">
        <v>733</v>
      </c>
      <c r="GZ39" t="s">
        <v>2121</v>
      </c>
      <c r="HA39" t="s">
        <v>733</v>
      </c>
      <c r="HB39" t="s">
        <v>2122</v>
      </c>
      <c r="HC39" t="s">
        <v>733</v>
      </c>
      <c r="HD39" t="s">
        <v>2123</v>
      </c>
      <c r="HE39" t="s">
        <v>733</v>
      </c>
      <c r="HF39" t="s">
        <v>2124</v>
      </c>
      <c r="HG39" t="s">
        <v>733</v>
      </c>
      <c r="HH39" t="s">
        <v>2125</v>
      </c>
      <c r="HI39" t="s">
        <v>733</v>
      </c>
      <c r="HJ39" t="s">
        <v>2126</v>
      </c>
      <c r="HL39" t="s">
        <v>938</v>
      </c>
      <c r="HN39" t="s">
        <v>938</v>
      </c>
      <c r="HO39" t="s">
        <v>746</v>
      </c>
      <c r="HP39" t="s">
        <v>2127</v>
      </c>
      <c r="HQ39" t="s">
        <v>746</v>
      </c>
      <c r="HR39" t="s">
        <v>2128</v>
      </c>
      <c r="HS39" t="s">
        <v>746</v>
      </c>
      <c r="HT39" t="s">
        <v>2129</v>
      </c>
      <c r="HU39" t="s">
        <v>736</v>
      </c>
      <c r="HV39" t="s">
        <v>2130</v>
      </c>
      <c r="HW39" t="s">
        <v>746</v>
      </c>
      <c r="HX39" t="s">
        <v>2131</v>
      </c>
      <c r="HY39" t="s">
        <v>746</v>
      </c>
      <c r="HZ39" t="s">
        <v>1562</v>
      </c>
      <c r="IA39" t="s">
        <v>746</v>
      </c>
      <c r="IB39" t="s">
        <v>2132</v>
      </c>
      <c r="IC39" t="s">
        <v>746</v>
      </c>
      <c r="ID39" t="s">
        <v>2133</v>
      </c>
      <c r="IE39" t="s">
        <v>736</v>
      </c>
      <c r="IF39" t="s">
        <v>2134</v>
      </c>
      <c r="IG39" t="s">
        <v>736</v>
      </c>
      <c r="IH39" t="s">
        <v>1972</v>
      </c>
      <c r="II39" t="s">
        <v>736</v>
      </c>
      <c r="IJ39" t="s">
        <v>2135</v>
      </c>
      <c r="IK39" t="s">
        <v>736</v>
      </c>
      <c r="IL39" t="s">
        <v>2136</v>
      </c>
      <c r="IM39" t="s">
        <v>746</v>
      </c>
      <c r="IN39" t="s">
        <v>2137</v>
      </c>
      <c r="IO39" t="s">
        <v>746</v>
      </c>
      <c r="IP39" t="s">
        <v>2138</v>
      </c>
      <c r="IQ39" t="s">
        <v>746</v>
      </c>
      <c r="IR39" t="s">
        <v>1447</v>
      </c>
      <c r="IS39" t="s">
        <v>746</v>
      </c>
      <c r="IT39" t="s">
        <v>1511</v>
      </c>
      <c r="IU39" t="s">
        <v>746</v>
      </c>
      <c r="IV39" t="s">
        <v>2139</v>
      </c>
      <c r="IW39" t="s">
        <v>746</v>
      </c>
      <c r="IX39" t="s">
        <v>2140</v>
      </c>
      <c r="IY39" t="s">
        <v>746</v>
      </c>
      <c r="IZ39" t="s">
        <v>1447</v>
      </c>
      <c r="JA39" t="s">
        <v>746</v>
      </c>
      <c r="JB39" t="s">
        <v>1338</v>
      </c>
      <c r="JC39" t="s">
        <v>746</v>
      </c>
      <c r="JD39" t="s">
        <v>2141</v>
      </c>
      <c r="JE39" t="s">
        <v>746</v>
      </c>
      <c r="JF39" t="s">
        <v>1447</v>
      </c>
      <c r="JH39" t="s">
        <v>938</v>
      </c>
      <c r="JJ39" t="s">
        <v>938</v>
      </c>
      <c r="JL39" t="s">
        <v>938</v>
      </c>
      <c r="JN39" t="s">
        <v>938</v>
      </c>
      <c r="JP39" t="s">
        <v>938</v>
      </c>
      <c r="JR39" t="s">
        <v>938</v>
      </c>
      <c r="JS39" t="s">
        <v>746</v>
      </c>
      <c r="JT39" t="s">
        <v>2140</v>
      </c>
      <c r="JU39" t="s">
        <v>746</v>
      </c>
      <c r="JV39" t="s">
        <v>2142</v>
      </c>
      <c r="JW39" t="s">
        <v>746</v>
      </c>
      <c r="JX39" t="s">
        <v>2143</v>
      </c>
      <c r="JY39" t="s">
        <v>746</v>
      </c>
      <c r="JZ39" t="s">
        <v>1338</v>
      </c>
      <c r="KA39" t="s">
        <v>746</v>
      </c>
      <c r="KB39" t="s">
        <v>2142</v>
      </c>
      <c r="KC39" t="s">
        <v>746</v>
      </c>
      <c r="KD39" t="s">
        <v>2140</v>
      </c>
      <c r="KE39" t="s">
        <v>746</v>
      </c>
      <c r="KF39" t="s">
        <v>2142</v>
      </c>
      <c r="KG39" t="s">
        <v>746</v>
      </c>
      <c r="KH39" t="s">
        <v>2140</v>
      </c>
      <c r="KI39" t="s">
        <v>746</v>
      </c>
      <c r="KJ39" t="s">
        <v>2142</v>
      </c>
      <c r="KK39" t="s">
        <v>746</v>
      </c>
      <c r="KL39" t="s">
        <v>2140</v>
      </c>
      <c r="KM39" t="s">
        <v>746</v>
      </c>
      <c r="KN39" t="s">
        <v>2142</v>
      </c>
      <c r="KO39" t="s">
        <v>746</v>
      </c>
      <c r="KP39" t="s">
        <v>2140</v>
      </c>
      <c r="KQ39" t="s">
        <v>746</v>
      </c>
      <c r="KR39" t="s">
        <v>1336</v>
      </c>
      <c r="KS39" t="s">
        <v>746</v>
      </c>
      <c r="KT39" t="s">
        <v>2140</v>
      </c>
      <c r="KU39" t="s">
        <v>746</v>
      </c>
      <c r="KV39" t="s">
        <v>1447</v>
      </c>
      <c r="KW39" t="s">
        <v>746</v>
      </c>
      <c r="KX39" t="s">
        <v>2144</v>
      </c>
      <c r="KY39" t="s">
        <v>746</v>
      </c>
      <c r="KZ39" t="s">
        <v>1447</v>
      </c>
      <c r="LA39" t="s">
        <v>746</v>
      </c>
      <c r="LB39" t="s">
        <v>2127</v>
      </c>
      <c r="LC39" t="s">
        <v>736</v>
      </c>
      <c r="LD39" t="s">
        <v>2145</v>
      </c>
      <c r="LE39" t="s">
        <v>736</v>
      </c>
      <c r="LF39" t="s">
        <v>2146</v>
      </c>
      <c r="LG39" t="s">
        <v>736</v>
      </c>
      <c r="LH39" t="s">
        <v>2147</v>
      </c>
      <c r="LI39" t="s">
        <v>736</v>
      </c>
      <c r="LJ39" t="s">
        <v>2147</v>
      </c>
      <c r="LK39" t="s">
        <v>746</v>
      </c>
      <c r="LL39" t="s">
        <v>2148</v>
      </c>
      <c r="LM39" t="s">
        <v>746</v>
      </c>
      <c r="LN39" t="s">
        <v>2149</v>
      </c>
      <c r="LO39" t="s">
        <v>746</v>
      </c>
      <c r="LP39" t="s">
        <v>2150</v>
      </c>
      <c r="LQ39" t="s">
        <v>746</v>
      </c>
      <c r="LR39" t="s">
        <v>1557</v>
      </c>
      <c r="LS39" t="s">
        <v>736</v>
      </c>
      <c r="LT39" t="s">
        <v>2151</v>
      </c>
      <c r="LU39" t="s">
        <v>736</v>
      </c>
      <c r="LV39" t="s">
        <v>1983</v>
      </c>
      <c r="LW39" t="s">
        <v>736</v>
      </c>
      <c r="LX39" t="s">
        <v>2152</v>
      </c>
      <c r="LY39" t="s">
        <v>736</v>
      </c>
      <c r="LZ39" t="s">
        <v>2153</v>
      </c>
      <c r="MA39" t="s">
        <v>736</v>
      </c>
      <c r="MB39" t="s">
        <v>1593</v>
      </c>
      <c r="MC39" t="s">
        <v>736</v>
      </c>
      <c r="MD39" t="s">
        <v>2154</v>
      </c>
      <c r="ME39" t="s">
        <v>736</v>
      </c>
      <c r="MF39" t="s">
        <v>2153</v>
      </c>
      <c r="MG39" t="s">
        <v>736</v>
      </c>
      <c r="MH39" t="s">
        <v>2155</v>
      </c>
      <c r="MI39" t="s">
        <v>736</v>
      </c>
      <c r="MJ39" t="s">
        <v>2156</v>
      </c>
      <c r="MK39" t="s">
        <v>736</v>
      </c>
      <c r="ML39" t="s">
        <v>2153</v>
      </c>
      <c r="MM39" t="s">
        <v>70</v>
      </c>
      <c r="MO39" t="s">
        <v>783</v>
      </c>
      <c r="MP39" t="s">
        <v>782</v>
      </c>
      <c r="MQ39" t="s">
        <v>783</v>
      </c>
      <c r="MR39" t="s">
        <v>783</v>
      </c>
      <c r="MS39" t="s">
        <v>783</v>
      </c>
      <c r="MT39" t="s">
        <v>783</v>
      </c>
      <c r="MU39" t="s">
        <v>783</v>
      </c>
      <c r="MV39" t="s">
        <v>783</v>
      </c>
      <c r="MW39" t="s">
        <v>783</v>
      </c>
      <c r="MX39" t="s">
        <v>783</v>
      </c>
      <c r="MZ39" t="s">
        <v>783</v>
      </c>
      <c r="NA39" t="s">
        <v>907</v>
      </c>
      <c r="NB39" t="s">
        <v>783</v>
      </c>
      <c r="NC39" t="s">
        <v>783</v>
      </c>
      <c r="ND39" t="s">
        <v>783</v>
      </c>
      <c r="NE39" t="s">
        <v>784</v>
      </c>
      <c r="NF39" t="s">
        <v>783</v>
      </c>
      <c r="NG39" t="s">
        <v>783</v>
      </c>
      <c r="NH39" t="s">
        <v>783</v>
      </c>
      <c r="NI39" t="s">
        <v>783</v>
      </c>
      <c r="NJ39" t="s">
        <v>783</v>
      </c>
      <c r="NK39" t="s">
        <v>783</v>
      </c>
      <c r="NL39" t="s">
        <v>783</v>
      </c>
      <c r="NM39" t="s">
        <v>783</v>
      </c>
      <c r="NN39" t="s">
        <v>784</v>
      </c>
      <c r="NO39" t="s">
        <v>784</v>
      </c>
      <c r="NP39" t="s">
        <v>783</v>
      </c>
      <c r="NQ39" t="s">
        <v>783</v>
      </c>
      <c r="NR39" t="s">
        <v>783</v>
      </c>
      <c r="NS39" t="s">
        <v>784</v>
      </c>
      <c r="NT39" t="s">
        <v>784</v>
      </c>
      <c r="NU39" t="s">
        <v>783</v>
      </c>
      <c r="NV39" t="s">
        <v>784</v>
      </c>
      <c r="NW39" t="s">
        <v>784</v>
      </c>
      <c r="NX39" t="s">
        <v>783</v>
      </c>
      <c r="NY39" t="s">
        <v>784</v>
      </c>
      <c r="NZ39" t="s">
        <v>784</v>
      </c>
      <c r="OA39" t="s">
        <v>783</v>
      </c>
      <c r="OB39" t="s">
        <v>784</v>
      </c>
      <c r="OC39" t="s">
        <v>784</v>
      </c>
      <c r="OD39" t="s">
        <v>783</v>
      </c>
      <c r="OE39" t="s">
        <v>783</v>
      </c>
      <c r="OF39" t="s">
        <v>783</v>
      </c>
      <c r="OG39" t="s">
        <v>783</v>
      </c>
      <c r="OH39" t="s">
        <v>783</v>
      </c>
      <c r="OI39" t="s">
        <v>783</v>
      </c>
      <c r="OJ39" t="s">
        <v>783</v>
      </c>
    </row>
    <row r="40" spans="1:400" x14ac:dyDescent="0.25">
      <c r="A40">
        <v>36</v>
      </c>
      <c r="B40" t="s">
        <v>474</v>
      </c>
      <c r="C40" t="s">
        <v>475</v>
      </c>
      <c r="D40" t="s">
        <v>57</v>
      </c>
      <c r="E40">
        <v>29</v>
      </c>
      <c r="F40" t="s">
        <v>58</v>
      </c>
      <c r="G40" t="s">
        <v>76</v>
      </c>
      <c r="H40" t="s">
        <v>476</v>
      </c>
      <c r="I40" t="s">
        <v>113</v>
      </c>
      <c r="J40" t="s">
        <v>62</v>
      </c>
      <c r="K40" t="s">
        <v>63</v>
      </c>
      <c r="M40" t="s">
        <v>146</v>
      </c>
      <c r="N40" t="s">
        <v>70</v>
      </c>
      <c r="O40">
        <v>4</v>
      </c>
      <c r="P40" s="1">
        <v>50000</v>
      </c>
      <c r="Q40" s="1">
        <v>5000</v>
      </c>
      <c r="R40" t="s">
        <v>140</v>
      </c>
      <c r="S40" s="7">
        <v>50000</v>
      </c>
      <c r="T40" t="s">
        <v>70</v>
      </c>
      <c r="U40" s="5">
        <v>0</v>
      </c>
      <c r="V40" s="3" t="s">
        <v>70</v>
      </c>
      <c r="W40" s="5">
        <v>0</v>
      </c>
      <c r="X40" t="s">
        <v>94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 t="s">
        <v>63</v>
      </c>
      <c r="AR40">
        <v>1</v>
      </c>
      <c r="AS40" s="2"/>
      <c r="AT40" t="s">
        <v>503</v>
      </c>
      <c r="AU40">
        <v>0</v>
      </c>
      <c r="AV40">
        <v>0</v>
      </c>
      <c r="AW40">
        <v>0</v>
      </c>
      <c r="AX40">
        <v>1</v>
      </c>
      <c r="AY40">
        <v>0</v>
      </c>
      <c r="AZ40" t="s">
        <v>162</v>
      </c>
      <c r="BA40" t="s">
        <v>511</v>
      </c>
      <c r="BC40" t="s">
        <v>594</v>
      </c>
      <c r="BD40" t="s">
        <v>507</v>
      </c>
      <c r="BE40">
        <v>2010</v>
      </c>
      <c r="BF40">
        <v>13</v>
      </c>
      <c r="BG40" t="s">
        <v>508</v>
      </c>
      <c r="BH40">
        <v>1</v>
      </c>
      <c r="BI40">
        <v>0</v>
      </c>
      <c r="BJ40">
        <v>0</v>
      </c>
      <c r="BK40">
        <v>0</v>
      </c>
      <c r="BL40">
        <v>0</v>
      </c>
      <c r="BM40" t="s">
        <v>84</v>
      </c>
      <c r="BN40" t="s">
        <v>84</v>
      </c>
      <c r="CM40" t="s">
        <v>1072</v>
      </c>
      <c r="CN40" t="s">
        <v>84</v>
      </c>
      <c r="CO40" t="s">
        <v>84</v>
      </c>
      <c r="CZ40" s="26"/>
      <c r="DA40" s="27"/>
      <c r="DB40" t="s">
        <v>2157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J40" t="s">
        <v>84</v>
      </c>
      <c r="DK40" s="35"/>
      <c r="DL40" s="37"/>
      <c r="FI40" t="s">
        <v>746</v>
      </c>
      <c r="FJ40" t="s">
        <v>2158</v>
      </c>
      <c r="FK40" t="s">
        <v>746</v>
      </c>
      <c r="FM40" t="s">
        <v>746</v>
      </c>
      <c r="FO40" t="s">
        <v>746</v>
      </c>
      <c r="FQ40" t="s">
        <v>746</v>
      </c>
      <c r="FS40" t="s">
        <v>746</v>
      </c>
      <c r="FU40" t="s">
        <v>746</v>
      </c>
      <c r="FW40" t="s">
        <v>746</v>
      </c>
      <c r="FY40" t="s">
        <v>746</v>
      </c>
      <c r="GA40" t="s">
        <v>746</v>
      </c>
      <c r="GC40" t="s">
        <v>746</v>
      </c>
      <c r="GE40" t="s">
        <v>746</v>
      </c>
      <c r="GG40" t="s">
        <v>746</v>
      </c>
      <c r="GI40" t="s">
        <v>746</v>
      </c>
      <c r="GK40" t="s">
        <v>746</v>
      </c>
      <c r="GM40" t="s">
        <v>746</v>
      </c>
      <c r="GO40" t="s">
        <v>746</v>
      </c>
      <c r="GQ40" t="s">
        <v>746</v>
      </c>
      <c r="GS40" t="s">
        <v>746</v>
      </c>
      <c r="GU40" t="s">
        <v>746</v>
      </c>
      <c r="GW40" t="s">
        <v>746</v>
      </c>
      <c r="GY40" t="s">
        <v>746</v>
      </c>
      <c r="HA40" t="s">
        <v>746</v>
      </c>
      <c r="HC40" t="s">
        <v>746</v>
      </c>
      <c r="HE40" t="s">
        <v>1729</v>
      </c>
      <c r="HG40" t="s">
        <v>746</v>
      </c>
      <c r="HI40" t="s">
        <v>746</v>
      </c>
      <c r="HK40" t="s">
        <v>746</v>
      </c>
      <c r="HM40" t="s">
        <v>746</v>
      </c>
      <c r="HO40" t="s">
        <v>746</v>
      </c>
      <c r="HQ40" t="s">
        <v>746</v>
      </c>
      <c r="HS40" t="s">
        <v>746</v>
      </c>
      <c r="HU40" t="s">
        <v>746</v>
      </c>
      <c r="HW40" t="s">
        <v>746</v>
      </c>
      <c r="HY40" t="s">
        <v>746</v>
      </c>
      <c r="IA40" t="s">
        <v>746</v>
      </c>
      <c r="IC40" t="s">
        <v>746</v>
      </c>
      <c r="IE40" t="s">
        <v>746</v>
      </c>
      <c r="IG40" t="s">
        <v>746</v>
      </c>
      <c r="II40" t="s">
        <v>746</v>
      </c>
      <c r="IK40" t="s">
        <v>746</v>
      </c>
      <c r="IM40" t="s">
        <v>746</v>
      </c>
      <c r="IO40" t="s">
        <v>746</v>
      </c>
      <c r="IQ40" t="s">
        <v>746</v>
      </c>
      <c r="IS40" t="s">
        <v>746</v>
      </c>
      <c r="IU40" t="s">
        <v>746</v>
      </c>
      <c r="IW40" t="s">
        <v>746</v>
      </c>
      <c r="IY40" t="s">
        <v>746</v>
      </c>
      <c r="JA40" t="s">
        <v>746</v>
      </c>
      <c r="JC40" t="s">
        <v>746</v>
      </c>
      <c r="JE40" t="s">
        <v>746</v>
      </c>
      <c r="JG40" t="s">
        <v>746</v>
      </c>
      <c r="JI40" t="s">
        <v>746</v>
      </c>
      <c r="JK40" t="s">
        <v>746</v>
      </c>
      <c r="JM40" t="s">
        <v>746</v>
      </c>
      <c r="JO40" t="s">
        <v>746</v>
      </c>
      <c r="JQ40" t="s">
        <v>746</v>
      </c>
      <c r="JS40" t="s">
        <v>746</v>
      </c>
      <c r="JU40" t="s">
        <v>746</v>
      </c>
      <c r="JW40" t="s">
        <v>746</v>
      </c>
      <c r="JY40" t="s">
        <v>746</v>
      </c>
      <c r="KA40" t="s">
        <v>746</v>
      </c>
      <c r="KC40" t="s">
        <v>746</v>
      </c>
      <c r="KE40" t="s">
        <v>746</v>
      </c>
      <c r="KG40" t="s">
        <v>746</v>
      </c>
      <c r="KI40" t="s">
        <v>746</v>
      </c>
      <c r="KK40" t="s">
        <v>746</v>
      </c>
      <c r="KM40" t="s">
        <v>746</v>
      </c>
      <c r="KO40" t="s">
        <v>746</v>
      </c>
      <c r="KQ40" t="s">
        <v>746</v>
      </c>
      <c r="KS40" t="s">
        <v>746</v>
      </c>
      <c r="KU40" t="s">
        <v>746</v>
      </c>
      <c r="KW40" t="s">
        <v>746</v>
      </c>
      <c r="KY40" t="s">
        <v>746</v>
      </c>
      <c r="LA40" t="s">
        <v>746</v>
      </c>
      <c r="LC40" t="s">
        <v>746</v>
      </c>
      <c r="LE40" t="s">
        <v>746</v>
      </c>
      <c r="LG40" t="s">
        <v>746</v>
      </c>
      <c r="LI40" t="s">
        <v>746</v>
      </c>
      <c r="LK40" t="s">
        <v>746</v>
      </c>
      <c r="LM40" t="s">
        <v>746</v>
      </c>
      <c r="LO40" t="s">
        <v>746</v>
      </c>
      <c r="LQ40" t="s">
        <v>746</v>
      </c>
      <c r="LS40" t="s">
        <v>746</v>
      </c>
      <c r="LU40" t="s">
        <v>746</v>
      </c>
      <c r="LW40" t="s">
        <v>746</v>
      </c>
      <c r="LY40" t="s">
        <v>746</v>
      </c>
      <c r="MA40" t="s">
        <v>746</v>
      </c>
      <c r="MC40" t="s">
        <v>746</v>
      </c>
      <c r="ME40" t="s">
        <v>746</v>
      </c>
      <c r="MG40" t="s">
        <v>746</v>
      </c>
      <c r="MI40" t="s">
        <v>746</v>
      </c>
      <c r="MK40" t="s">
        <v>746</v>
      </c>
      <c r="MO40" t="s">
        <v>781</v>
      </c>
      <c r="MP40" t="s">
        <v>781</v>
      </c>
      <c r="MQ40" t="s">
        <v>783</v>
      </c>
      <c r="MR40" t="s">
        <v>783</v>
      </c>
      <c r="MS40" t="s">
        <v>783</v>
      </c>
      <c r="MT40" t="s">
        <v>782</v>
      </c>
      <c r="MU40" t="s">
        <v>782</v>
      </c>
      <c r="MV40" t="s">
        <v>782</v>
      </c>
      <c r="MW40" t="s">
        <v>782</v>
      </c>
      <c r="MX40" t="s">
        <v>782</v>
      </c>
      <c r="MZ40" t="s">
        <v>782</v>
      </c>
      <c r="NA40" t="s">
        <v>781</v>
      </c>
      <c r="NB40" t="s">
        <v>781</v>
      </c>
      <c r="NC40" t="s">
        <v>781</v>
      </c>
      <c r="ND40" t="s">
        <v>782</v>
      </c>
      <c r="NF40" t="s">
        <v>783</v>
      </c>
      <c r="NG40" t="s">
        <v>784</v>
      </c>
      <c r="NH40" t="s">
        <v>782</v>
      </c>
      <c r="NI40" t="s">
        <v>783</v>
      </c>
      <c r="NJ40" t="s">
        <v>781</v>
      </c>
      <c r="NK40" t="s">
        <v>781</v>
      </c>
      <c r="NL40" t="s">
        <v>781</v>
      </c>
      <c r="NM40" t="s">
        <v>781</v>
      </c>
      <c r="NN40" t="s">
        <v>781</v>
      </c>
      <c r="NO40" t="s">
        <v>781</v>
      </c>
      <c r="NP40" t="s">
        <v>781</v>
      </c>
      <c r="NQ40" t="s">
        <v>783</v>
      </c>
      <c r="NR40" t="s">
        <v>783</v>
      </c>
      <c r="NS40" t="s">
        <v>781</v>
      </c>
      <c r="NT40" t="s">
        <v>781</v>
      </c>
      <c r="NU40" t="s">
        <v>781</v>
      </c>
      <c r="NV40" t="s">
        <v>782</v>
      </c>
      <c r="NW40" t="s">
        <v>783</v>
      </c>
      <c r="NX40" t="s">
        <v>781</v>
      </c>
      <c r="NY40" t="s">
        <v>781</v>
      </c>
      <c r="NZ40" t="s">
        <v>782</v>
      </c>
      <c r="OA40" t="s">
        <v>782</v>
      </c>
      <c r="OB40" t="s">
        <v>781</v>
      </c>
      <c r="OC40" t="s">
        <v>783</v>
      </c>
      <c r="OD40" t="s">
        <v>782</v>
      </c>
      <c r="OE40" t="s">
        <v>782</v>
      </c>
      <c r="OF40" t="s">
        <v>782</v>
      </c>
    </row>
    <row r="41" spans="1:400" x14ac:dyDescent="0.25">
      <c r="A41">
        <v>37</v>
      </c>
      <c r="B41" t="s">
        <v>2159</v>
      </c>
      <c r="C41" t="s">
        <v>231</v>
      </c>
      <c r="D41" t="s">
        <v>97</v>
      </c>
      <c r="E41">
        <v>39</v>
      </c>
      <c r="F41" t="s">
        <v>481</v>
      </c>
      <c r="G41" t="s">
        <v>59</v>
      </c>
      <c r="H41" t="s">
        <v>60</v>
      </c>
      <c r="I41" t="s">
        <v>113</v>
      </c>
      <c r="J41" t="s">
        <v>62</v>
      </c>
      <c r="K41" t="s">
        <v>63</v>
      </c>
      <c r="M41" t="s">
        <v>146</v>
      </c>
      <c r="N41" t="s">
        <v>70</v>
      </c>
      <c r="O41">
        <v>3</v>
      </c>
      <c r="P41" s="1">
        <v>50000</v>
      </c>
      <c r="Q41" s="1" t="s">
        <v>208</v>
      </c>
      <c r="R41" t="s">
        <v>316</v>
      </c>
      <c r="S41" s="7">
        <v>50000</v>
      </c>
      <c r="T41" t="s">
        <v>232</v>
      </c>
      <c r="U41" s="5">
        <v>50000</v>
      </c>
      <c r="V41" s="3" t="s">
        <v>70</v>
      </c>
      <c r="W41" s="5">
        <v>0</v>
      </c>
      <c r="X41" t="s">
        <v>94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P41" t="s">
        <v>63</v>
      </c>
      <c r="AR41">
        <v>1</v>
      </c>
      <c r="AS41" s="2">
        <v>0.25</v>
      </c>
      <c r="AT41" t="s">
        <v>503</v>
      </c>
      <c r="AU41">
        <v>0</v>
      </c>
      <c r="AV41">
        <v>0</v>
      </c>
      <c r="AW41">
        <v>0</v>
      </c>
      <c r="AX41">
        <v>1</v>
      </c>
      <c r="AY41">
        <v>0</v>
      </c>
      <c r="AZ41" t="s">
        <v>554</v>
      </c>
      <c r="BA41" t="s">
        <v>511</v>
      </c>
      <c r="BB41" t="s">
        <v>555</v>
      </c>
      <c r="BD41" t="s">
        <v>521</v>
      </c>
      <c r="BE41">
        <v>2015</v>
      </c>
      <c r="BF41">
        <v>8</v>
      </c>
      <c r="BG41" t="s">
        <v>508</v>
      </c>
      <c r="BH41">
        <v>1</v>
      </c>
      <c r="BI41">
        <v>0</v>
      </c>
      <c r="BJ41">
        <v>0</v>
      </c>
      <c r="BK41">
        <v>0</v>
      </c>
      <c r="BL41">
        <v>0</v>
      </c>
      <c r="BM41" t="s">
        <v>63</v>
      </c>
      <c r="BN41" t="s">
        <v>84</v>
      </c>
      <c r="CM41" t="s">
        <v>785</v>
      </c>
      <c r="CN41" t="s">
        <v>84</v>
      </c>
      <c r="CO41" t="s">
        <v>84</v>
      </c>
      <c r="CZ41" s="26"/>
      <c r="DA41" s="27"/>
      <c r="DB41" t="s">
        <v>976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J41" t="s">
        <v>84</v>
      </c>
      <c r="DK41" s="35"/>
      <c r="DL41" s="37"/>
      <c r="FI41" t="s">
        <v>736</v>
      </c>
      <c r="FJ41" t="s">
        <v>2160</v>
      </c>
      <c r="FK41" t="s">
        <v>736</v>
      </c>
      <c r="FL41" t="s">
        <v>1512</v>
      </c>
      <c r="FM41" t="s">
        <v>736</v>
      </c>
      <c r="FN41" t="s">
        <v>2161</v>
      </c>
      <c r="FO41" t="s">
        <v>733</v>
      </c>
      <c r="FP41" t="s">
        <v>2162</v>
      </c>
      <c r="FQ41" t="s">
        <v>736</v>
      </c>
      <c r="FR41" t="s">
        <v>1447</v>
      </c>
      <c r="FS41" t="s">
        <v>736</v>
      </c>
      <c r="FT41" t="s">
        <v>1512</v>
      </c>
      <c r="FU41" t="s">
        <v>736</v>
      </c>
      <c r="FV41" t="s">
        <v>2163</v>
      </c>
      <c r="FW41" t="s">
        <v>736</v>
      </c>
      <c r="FX41" t="s">
        <v>2164</v>
      </c>
      <c r="FY41" t="s">
        <v>746</v>
      </c>
      <c r="FZ41" t="s">
        <v>1566</v>
      </c>
      <c r="GA41" t="s">
        <v>746</v>
      </c>
      <c r="GB41" t="s">
        <v>2165</v>
      </c>
      <c r="GC41" t="s">
        <v>746</v>
      </c>
      <c r="GD41" t="s">
        <v>2166</v>
      </c>
      <c r="GE41" t="s">
        <v>733</v>
      </c>
      <c r="GF41" t="s">
        <v>2167</v>
      </c>
      <c r="GG41" t="s">
        <v>746</v>
      </c>
      <c r="GH41" t="s">
        <v>2168</v>
      </c>
      <c r="GI41" t="s">
        <v>733</v>
      </c>
      <c r="GJ41" t="s">
        <v>2169</v>
      </c>
      <c r="GK41" t="s">
        <v>733</v>
      </c>
      <c r="GL41" t="s">
        <v>2170</v>
      </c>
      <c r="GM41" t="s">
        <v>733</v>
      </c>
      <c r="GN41" t="s">
        <v>2171</v>
      </c>
      <c r="GO41" t="s">
        <v>733</v>
      </c>
      <c r="GP41" t="s">
        <v>1392</v>
      </c>
      <c r="GQ41" t="s">
        <v>733</v>
      </c>
      <c r="GR41" t="s">
        <v>2172</v>
      </c>
      <c r="GS41" t="s">
        <v>733</v>
      </c>
      <c r="GT41" t="s">
        <v>2173</v>
      </c>
      <c r="GU41" t="s">
        <v>733</v>
      </c>
      <c r="GV41" t="s">
        <v>2174</v>
      </c>
      <c r="GW41" t="s">
        <v>733</v>
      </c>
      <c r="GX41" t="s">
        <v>2175</v>
      </c>
      <c r="GY41" t="s">
        <v>733</v>
      </c>
      <c r="GZ41" t="s">
        <v>2176</v>
      </c>
      <c r="HA41" t="s">
        <v>733</v>
      </c>
      <c r="HB41" t="s">
        <v>1572</v>
      </c>
      <c r="HC41" t="s">
        <v>733</v>
      </c>
      <c r="HD41" t="s">
        <v>2177</v>
      </c>
      <c r="HE41" t="s">
        <v>733</v>
      </c>
      <c r="HF41" t="s">
        <v>1572</v>
      </c>
      <c r="HG41" t="s">
        <v>733</v>
      </c>
      <c r="HH41" t="s">
        <v>2178</v>
      </c>
      <c r="HI41" t="s">
        <v>733</v>
      </c>
      <c r="HJ41" t="s">
        <v>1489</v>
      </c>
      <c r="HL41" t="s">
        <v>938</v>
      </c>
      <c r="HN41" t="s">
        <v>938</v>
      </c>
      <c r="HP41" t="s">
        <v>938</v>
      </c>
      <c r="HR41" t="s">
        <v>938</v>
      </c>
      <c r="HS41" t="s">
        <v>736</v>
      </c>
      <c r="HT41" t="s">
        <v>1564</v>
      </c>
      <c r="HU41" t="s">
        <v>736</v>
      </c>
      <c r="HV41" t="s">
        <v>2179</v>
      </c>
      <c r="HW41" t="s">
        <v>736</v>
      </c>
      <c r="HX41" t="s">
        <v>1557</v>
      </c>
      <c r="HY41" t="s">
        <v>733</v>
      </c>
      <c r="HZ41" t="s">
        <v>2180</v>
      </c>
      <c r="IA41" t="s">
        <v>736</v>
      </c>
      <c r="IB41" t="s">
        <v>2181</v>
      </c>
      <c r="IC41" t="s">
        <v>736</v>
      </c>
      <c r="ID41" t="s">
        <v>1613</v>
      </c>
      <c r="IF41" t="s">
        <v>938</v>
      </c>
      <c r="IH41" t="s">
        <v>938</v>
      </c>
      <c r="II41" t="s">
        <v>736</v>
      </c>
      <c r="IJ41" t="s">
        <v>2182</v>
      </c>
      <c r="IK41" t="s">
        <v>736</v>
      </c>
      <c r="IL41" t="s">
        <v>1549</v>
      </c>
      <c r="IM41" t="s">
        <v>733</v>
      </c>
      <c r="IN41" t="s">
        <v>2183</v>
      </c>
      <c r="IO41" t="s">
        <v>733</v>
      </c>
      <c r="IP41" t="s">
        <v>2184</v>
      </c>
      <c r="IQ41" t="s">
        <v>733</v>
      </c>
      <c r="IR41" t="s">
        <v>1572</v>
      </c>
      <c r="IS41" t="s">
        <v>733</v>
      </c>
      <c r="IT41" t="s">
        <v>2184</v>
      </c>
      <c r="IU41" t="s">
        <v>733</v>
      </c>
      <c r="IV41" t="s">
        <v>2185</v>
      </c>
      <c r="IW41" t="s">
        <v>733</v>
      </c>
      <c r="IX41" t="s">
        <v>2184</v>
      </c>
      <c r="IY41" t="s">
        <v>733</v>
      </c>
      <c r="IZ41" t="s">
        <v>2186</v>
      </c>
      <c r="JA41" t="s">
        <v>733</v>
      </c>
      <c r="JB41" t="s">
        <v>2184</v>
      </c>
      <c r="JC41" t="s">
        <v>733</v>
      </c>
      <c r="JD41" t="s">
        <v>2187</v>
      </c>
      <c r="JE41" t="s">
        <v>733</v>
      </c>
      <c r="JF41" t="s">
        <v>2188</v>
      </c>
      <c r="JH41" t="s">
        <v>938</v>
      </c>
      <c r="JJ41" t="s">
        <v>938</v>
      </c>
      <c r="JL41" t="s">
        <v>938</v>
      </c>
      <c r="JN41" t="s">
        <v>938</v>
      </c>
      <c r="JP41" t="s">
        <v>938</v>
      </c>
      <c r="JR41" t="s">
        <v>938</v>
      </c>
      <c r="JT41" t="s">
        <v>1572</v>
      </c>
      <c r="JU41" t="s">
        <v>733</v>
      </c>
      <c r="JV41" t="s">
        <v>2184</v>
      </c>
      <c r="JW41" t="s">
        <v>733</v>
      </c>
      <c r="JX41" t="s">
        <v>2184</v>
      </c>
      <c r="JY41" t="s">
        <v>733</v>
      </c>
      <c r="JZ41" t="s">
        <v>2189</v>
      </c>
      <c r="KA41" t="s">
        <v>733</v>
      </c>
      <c r="KB41" t="s">
        <v>2184</v>
      </c>
      <c r="KC41" t="s">
        <v>733</v>
      </c>
      <c r="KD41" t="s">
        <v>1572</v>
      </c>
      <c r="KE41" t="s">
        <v>733</v>
      </c>
      <c r="KF41" t="s">
        <v>2184</v>
      </c>
      <c r="KG41" t="s">
        <v>733</v>
      </c>
      <c r="KH41" t="s">
        <v>2189</v>
      </c>
      <c r="KI41" t="s">
        <v>733</v>
      </c>
      <c r="KJ41" t="s">
        <v>2185</v>
      </c>
      <c r="KK41" t="s">
        <v>733</v>
      </c>
      <c r="KL41" t="s">
        <v>2184</v>
      </c>
      <c r="KM41" t="s">
        <v>733</v>
      </c>
      <c r="KN41" t="s">
        <v>2190</v>
      </c>
      <c r="KO41" t="s">
        <v>733</v>
      </c>
      <c r="KP41" t="s">
        <v>2184</v>
      </c>
      <c r="KQ41" t="s">
        <v>733</v>
      </c>
      <c r="KR41" t="s">
        <v>2191</v>
      </c>
      <c r="KS41" t="s">
        <v>733</v>
      </c>
      <c r="KT41" t="s">
        <v>2192</v>
      </c>
      <c r="KU41" t="s">
        <v>733</v>
      </c>
      <c r="KV41" t="s">
        <v>1489</v>
      </c>
      <c r="KW41" t="s">
        <v>733</v>
      </c>
      <c r="KX41" t="s">
        <v>2193</v>
      </c>
      <c r="KY41" t="s">
        <v>733</v>
      </c>
      <c r="KZ41" t="s">
        <v>2194</v>
      </c>
      <c r="LA41" t="s">
        <v>733</v>
      </c>
      <c r="LB41" t="s">
        <v>2195</v>
      </c>
      <c r="LC41" t="s">
        <v>736</v>
      </c>
      <c r="LD41" t="s">
        <v>2196</v>
      </c>
      <c r="LE41" t="s">
        <v>736</v>
      </c>
      <c r="LF41" t="s">
        <v>2197</v>
      </c>
      <c r="LG41" t="s">
        <v>736</v>
      </c>
      <c r="LH41" t="s">
        <v>2198</v>
      </c>
      <c r="LI41" t="s">
        <v>736</v>
      </c>
      <c r="LJ41" t="s">
        <v>2197</v>
      </c>
      <c r="LK41" t="s">
        <v>733</v>
      </c>
      <c r="LL41" t="s">
        <v>2199</v>
      </c>
      <c r="LM41" t="s">
        <v>733</v>
      </c>
      <c r="LN41" t="s">
        <v>2192</v>
      </c>
      <c r="LO41" t="s">
        <v>733</v>
      </c>
      <c r="LP41" t="s">
        <v>817</v>
      </c>
      <c r="LQ41" t="s">
        <v>733</v>
      </c>
      <c r="LR41" t="s">
        <v>1392</v>
      </c>
      <c r="LS41" t="s">
        <v>746</v>
      </c>
      <c r="LT41" t="s">
        <v>2168</v>
      </c>
      <c r="LU41" t="s">
        <v>736</v>
      </c>
      <c r="LV41" t="s">
        <v>2200</v>
      </c>
      <c r="LW41" t="s">
        <v>746</v>
      </c>
      <c r="LX41" t="s">
        <v>2201</v>
      </c>
      <c r="LY41" t="s">
        <v>736</v>
      </c>
      <c r="LZ41" t="s">
        <v>2202</v>
      </c>
      <c r="MA41" t="s">
        <v>746</v>
      </c>
      <c r="MB41" t="s">
        <v>1955</v>
      </c>
      <c r="MC41" t="s">
        <v>736</v>
      </c>
      <c r="MD41" t="s">
        <v>2203</v>
      </c>
      <c r="ME41" t="s">
        <v>733</v>
      </c>
      <c r="MF41" t="s">
        <v>2172</v>
      </c>
      <c r="MG41" t="s">
        <v>736</v>
      </c>
      <c r="MH41" t="s">
        <v>2204</v>
      </c>
      <c r="MI41" t="s">
        <v>733</v>
      </c>
      <c r="MJ41" t="s">
        <v>2187</v>
      </c>
      <c r="MK41" t="s">
        <v>733</v>
      </c>
      <c r="ML41" t="s">
        <v>2205</v>
      </c>
      <c r="MM41" t="s">
        <v>70</v>
      </c>
      <c r="MO41" t="s">
        <v>783</v>
      </c>
      <c r="MP41" t="s">
        <v>784</v>
      </c>
      <c r="MQ41" t="s">
        <v>783</v>
      </c>
      <c r="MR41" t="s">
        <v>783</v>
      </c>
      <c r="MS41" t="s">
        <v>783</v>
      </c>
      <c r="MT41" t="s">
        <v>783</v>
      </c>
      <c r="MU41" t="s">
        <v>783</v>
      </c>
      <c r="MV41" t="s">
        <v>783</v>
      </c>
      <c r="MW41" t="s">
        <v>783</v>
      </c>
      <c r="MX41" t="s">
        <v>783</v>
      </c>
      <c r="MZ41" t="s">
        <v>783</v>
      </c>
      <c r="NA41" t="s">
        <v>783</v>
      </c>
      <c r="NB41" t="s">
        <v>783</v>
      </c>
      <c r="NC41" t="s">
        <v>783</v>
      </c>
      <c r="ND41" t="s">
        <v>783</v>
      </c>
      <c r="NE41" t="s">
        <v>784</v>
      </c>
      <c r="NF41" t="s">
        <v>783</v>
      </c>
      <c r="NG41" t="s">
        <v>783</v>
      </c>
      <c r="NH41" t="s">
        <v>783</v>
      </c>
      <c r="NI41" t="s">
        <v>783</v>
      </c>
      <c r="NJ41" t="s">
        <v>783</v>
      </c>
      <c r="NK41" t="s">
        <v>783</v>
      </c>
      <c r="NL41" t="s">
        <v>783</v>
      </c>
      <c r="NM41" t="s">
        <v>783</v>
      </c>
      <c r="NN41" t="s">
        <v>784</v>
      </c>
      <c r="NO41" t="s">
        <v>783</v>
      </c>
      <c r="NP41" t="s">
        <v>783</v>
      </c>
      <c r="NQ41" t="s">
        <v>783</v>
      </c>
      <c r="NR41" t="s">
        <v>783</v>
      </c>
      <c r="NS41" t="s">
        <v>783</v>
      </c>
      <c r="NT41" t="s">
        <v>784</v>
      </c>
      <c r="NU41" t="s">
        <v>783</v>
      </c>
      <c r="NV41" t="s">
        <v>784</v>
      </c>
      <c r="NW41" t="s">
        <v>784</v>
      </c>
      <c r="NX41" t="s">
        <v>783</v>
      </c>
      <c r="NY41" t="s">
        <v>783</v>
      </c>
      <c r="NZ41" t="s">
        <v>783</v>
      </c>
      <c r="OA41" t="s">
        <v>783</v>
      </c>
      <c r="OB41" t="s">
        <v>784</v>
      </c>
      <c r="OC41" t="s">
        <v>784</v>
      </c>
      <c r="OD41" t="s">
        <v>783</v>
      </c>
      <c r="OE41" t="s">
        <v>783</v>
      </c>
      <c r="OF41" t="s">
        <v>783</v>
      </c>
      <c r="OG41" t="s">
        <v>783</v>
      </c>
      <c r="OH41" t="s">
        <v>783</v>
      </c>
      <c r="OI41" t="s">
        <v>783</v>
      </c>
      <c r="OJ41" t="s">
        <v>783</v>
      </c>
    </row>
    <row r="42" spans="1:400" x14ac:dyDescent="0.25">
      <c r="A42">
        <v>38</v>
      </c>
      <c r="B42" t="s">
        <v>240</v>
      </c>
      <c r="C42" t="s">
        <v>241</v>
      </c>
      <c r="D42" t="s">
        <v>57</v>
      </c>
      <c r="E42">
        <v>43</v>
      </c>
      <c r="F42" t="s">
        <v>87</v>
      </c>
      <c r="G42" t="s">
        <v>76</v>
      </c>
      <c r="H42" t="s">
        <v>60</v>
      </c>
      <c r="I42" t="s">
        <v>61</v>
      </c>
      <c r="J42" t="s">
        <v>62</v>
      </c>
      <c r="K42" t="s">
        <v>63</v>
      </c>
      <c r="M42" t="s">
        <v>146</v>
      </c>
      <c r="N42" t="s">
        <v>242</v>
      </c>
      <c r="O42">
        <v>4</v>
      </c>
      <c r="P42" s="1">
        <v>20000</v>
      </c>
      <c r="Q42" s="1">
        <v>10000</v>
      </c>
      <c r="R42" t="s">
        <v>316</v>
      </c>
      <c r="S42" s="7">
        <v>20000</v>
      </c>
      <c r="T42" t="s">
        <v>244</v>
      </c>
      <c r="U42" s="5">
        <v>4000</v>
      </c>
      <c r="V42" s="3" t="s">
        <v>224</v>
      </c>
      <c r="W42" s="5">
        <v>10000</v>
      </c>
      <c r="X42" t="s">
        <v>94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 t="s">
        <v>63</v>
      </c>
      <c r="AR42">
        <v>1</v>
      </c>
      <c r="AS42" s="2">
        <v>0.75</v>
      </c>
      <c r="AT42" t="s">
        <v>531</v>
      </c>
      <c r="AU42">
        <v>0</v>
      </c>
      <c r="AV42">
        <v>0</v>
      </c>
      <c r="AW42">
        <v>1</v>
      </c>
      <c r="AX42">
        <v>0</v>
      </c>
      <c r="AY42">
        <v>0</v>
      </c>
      <c r="AZ42" t="s">
        <v>534</v>
      </c>
      <c r="BA42" t="s">
        <v>511</v>
      </c>
      <c r="BC42" t="s">
        <v>512</v>
      </c>
      <c r="BD42" t="s">
        <v>507</v>
      </c>
      <c r="BE42">
        <v>2020</v>
      </c>
      <c r="BF42">
        <v>3</v>
      </c>
      <c r="BG42" t="s">
        <v>508</v>
      </c>
      <c r="BH42">
        <v>1</v>
      </c>
      <c r="BI42">
        <v>0</v>
      </c>
      <c r="BJ42">
        <v>0</v>
      </c>
      <c r="BK42">
        <v>0</v>
      </c>
      <c r="BL42">
        <v>0</v>
      </c>
      <c r="BM42" t="s">
        <v>84</v>
      </c>
      <c r="BN42" t="s">
        <v>84</v>
      </c>
      <c r="CM42" t="s">
        <v>785</v>
      </c>
      <c r="CN42" t="s">
        <v>63</v>
      </c>
      <c r="CO42" t="s">
        <v>732</v>
      </c>
      <c r="CP42" t="s">
        <v>4007</v>
      </c>
      <c r="CQ42" t="s">
        <v>3945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Y42" t="s">
        <v>4008</v>
      </c>
      <c r="CZ42" s="26" t="s">
        <v>4201</v>
      </c>
      <c r="DA42" s="27" t="s">
        <v>4214</v>
      </c>
      <c r="DJ42" t="s">
        <v>84</v>
      </c>
      <c r="DK42" s="35"/>
      <c r="DL42" s="37"/>
      <c r="FI42" t="s">
        <v>736</v>
      </c>
      <c r="FJ42" t="s">
        <v>1420</v>
      </c>
      <c r="FK42" t="s">
        <v>736</v>
      </c>
      <c r="FL42" t="s">
        <v>1358</v>
      </c>
      <c r="FM42" t="s">
        <v>736</v>
      </c>
      <c r="FN42" t="s">
        <v>2206</v>
      </c>
      <c r="FO42" t="s">
        <v>736</v>
      </c>
      <c r="FP42" t="s">
        <v>2207</v>
      </c>
      <c r="FQ42" t="s">
        <v>733</v>
      </c>
      <c r="FR42" t="s">
        <v>2020</v>
      </c>
      <c r="FS42" t="s">
        <v>733</v>
      </c>
      <c r="FT42" t="s">
        <v>2208</v>
      </c>
      <c r="FU42" t="s">
        <v>733</v>
      </c>
      <c r="FV42" t="s">
        <v>2209</v>
      </c>
      <c r="FW42" t="s">
        <v>733</v>
      </c>
      <c r="FX42" t="s">
        <v>2210</v>
      </c>
      <c r="FY42" t="s">
        <v>733</v>
      </c>
      <c r="FZ42" t="s">
        <v>2211</v>
      </c>
      <c r="GA42" t="s">
        <v>733</v>
      </c>
      <c r="GB42" t="s">
        <v>2212</v>
      </c>
      <c r="GC42" t="s">
        <v>733</v>
      </c>
      <c r="GD42" t="s">
        <v>2213</v>
      </c>
      <c r="GE42" t="s">
        <v>733</v>
      </c>
      <c r="GF42" t="s">
        <v>2066</v>
      </c>
      <c r="GG42" t="s">
        <v>746</v>
      </c>
      <c r="GH42" t="s">
        <v>2214</v>
      </c>
      <c r="GI42" t="s">
        <v>746</v>
      </c>
      <c r="GJ42" t="s">
        <v>2215</v>
      </c>
      <c r="GK42" t="s">
        <v>733</v>
      </c>
      <c r="GL42" t="s">
        <v>1763</v>
      </c>
      <c r="GM42" t="s">
        <v>733</v>
      </c>
      <c r="GN42" t="s">
        <v>2216</v>
      </c>
      <c r="GO42" t="s">
        <v>733</v>
      </c>
      <c r="GP42" t="s">
        <v>1316</v>
      </c>
      <c r="GQ42" t="s">
        <v>733</v>
      </c>
      <c r="GR42" t="s">
        <v>1814</v>
      </c>
      <c r="GS42" t="s">
        <v>733</v>
      </c>
      <c r="GT42" t="s">
        <v>2217</v>
      </c>
      <c r="GU42" t="s">
        <v>733</v>
      </c>
      <c r="GV42" t="s">
        <v>2218</v>
      </c>
      <c r="GW42" t="s">
        <v>736</v>
      </c>
      <c r="GX42" t="s">
        <v>1358</v>
      </c>
      <c r="GY42" t="s">
        <v>736</v>
      </c>
      <c r="GZ42" t="s">
        <v>1797</v>
      </c>
      <c r="HA42" t="s">
        <v>736</v>
      </c>
      <c r="HB42" t="s">
        <v>1797</v>
      </c>
      <c r="HC42" t="s">
        <v>736</v>
      </c>
      <c r="HD42" t="s">
        <v>1764</v>
      </c>
      <c r="HE42" t="s">
        <v>798</v>
      </c>
      <c r="HF42" t="s">
        <v>1797</v>
      </c>
      <c r="HG42" t="s">
        <v>736</v>
      </c>
      <c r="HH42" t="s">
        <v>1757</v>
      </c>
      <c r="HI42" t="s">
        <v>736</v>
      </c>
      <c r="HJ42" t="s">
        <v>1797</v>
      </c>
      <c r="HK42" t="s">
        <v>733</v>
      </c>
      <c r="HL42" t="s">
        <v>2219</v>
      </c>
      <c r="HM42" t="s">
        <v>733</v>
      </c>
      <c r="HN42" t="s">
        <v>1415</v>
      </c>
      <c r="HO42" t="s">
        <v>733</v>
      </c>
      <c r="HP42" t="s">
        <v>1415</v>
      </c>
      <c r="HQ42" t="s">
        <v>733</v>
      </c>
      <c r="HR42" t="s">
        <v>2220</v>
      </c>
      <c r="HS42" t="s">
        <v>736</v>
      </c>
      <c r="HT42" t="s">
        <v>1797</v>
      </c>
      <c r="HU42" t="s">
        <v>736</v>
      </c>
      <c r="HV42" t="s">
        <v>1792</v>
      </c>
      <c r="HW42" t="s">
        <v>733</v>
      </c>
      <c r="HX42" t="s">
        <v>2027</v>
      </c>
      <c r="HY42" t="s">
        <v>733</v>
      </c>
      <c r="HZ42" t="s">
        <v>2221</v>
      </c>
      <c r="IA42" t="s">
        <v>733</v>
      </c>
      <c r="IB42" t="s">
        <v>2221</v>
      </c>
      <c r="IC42" t="s">
        <v>733</v>
      </c>
      <c r="ID42" t="s">
        <v>1332</v>
      </c>
      <c r="IE42" t="s">
        <v>733</v>
      </c>
      <c r="IF42" t="s">
        <v>2222</v>
      </c>
      <c r="IG42" t="s">
        <v>733</v>
      </c>
      <c r="IH42" t="s">
        <v>1415</v>
      </c>
      <c r="II42" t="s">
        <v>733</v>
      </c>
      <c r="IJ42" t="s">
        <v>1415</v>
      </c>
      <c r="IK42" t="s">
        <v>733</v>
      </c>
      <c r="IL42" t="s">
        <v>1415</v>
      </c>
      <c r="IM42" t="s">
        <v>733</v>
      </c>
      <c r="IN42" t="s">
        <v>2223</v>
      </c>
      <c r="IO42" t="s">
        <v>733</v>
      </c>
      <c r="IP42" t="s">
        <v>2224</v>
      </c>
      <c r="IQ42" t="s">
        <v>733</v>
      </c>
      <c r="IR42" t="s">
        <v>2225</v>
      </c>
      <c r="IS42" t="s">
        <v>733</v>
      </c>
      <c r="IT42" t="s">
        <v>1423</v>
      </c>
      <c r="IU42" t="s">
        <v>733</v>
      </c>
      <c r="IV42" t="s">
        <v>2226</v>
      </c>
      <c r="IW42" t="s">
        <v>733</v>
      </c>
      <c r="IX42" t="s">
        <v>2224</v>
      </c>
      <c r="IY42" t="s">
        <v>746</v>
      </c>
      <c r="IZ42" t="s">
        <v>1408</v>
      </c>
      <c r="JA42" t="s">
        <v>746</v>
      </c>
      <c r="JB42" t="s">
        <v>2227</v>
      </c>
      <c r="JC42" t="s">
        <v>733</v>
      </c>
      <c r="JD42" t="s">
        <v>2228</v>
      </c>
      <c r="JE42" t="s">
        <v>733</v>
      </c>
      <c r="JF42" t="s">
        <v>2040</v>
      </c>
      <c r="JG42" t="s">
        <v>733</v>
      </c>
      <c r="JH42" t="s">
        <v>2228</v>
      </c>
      <c r="JI42" t="s">
        <v>733</v>
      </c>
      <c r="JJ42" t="s">
        <v>1365</v>
      </c>
      <c r="JK42" t="s">
        <v>746</v>
      </c>
      <c r="JL42" t="s">
        <v>1375</v>
      </c>
      <c r="JM42" t="s">
        <v>733</v>
      </c>
      <c r="JN42" t="s">
        <v>1867</v>
      </c>
      <c r="JO42" t="s">
        <v>746</v>
      </c>
      <c r="JP42" t="s">
        <v>1375</v>
      </c>
      <c r="JQ42" t="s">
        <v>733</v>
      </c>
      <c r="JR42" t="s">
        <v>1867</v>
      </c>
      <c r="JS42" t="s">
        <v>733</v>
      </c>
      <c r="JT42" t="s">
        <v>2228</v>
      </c>
      <c r="JU42" t="s">
        <v>733</v>
      </c>
      <c r="JV42" t="s">
        <v>2040</v>
      </c>
      <c r="JW42" t="s">
        <v>746</v>
      </c>
      <c r="JX42" t="s">
        <v>1375</v>
      </c>
      <c r="JY42" t="s">
        <v>733</v>
      </c>
      <c r="JZ42" t="s">
        <v>1867</v>
      </c>
      <c r="KA42" t="s">
        <v>746</v>
      </c>
      <c r="KB42" t="s">
        <v>1375</v>
      </c>
      <c r="KC42" t="s">
        <v>733</v>
      </c>
      <c r="KD42" t="s">
        <v>1867</v>
      </c>
      <c r="KE42" t="s">
        <v>746</v>
      </c>
      <c r="KF42" t="s">
        <v>2229</v>
      </c>
      <c r="KG42" t="s">
        <v>746</v>
      </c>
      <c r="KH42" t="s">
        <v>1773</v>
      </c>
      <c r="KI42" t="s">
        <v>746</v>
      </c>
      <c r="KJ42" t="s">
        <v>1375</v>
      </c>
      <c r="KK42" t="s">
        <v>746</v>
      </c>
      <c r="KL42" t="s">
        <v>1770</v>
      </c>
      <c r="KM42" t="s">
        <v>733</v>
      </c>
      <c r="KN42" t="s">
        <v>2230</v>
      </c>
      <c r="KO42" t="s">
        <v>733</v>
      </c>
      <c r="KP42" t="s">
        <v>2040</v>
      </c>
      <c r="KQ42" t="s">
        <v>733</v>
      </c>
      <c r="KR42" t="s">
        <v>2228</v>
      </c>
      <c r="KS42" t="s">
        <v>733</v>
      </c>
      <c r="KT42" t="s">
        <v>2040</v>
      </c>
      <c r="KU42" t="s">
        <v>746</v>
      </c>
      <c r="KV42" t="s">
        <v>2231</v>
      </c>
      <c r="KW42" t="s">
        <v>746</v>
      </c>
      <c r="KX42" t="s">
        <v>2232</v>
      </c>
      <c r="KY42" t="s">
        <v>746</v>
      </c>
      <c r="KZ42" t="s">
        <v>1816</v>
      </c>
      <c r="LA42" t="s">
        <v>746</v>
      </c>
      <c r="LB42" t="s">
        <v>1319</v>
      </c>
      <c r="LC42" t="s">
        <v>733</v>
      </c>
      <c r="LD42" t="s">
        <v>1415</v>
      </c>
      <c r="LE42" t="s">
        <v>733</v>
      </c>
      <c r="LF42" t="s">
        <v>1415</v>
      </c>
      <c r="LG42" t="s">
        <v>733</v>
      </c>
      <c r="LH42" t="s">
        <v>1415</v>
      </c>
      <c r="LI42" t="s">
        <v>733</v>
      </c>
      <c r="LJ42" t="s">
        <v>1415</v>
      </c>
      <c r="LK42" t="s">
        <v>746</v>
      </c>
      <c r="LL42" t="s">
        <v>2233</v>
      </c>
      <c r="LM42" t="s">
        <v>733</v>
      </c>
      <c r="LN42" t="s">
        <v>2234</v>
      </c>
      <c r="LO42" t="s">
        <v>733</v>
      </c>
      <c r="LP42" t="s">
        <v>1763</v>
      </c>
      <c r="LQ42" t="s">
        <v>733</v>
      </c>
      <c r="LR42" t="s">
        <v>2221</v>
      </c>
      <c r="LS42" t="s">
        <v>733</v>
      </c>
      <c r="LT42" t="s">
        <v>2217</v>
      </c>
      <c r="LU42" t="s">
        <v>733</v>
      </c>
      <c r="LV42" t="s">
        <v>1415</v>
      </c>
      <c r="LW42" t="s">
        <v>733</v>
      </c>
      <c r="LX42" t="s">
        <v>1415</v>
      </c>
      <c r="LY42" t="s">
        <v>733</v>
      </c>
      <c r="LZ42" t="s">
        <v>1415</v>
      </c>
      <c r="MA42" t="s">
        <v>733</v>
      </c>
      <c r="MB42" t="s">
        <v>1415</v>
      </c>
      <c r="MC42" t="s">
        <v>733</v>
      </c>
      <c r="MD42" t="s">
        <v>1415</v>
      </c>
      <c r="ME42" t="s">
        <v>746</v>
      </c>
      <c r="MF42" t="s">
        <v>2235</v>
      </c>
      <c r="MG42" t="s">
        <v>733</v>
      </c>
      <c r="MH42" t="s">
        <v>1415</v>
      </c>
      <c r="MI42" t="s">
        <v>733</v>
      </c>
      <c r="MJ42" t="s">
        <v>2236</v>
      </c>
      <c r="MK42" t="s">
        <v>733</v>
      </c>
      <c r="ML42" t="s">
        <v>2237</v>
      </c>
      <c r="MM42" t="s">
        <v>70</v>
      </c>
      <c r="MO42" t="s">
        <v>783</v>
      </c>
      <c r="MP42" t="s">
        <v>783</v>
      </c>
      <c r="MQ42" t="s">
        <v>783</v>
      </c>
      <c r="MR42" t="s">
        <v>784</v>
      </c>
      <c r="MS42" t="s">
        <v>783</v>
      </c>
      <c r="MT42" t="s">
        <v>783</v>
      </c>
      <c r="MU42" t="s">
        <v>783</v>
      </c>
      <c r="MV42" t="s">
        <v>783</v>
      </c>
      <c r="MW42" t="s">
        <v>783</v>
      </c>
      <c r="MZ42" t="s">
        <v>783</v>
      </c>
      <c r="NA42" t="s">
        <v>783</v>
      </c>
      <c r="NB42" t="s">
        <v>783</v>
      </c>
      <c r="NC42" t="s">
        <v>783</v>
      </c>
      <c r="NE42" t="s">
        <v>784</v>
      </c>
      <c r="NF42" t="s">
        <v>784</v>
      </c>
      <c r="NG42" t="s">
        <v>784</v>
      </c>
      <c r="NH42" t="s">
        <v>784</v>
      </c>
      <c r="NI42" t="s">
        <v>783</v>
      </c>
      <c r="NJ42" t="s">
        <v>783</v>
      </c>
      <c r="NK42" t="s">
        <v>783</v>
      </c>
      <c r="NL42" t="s">
        <v>783</v>
      </c>
      <c r="NM42" t="s">
        <v>783</v>
      </c>
      <c r="NN42" t="s">
        <v>784</v>
      </c>
      <c r="NO42" t="s">
        <v>784</v>
      </c>
      <c r="NP42" t="s">
        <v>783</v>
      </c>
      <c r="NQ42" t="s">
        <v>783</v>
      </c>
      <c r="NR42" t="s">
        <v>783</v>
      </c>
      <c r="NS42" t="s">
        <v>784</v>
      </c>
      <c r="NT42" t="s">
        <v>784</v>
      </c>
      <c r="NU42" t="s">
        <v>783</v>
      </c>
      <c r="NV42" t="s">
        <v>784</v>
      </c>
      <c r="NW42" t="s">
        <v>784</v>
      </c>
      <c r="NX42" t="s">
        <v>784</v>
      </c>
      <c r="NY42" t="s">
        <v>784</v>
      </c>
      <c r="NZ42" t="s">
        <v>783</v>
      </c>
      <c r="OA42" t="s">
        <v>783</v>
      </c>
      <c r="OB42" t="s">
        <v>784</v>
      </c>
      <c r="OC42" t="s">
        <v>783</v>
      </c>
      <c r="OD42" t="s">
        <v>783</v>
      </c>
      <c r="OE42" t="s">
        <v>783</v>
      </c>
      <c r="OF42" t="s">
        <v>783</v>
      </c>
      <c r="OG42" t="s">
        <v>783</v>
      </c>
      <c r="OH42" t="s">
        <v>783</v>
      </c>
      <c r="OI42" t="s">
        <v>783</v>
      </c>
      <c r="OJ42" t="s">
        <v>783</v>
      </c>
    </row>
    <row r="43" spans="1:400" x14ac:dyDescent="0.25">
      <c r="A43">
        <v>39</v>
      </c>
      <c r="B43" t="s">
        <v>238</v>
      </c>
      <c r="C43" t="s">
        <v>239</v>
      </c>
      <c r="D43" t="s">
        <v>57</v>
      </c>
      <c r="E43">
        <v>49</v>
      </c>
      <c r="F43" t="s">
        <v>58</v>
      </c>
      <c r="G43" t="s">
        <v>76</v>
      </c>
      <c r="H43" t="s">
        <v>60</v>
      </c>
      <c r="I43" t="s">
        <v>113</v>
      </c>
      <c r="J43" t="s">
        <v>62</v>
      </c>
      <c r="K43" t="s">
        <v>63</v>
      </c>
      <c r="M43" t="s">
        <v>146</v>
      </c>
      <c r="N43" t="s">
        <v>70</v>
      </c>
      <c r="O43">
        <v>5</v>
      </c>
      <c r="P43" s="1">
        <v>50000</v>
      </c>
      <c r="Q43" s="1">
        <v>0</v>
      </c>
      <c r="R43" t="s">
        <v>316</v>
      </c>
      <c r="S43" s="7">
        <v>30000</v>
      </c>
      <c r="T43" t="s">
        <v>70</v>
      </c>
      <c r="U43" s="5">
        <v>0</v>
      </c>
      <c r="V43" s="3" t="s">
        <v>70</v>
      </c>
      <c r="W43" s="5">
        <v>0</v>
      </c>
      <c r="X43" t="s">
        <v>94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P43" t="s">
        <v>63</v>
      </c>
      <c r="AR43">
        <v>1</v>
      </c>
      <c r="AS43" s="2">
        <v>0.5</v>
      </c>
      <c r="AT43" t="s">
        <v>503</v>
      </c>
      <c r="AU43">
        <v>0</v>
      </c>
      <c r="AV43">
        <v>0</v>
      </c>
      <c r="AW43">
        <v>0</v>
      </c>
      <c r="AX43">
        <v>1</v>
      </c>
      <c r="AY43">
        <v>0</v>
      </c>
      <c r="AZ43" t="s">
        <v>556</v>
      </c>
      <c r="BA43" t="s">
        <v>511</v>
      </c>
      <c r="BC43" t="s">
        <v>521</v>
      </c>
      <c r="BD43" t="s">
        <v>557</v>
      </c>
      <c r="BE43">
        <v>2021</v>
      </c>
      <c r="BF43">
        <v>2</v>
      </c>
      <c r="BG43" t="s">
        <v>508</v>
      </c>
      <c r="BH43">
        <v>1</v>
      </c>
      <c r="BI43">
        <v>0</v>
      </c>
      <c r="BJ43">
        <v>0</v>
      </c>
      <c r="BK43">
        <v>0</v>
      </c>
      <c r="BL43">
        <v>0</v>
      </c>
      <c r="BM43" t="s">
        <v>84</v>
      </c>
      <c r="BN43" t="s">
        <v>84</v>
      </c>
      <c r="CL43" t="s">
        <v>3865</v>
      </c>
      <c r="CM43" t="s">
        <v>1072</v>
      </c>
      <c r="CN43" t="s">
        <v>63</v>
      </c>
      <c r="CO43" t="s">
        <v>732</v>
      </c>
      <c r="CP43" t="s">
        <v>4009</v>
      </c>
      <c r="CQ43" t="s">
        <v>3959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Y43" t="s">
        <v>3854</v>
      </c>
      <c r="CZ43" s="26" t="s">
        <v>4203</v>
      </c>
      <c r="DA43" s="27" t="s">
        <v>4192</v>
      </c>
      <c r="DJ43" t="s">
        <v>84</v>
      </c>
      <c r="DK43" s="35"/>
      <c r="DL43" s="37"/>
      <c r="FI43" t="s">
        <v>736</v>
      </c>
      <c r="FJ43" t="s">
        <v>1353</v>
      </c>
      <c r="FK43" t="s">
        <v>733</v>
      </c>
      <c r="FL43" t="s">
        <v>1785</v>
      </c>
      <c r="FM43" t="s">
        <v>736</v>
      </c>
      <c r="FN43" t="s">
        <v>2238</v>
      </c>
      <c r="FO43" t="s">
        <v>733</v>
      </c>
      <c r="FP43" t="s">
        <v>2066</v>
      </c>
      <c r="FQ43" t="s">
        <v>736</v>
      </c>
      <c r="FR43" t="s">
        <v>1358</v>
      </c>
      <c r="FS43" t="s">
        <v>733</v>
      </c>
      <c r="FT43" t="s">
        <v>1758</v>
      </c>
      <c r="FU43" t="s">
        <v>733</v>
      </c>
      <c r="FV43" t="s">
        <v>2239</v>
      </c>
      <c r="FW43" t="s">
        <v>733</v>
      </c>
      <c r="FX43" t="s">
        <v>2240</v>
      </c>
      <c r="FY43" t="s">
        <v>733</v>
      </c>
      <c r="FZ43" t="s">
        <v>2241</v>
      </c>
      <c r="GA43" t="s">
        <v>733</v>
      </c>
      <c r="GB43" t="s">
        <v>2242</v>
      </c>
      <c r="GC43" t="s">
        <v>733</v>
      </c>
      <c r="GD43" t="s">
        <v>2243</v>
      </c>
      <c r="GE43" t="s">
        <v>733</v>
      </c>
      <c r="GF43" t="s">
        <v>2244</v>
      </c>
      <c r="GG43" t="s">
        <v>746</v>
      </c>
      <c r="GH43" t="s">
        <v>1802</v>
      </c>
      <c r="GI43" t="s">
        <v>746</v>
      </c>
      <c r="GJ43" t="s">
        <v>1802</v>
      </c>
      <c r="GK43" t="s">
        <v>733</v>
      </c>
      <c r="GL43" t="s">
        <v>1763</v>
      </c>
      <c r="GM43" t="s">
        <v>733</v>
      </c>
      <c r="GN43" t="s">
        <v>1415</v>
      </c>
      <c r="GO43" t="s">
        <v>733</v>
      </c>
      <c r="GP43" t="s">
        <v>1763</v>
      </c>
      <c r="GQ43" t="s">
        <v>733</v>
      </c>
      <c r="GR43" t="s">
        <v>2245</v>
      </c>
      <c r="GS43" t="s">
        <v>733</v>
      </c>
      <c r="GT43" t="s">
        <v>2246</v>
      </c>
      <c r="GU43" t="s">
        <v>733</v>
      </c>
      <c r="GV43" t="s">
        <v>1766</v>
      </c>
      <c r="GW43" t="s">
        <v>736</v>
      </c>
      <c r="GX43" t="s">
        <v>1797</v>
      </c>
      <c r="GY43" t="s">
        <v>736</v>
      </c>
      <c r="GZ43" t="s">
        <v>1792</v>
      </c>
      <c r="HA43" t="s">
        <v>736</v>
      </c>
      <c r="HB43" t="s">
        <v>1797</v>
      </c>
      <c r="HC43" t="s">
        <v>736</v>
      </c>
      <c r="HD43" t="s">
        <v>1764</v>
      </c>
      <c r="HE43" t="s">
        <v>798</v>
      </c>
      <c r="HF43" t="s">
        <v>1797</v>
      </c>
      <c r="HG43" t="s">
        <v>736</v>
      </c>
      <c r="HH43" t="s">
        <v>2247</v>
      </c>
      <c r="HI43" t="s">
        <v>736</v>
      </c>
      <c r="HJ43" t="s">
        <v>1792</v>
      </c>
      <c r="HK43" t="s">
        <v>746</v>
      </c>
      <c r="HL43" t="s">
        <v>1415</v>
      </c>
      <c r="HM43" t="s">
        <v>733</v>
      </c>
      <c r="HN43" t="s">
        <v>1415</v>
      </c>
      <c r="HO43" t="s">
        <v>746</v>
      </c>
      <c r="HP43" t="s">
        <v>2248</v>
      </c>
      <c r="HQ43" t="s">
        <v>746</v>
      </c>
      <c r="HR43" t="s">
        <v>2249</v>
      </c>
      <c r="HS43" t="s">
        <v>736</v>
      </c>
      <c r="HT43" t="s">
        <v>1797</v>
      </c>
      <c r="HU43" t="s">
        <v>733</v>
      </c>
      <c r="HV43" t="s">
        <v>2250</v>
      </c>
      <c r="HW43" t="s">
        <v>736</v>
      </c>
      <c r="HX43" t="s">
        <v>2251</v>
      </c>
      <c r="HY43" t="s">
        <v>733</v>
      </c>
      <c r="HZ43" t="s">
        <v>2252</v>
      </c>
      <c r="IA43" t="s">
        <v>736</v>
      </c>
      <c r="IB43" t="s">
        <v>2253</v>
      </c>
      <c r="IC43" t="s">
        <v>733</v>
      </c>
      <c r="ID43" t="s">
        <v>2003</v>
      </c>
      <c r="IE43" t="s">
        <v>746</v>
      </c>
      <c r="IF43" t="s">
        <v>1408</v>
      </c>
      <c r="IG43" t="s">
        <v>746</v>
      </c>
      <c r="IH43" t="s">
        <v>1319</v>
      </c>
      <c r="II43" t="s">
        <v>733</v>
      </c>
      <c r="IJ43" t="s">
        <v>1415</v>
      </c>
      <c r="IK43" t="s">
        <v>733</v>
      </c>
      <c r="IL43" t="s">
        <v>1415</v>
      </c>
      <c r="IM43" t="s">
        <v>746</v>
      </c>
      <c r="IN43" t="s">
        <v>1375</v>
      </c>
      <c r="IO43" t="s">
        <v>746</v>
      </c>
      <c r="IP43" t="s">
        <v>1771</v>
      </c>
      <c r="IQ43" t="s">
        <v>746</v>
      </c>
      <c r="IR43" t="s">
        <v>2254</v>
      </c>
      <c r="IS43" t="s">
        <v>746</v>
      </c>
      <c r="IT43" t="s">
        <v>1771</v>
      </c>
      <c r="IU43" t="s">
        <v>746</v>
      </c>
      <c r="IV43" t="s">
        <v>1375</v>
      </c>
      <c r="IW43" t="s">
        <v>746</v>
      </c>
      <c r="IX43" t="s">
        <v>1771</v>
      </c>
      <c r="IY43" t="s">
        <v>746</v>
      </c>
      <c r="IZ43" t="s">
        <v>1771</v>
      </c>
      <c r="JA43" t="s">
        <v>746</v>
      </c>
      <c r="JB43" t="s">
        <v>1408</v>
      </c>
      <c r="JC43" t="s">
        <v>746</v>
      </c>
      <c r="JD43" t="s">
        <v>1868</v>
      </c>
      <c r="JE43" t="s">
        <v>746</v>
      </c>
      <c r="JF43" t="s">
        <v>1771</v>
      </c>
      <c r="JG43" t="s">
        <v>746</v>
      </c>
      <c r="JH43" t="s">
        <v>1375</v>
      </c>
      <c r="JI43" t="s">
        <v>746</v>
      </c>
      <c r="JJ43" t="s">
        <v>1771</v>
      </c>
      <c r="JK43" t="s">
        <v>746</v>
      </c>
      <c r="JL43" t="s">
        <v>1375</v>
      </c>
      <c r="JM43" t="s">
        <v>746</v>
      </c>
      <c r="JN43" t="s">
        <v>1771</v>
      </c>
      <c r="JO43" t="s">
        <v>746</v>
      </c>
      <c r="JP43" t="s">
        <v>1771</v>
      </c>
      <c r="JQ43" t="s">
        <v>746</v>
      </c>
      <c r="JR43" t="s">
        <v>1408</v>
      </c>
      <c r="JS43" t="s">
        <v>746</v>
      </c>
      <c r="JT43" t="s">
        <v>1868</v>
      </c>
      <c r="JU43" t="s">
        <v>746</v>
      </c>
      <c r="JV43" t="s">
        <v>1408</v>
      </c>
      <c r="JW43" t="s">
        <v>746</v>
      </c>
      <c r="JX43" t="s">
        <v>2255</v>
      </c>
      <c r="JY43" t="s">
        <v>746</v>
      </c>
      <c r="JZ43" t="s">
        <v>1770</v>
      </c>
      <c r="KA43" t="s">
        <v>746</v>
      </c>
      <c r="KB43" t="s">
        <v>1868</v>
      </c>
      <c r="KC43" t="s">
        <v>746</v>
      </c>
      <c r="KD43" t="s">
        <v>1375</v>
      </c>
      <c r="KE43" t="s">
        <v>746</v>
      </c>
      <c r="KF43" t="s">
        <v>1375</v>
      </c>
      <c r="KG43" t="s">
        <v>746</v>
      </c>
      <c r="KH43" t="s">
        <v>2256</v>
      </c>
      <c r="KI43" t="s">
        <v>746</v>
      </c>
      <c r="KJ43" t="s">
        <v>1408</v>
      </c>
      <c r="KK43" t="s">
        <v>746</v>
      </c>
      <c r="KL43" t="s">
        <v>1771</v>
      </c>
      <c r="KM43" t="s">
        <v>746</v>
      </c>
      <c r="KN43" t="s">
        <v>1375</v>
      </c>
      <c r="KO43" t="s">
        <v>746</v>
      </c>
      <c r="KP43" t="s">
        <v>2093</v>
      </c>
      <c r="KQ43" t="s">
        <v>746</v>
      </c>
      <c r="KR43" t="s">
        <v>1770</v>
      </c>
      <c r="KS43" t="s">
        <v>746</v>
      </c>
      <c r="KT43" t="s">
        <v>1868</v>
      </c>
      <c r="KU43" t="s">
        <v>746</v>
      </c>
      <c r="KV43" t="s">
        <v>2257</v>
      </c>
      <c r="KW43" t="s">
        <v>746</v>
      </c>
      <c r="KX43" t="s">
        <v>1375</v>
      </c>
      <c r="KY43" t="s">
        <v>746</v>
      </c>
      <c r="KZ43" t="s">
        <v>1375</v>
      </c>
      <c r="LA43" t="s">
        <v>746</v>
      </c>
      <c r="LB43" t="s">
        <v>1771</v>
      </c>
      <c r="LC43" t="s">
        <v>736</v>
      </c>
      <c r="LD43" t="s">
        <v>2258</v>
      </c>
      <c r="LE43" t="s">
        <v>736</v>
      </c>
      <c r="LF43" t="s">
        <v>1875</v>
      </c>
      <c r="LG43" t="s">
        <v>736</v>
      </c>
      <c r="LH43" t="s">
        <v>2054</v>
      </c>
      <c r="LI43" t="s">
        <v>736</v>
      </c>
      <c r="LJ43" t="s">
        <v>2054</v>
      </c>
      <c r="LK43" t="s">
        <v>746</v>
      </c>
      <c r="LL43" t="s">
        <v>2259</v>
      </c>
      <c r="LM43" t="s">
        <v>746</v>
      </c>
      <c r="LN43" t="s">
        <v>1868</v>
      </c>
      <c r="LO43" t="s">
        <v>746</v>
      </c>
      <c r="LP43" t="s">
        <v>1868</v>
      </c>
      <c r="LQ43" t="s">
        <v>746</v>
      </c>
      <c r="LR43" t="s">
        <v>1771</v>
      </c>
      <c r="LS43" t="s">
        <v>746</v>
      </c>
      <c r="LT43" t="s">
        <v>2260</v>
      </c>
      <c r="LU43" t="s">
        <v>746</v>
      </c>
      <c r="LV43" t="s">
        <v>2261</v>
      </c>
      <c r="LW43" t="s">
        <v>746</v>
      </c>
      <c r="LX43" t="s">
        <v>1771</v>
      </c>
      <c r="LY43" t="s">
        <v>746</v>
      </c>
      <c r="LZ43" t="s">
        <v>1319</v>
      </c>
      <c r="MA43" t="s">
        <v>746</v>
      </c>
      <c r="MB43" t="s">
        <v>1408</v>
      </c>
      <c r="MC43" t="s">
        <v>746</v>
      </c>
      <c r="MD43" t="s">
        <v>1771</v>
      </c>
      <c r="ME43" t="s">
        <v>746</v>
      </c>
      <c r="MF43" t="s">
        <v>1319</v>
      </c>
      <c r="MG43" t="s">
        <v>746</v>
      </c>
      <c r="MH43" t="s">
        <v>1319</v>
      </c>
      <c r="MI43" t="s">
        <v>746</v>
      </c>
      <c r="MJ43" t="s">
        <v>1771</v>
      </c>
      <c r="MK43" t="s">
        <v>746</v>
      </c>
      <c r="ML43" t="s">
        <v>1771</v>
      </c>
      <c r="MM43" t="s">
        <v>70</v>
      </c>
      <c r="MO43" t="s">
        <v>783</v>
      </c>
      <c r="MP43" t="s">
        <v>784</v>
      </c>
      <c r="MQ43" t="s">
        <v>783</v>
      </c>
      <c r="MR43" t="s">
        <v>783</v>
      </c>
      <c r="MS43" t="s">
        <v>784</v>
      </c>
      <c r="MT43" t="s">
        <v>783</v>
      </c>
      <c r="MU43" t="s">
        <v>783</v>
      </c>
      <c r="MV43" t="s">
        <v>783</v>
      </c>
      <c r="MW43" t="s">
        <v>783</v>
      </c>
      <c r="MX43" t="s">
        <v>783</v>
      </c>
      <c r="MZ43" t="s">
        <v>783</v>
      </c>
      <c r="NA43" t="s">
        <v>783</v>
      </c>
      <c r="NB43" t="s">
        <v>783</v>
      </c>
      <c r="NC43" t="s">
        <v>783</v>
      </c>
      <c r="ND43" t="s">
        <v>783</v>
      </c>
      <c r="NE43" t="s">
        <v>784</v>
      </c>
      <c r="NF43" t="s">
        <v>784</v>
      </c>
      <c r="NG43" t="s">
        <v>783</v>
      </c>
      <c r="NH43" t="s">
        <v>783</v>
      </c>
      <c r="NI43" t="s">
        <v>783</v>
      </c>
      <c r="NJ43" t="s">
        <v>783</v>
      </c>
      <c r="NK43" t="s">
        <v>784</v>
      </c>
      <c r="NL43" t="s">
        <v>783</v>
      </c>
      <c r="NM43" t="s">
        <v>783</v>
      </c>
      <c r="NN43" t="s">
        <v>784</v>
      </c>
      <c r="NO43" t="s">
        <v>784</v>
      </c>
      <c r="NP43" t="s">
        <v>783</v>
      </c>
      <c r="NQ43" t="s">
        <v>783</v>
      </c>
      <c r="NR43" t="s">
        <v>784</v>
      </c>
      <c r="NS43" t="s">
        <v>783</v>
      </c>
      <c r="NT43" t="s">
        <v>784</v>
      </c>
      <c r="NU43" t="s">
        <v>783</v>
      </c>
      <c r="NV43" t="s">
        <v>784</v>
      </c>
      <c r="NW43" t="s">
        <v>784</v>
      </c>
      <c r="NX43" t="s">
        <v>783</v>
      </c>
      <c r="NY43" t="s">
        <v>784</v>
      </c>
      <c r="NZ43" t="s">
        <v>783</v>
      </c>
      <c r="OA43" t="s">
        <v>783</v>
      </c>
      <c r="OB43" t="s">
        <v>784</v>
      </c>
      <c r="OC43" t="s">
        <v>784</v>
      </c>
      <c r="OD43" t="s">
        <v>783</v>
      </c>
      <c r="OE43" t="s">
        <v>783</v>
      </c>
      <c r="OF43" t="s">
        <v>783</v>
      </c>
      <c r="OG43" t="s">
        <v>783</v>
      </c>
      <c r="OH43" t="s">
        <v>783</v>
      </c>
      <c r="OI43" t="s">
        <v>783</v>
      </c>
      <c r="OJ43" t="s">
        <v>783</v>
      </c>
    </row>
    <row r="44" spans="1:400" x14ac:dyDescent="0.25">
      <c r="A44">
        <v>40</v>
      </c>
      <c r="B44" t="s">
        <v>233</v>
      </c>
      <c r="C44" t="s">
        <v>70</v>
      </c>
      <c r="D44" t="s">
        <v>57</v>
      </c>
      <c r="E44">
        <v>59</v>
      </c>
      <c r="F44" t="s">
        <v>58</v>
      </c>
      <c r="G44" t="s">
        <v>76</v>
      </c>
      <c r="H44" t="s">
        <v>60</v>
      </c>
      <c r="I44" t="s">
        <v>61</v>
      </c>
      <c r="J44" t="s">
        <v>62</v>
      </c>
      <c r="K44" t="s">
        <v>63</v>
      </c>
      <c r="M44" t="s">
        <v>146</v>
      </c>
      <c r="N44" t="s">
        <v>234</v>
      </c>
      <c r="O44">
        <v>3</v>
      </c>
      <c r="P44" s="1">
        <v>10000</v>
      </c>
      <c r="Q44" s="1">
        <v>0</v>
      </c>
      <c r="R44" t="s">
        <v>316</v>
      </c>
      <c r="S44" s="7">
        <v>5000</v>
      </c>
      <c r="T44" t="s">
        <v>237</v>
      </c>
      <c r="U44" s="5">
        <v>5000</v>
      </c>
      <c r="V44" s="3" t="s">
        <v>70</v>
      </c>
      <c r="W44" s="5">
        <v>0</v>
      </c>
      <c r="X44" t="s">
        <v>94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 t="s">
        <v>63</v>
      </c>
      <c r="AR44">
        <v>1</v>
      </c>
      <c r="AS44" s="2">
        <v>0.75</v>
      </c>
      <c r="AT44" t="s">
        <v>531</v>
      </c>
      <c r="AU44">
        <v>0</v>
      </c>
      <c r="AV44">
        <v>0</v>
      </c>
      <c r="AW44">
        <v>1</v>
      </c>
      <c r="AX44">
        <v>0</v>
      </c>
      <c r="AY44">
        <v>0</v>
      </c>
      <c r="AZ44" t="s">
        <v>534</v>
      </c>
      <c r="BA44" t="s">
        <v>511</v>
      </c>
      <c r="BC44" t="s">
        <v>512</v>
      </c>
      <c r="BD44" t="s">
        <v>507</v>
      </c>
      <c r="BE44">
        <v>1998</v>
      </c>
      <c r="BF44">
        <v>25</v>
      </c>
      <c r="BG44" t="s">
        <v>508</v>
      </c>
      <c r="BH44">
        <v>1</v>
      </c>
      <c r="BI44">
        <v>0</v>
      </c>
      <c r="BJ44">
        <v>0</v>
      </c>
      <c r="BK44">
        <v>0</v>
      </c>
      <c r="BL44">
        <v>0</v>
      </c>
      <c r="BM44" t="s">
        <v>84</v>
      </c>
      <c r="BN44" t="s">
        <v>84</v>
      </c>
      <c r="CM44" t="s">
        <v>1072</v>
      </c>
      <c r="CN44" t="s">
        <v>63</v>
      </c>
      <c r="CO44" t="s">
        <v>84</v>
      </c>
      <c r="CP44" t="s">
        <v>3976</v>
      </c>
      <c r="CQ44" t="s">
        <v>3945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Y44" t="s">
        <v>4010</v>
      </c>
      <c r="CZ44" s="26" t="s">
        <v>4203</v>
      </c>
      <c r="DA44" s="27" t="s">
        <v>4192</v>
      </c>
      <c r="DB44" t="s">
        <v>976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J44" t="s">
        <v>84</v>
      </c>
      <c r="DK44" s="35"/>
      <c r="DL44" s="37"/>
      <c r="FI44" t="s">
        <v>736</v>
      </c>
      <c r="FJ44" t="s">
        <v>1757</v>
      </c>
      <c r="FK44" t="s">
        <v>736</v>
      </c>
      <c r="FL44" t="s">
        <v>1757</v>
      </c>
      <c r="FM44" t="s">
        <v>733</v>
      </c>
      <c r="FN44" t="s">
        <v>2262</v>
      </c>
      <c r="FO44" t="s">
        <v>733</v>
      </c>
      <c r="FP44" t="s">
        <v>2066</v>
      </c>
      <c r="FQ44" t="s">
        <v>733</v>
      </c>
      <c r="FR44" t="s">
        <v>2263</v>
      </c>
      <c r="FS44" t="s">
        <v>733</v>
      </c>
      <c r="FT44" t="s">
        <v>1413</v>
      </c>
      <c r="FU44" t="s">
        <v>733</v>
      </c>
      <c r="FV44" t="s">
        <v>1763</v>
      </c>
      <c r="FW44" t="s">
        <v>733</v>
      </c>
      <c r="FX44" t="s">
        <v>2264</v>
      </c>
      <c r="FY44" t="s">
        <v>733</v>
      </c>
      <c r="FZ44" t="s">
        <v>1316</v>
      </c>
      <c r="GA44" t="s">
        <v>733</v>
      </c>
      <c r="GB44" t="s">
        <v>2265</v>
      </c>
      <c r="GC44" t="s">
        <v>733</v>
      </c>
      <c r="GD44" t="s">
        <v>2266</v>
      </c>
      <c r="GE44" t="s">
        <v>733</v>
      </c>
      <c r="GF44" t="s">
        <v>2066</v>
      </c>
      <c r="GG44" t="s">
        <v>733</v>
      </c>
      <c r="GH44" t="s">
        <v>2267</v>
      </c>
      <c r="GI44" t="s">
        <v>733</v>
      </c>
      <c r="GJ44" t="s">
        <v>2066</v>
      </c>
      <c r="GK44" t="s">
        <v>733</v>
      </c>
      <c r="GL44" t="s">
        <v>1763</v>
      </c>
      <c r="GM44" t="s">
        <v>733</v>
      </c>
      <c r="GN44" t="s">
        <v>1415</v>
      </c>
      <c r="GO44" t="s">
        <v>733</v>
      </c>
      <c r="GP44" t="s">
        <v>2268</v>
      </c>
      <c r="GQ44" t="s">
        <v>733</v>
      </c>
      <c r="GR44" t="s">
        <v>2269</v>
      </c>
      <c r="GS44" t="s">
        <v>733</v>
      </c>
      <c r="GT44" t="s">
        <v>2270</v>
      </c>
      <c r="GU44" t="s">
        <v>733</v>
      </c>
      <c r="GV44" t="s">
        <v>2266</v>
      </c>
      <c r="GW44" t="s">
        <v>736</v>
      </c>
      <c r="GX44" t="s">
        <v>1757</v>
      </c>
      <c r="GY44" t="s">
        <v>736</v>
      </c>
      <c r="GZ44" t="s">
        <v>1757</v>
      </c>
      <c r="HA44" t="s">
        <v>736</v>
      </c>
      <c r="HB44" t="s">
        <v>1797</v>
      </c>
      <c r="HC44" t="s">
        <v>736</v>
      </c>
      <c r="HD44" t="s">
        <v>1757</v>
      </c>
      <c r="HE44" t="s">
        <v>798</v>
      </c>
      <c r="HF44" t="s">
        <v>1797</v>
      </c>
      <c r="HG44" t="s">
        <v>736</v>
      </c>
      <c r="HH44" t="s">
        <v>1792</v>
      </c>
      <c r="HI44" t="s">
        <v>736</v>
      </c>
      <c r="HJ44" t="s">
        <v>1757</v>
      </c>
      <c r="HK44" t="s">
        <v>733</v>
      </c>
      <c r="HL44" t="s">
        <v>1415</v>
      </c>
      <c r="HM44" t="s">
        <v>733</v>
      </c>
      <c r="HN44" t="s">
        <v>1415</v>
      </c>
      <c r="HO44" t="s">
        <v>746</v>
      </c>
      <c r="HP44" t="s">
        <v>1408</v>
      </c>
      <c r="HQ44" t="s">
        <v>746</v>
      </c>
      <c r="HR44" t="s">
        <v>1408</v>
      </c>
      <c r="HS44" t="s">
        <v>736</v>
      </c>
      <c r="HT44" t="s">
        <v>1797</v>
      </c>
      <c r="HU44" t="s">
        <v>736</v>
      </c>
      <c r="HV44" t="s">
        <v>1792</v>
      </c>
      <c r="HW44" t="s">
        <v>736</v>
      </c>
      <c r="HX44" t="s">
        <v>2271</v>
      </c>
      <c r="HY44" t="s">
        <v>736</v>
      </c>
      <c r="HZ44" t="s">
        <v>2272</v>
      </c>
      <c r="IA44" t="s">
        <v>736</v>
      </c>
      <c r="IB44" t="s">
        <v>1764</v>
      </c>
      <c r="IC44" t="s">
        <v>736</v>
      </c>
      <c r="ID44" t="s">
        <v>1764</v>
      </c>
      <c r="IE44" t="s">
        <v>746</v>
      </c>
      <c r="IF44" t="s">
        <v>2273</v>
      </c>
      <c r="IG44" t="s">
        <v>746</v>
      </c>
      <c r="IH44" t="s">
        <v>1319</v>
      </c>
      <c r="II44" t="s">
        <v>736</v>
      </c>
      <c r="IJ44" t="s">
        <v>1764</v>
      </c>
      <c r="IK44" t="s">
        <v>736</v>
      </c>
      <c r="IL44" t="s">
        <v>1764</v>
      </c>
      <c r="IM44" t="s">
        <v>736</v>
      </c>
      <c r="IN44" t="s">
        <v>1757</v>
      </c>
      <c r="IO44" t="s">
        <v>733</v>
      </c>
      <c r="IP44" t="s">
        <v>1423</v>
      </c>
      <c r="IQ44" t="s">
        <v>733</v>
      </c>
      <c r="IR44" t="s">
        <v>1365</v>
      </c>
      <c r="IS44" t="s">
        <v>733</v>
      </c>
      <c r="IT44" t="s">
        <v>2274</v>
      </c>
      <c r="IU44" t="s">
        <v>733</v>
      </c>
      <c r="IV44" t="s">
        <v>1365</v>
      </c>
      <c r="IW44" t="s">
        <v>733</v>
      </c>
      <c r="IX44" t="s">
        <v>1365</v>
      </c>
      <c r="IY44" t="s">
        <v>746</v>
      </c>
      <c r="IZ44" t="s">
        <v>2275</v>
      </c>
      <c r="JA44" t="s">
        <v>746</v>
      </c>
      <c r="JB44" t="s">
        <v>1408</v>
      </c>
      <c r="JC44" t="s">
        <v>733</v>
      </c>
      <c r="JD44" t="s">
        <v>2276</v>
      </c>
      <c r="JE44" t="s">
        <v>733</v>
      </c>
      <c r="JF44" t="s">
        <v>1365</v>
      </c>
      <c r="JG44" t="s">
        <v>733</v>
      </c>
      <c r="JH44" t="s">
        <v>1365</v>
      </c>
      <c r="JI44" t="s">
        <v>733</v>
      </c>
      <c r="JJ44" t="s">
        <v>1342</v>
      </c>
      <c r="JK44" t="s">
        <v>733</v>
      </c>
      <c r="JL44" t="s">
        <v>2277</v>
      </c>
      <c r="JM44" t="s">
        <v>733</v>
      </c>
      <c r="JN44" t="s">
        <v>2040</v>
      </c>
      <c r="JO44" t="s">
        <v>733</v>
      </c>
      <c r="JP44" t="s">
        <v>1378</v>
      </c>
      <c r="JQ44" t="s">
        <v>733</v>
      </c>
      <c r="JR44" t="s">
        <v>2277</v>
      </c>
      <c r="JS44" t="s">
        <v>733</v>
      </c>
      <c r="JT44" t="s">
        <v>1378</v>
      </c>
      <c r="JU44" t="s">
        <v>733</v>
      </c>
      <c r="JV44" t="s">
        <v>2277</v>
      </c>
      <c r="JW44" t="s">
        <v>733</v>
      </c>
      <c r="JX44" t="s">
        <v>1365</v>
      </c>
      <c r="JY44" t="s">
        <v>733</v>
      </c>
      <c r="JZ44" t="s">
        <v>1423</v>
      </c>
      <c r="KA44" t="s">
        <v>733</v>
      </c>
      <c r="KB44" t="s">
        <v>1365</v>
      </c>
      <c r="KC44" t="s">
        <v>733</v>
      </c>
      <c r="KD44" t="s">
        <v>1423</v>
      </c>
      <c r="KE44" t="s">
        <v>746</v>
      </c>
      <c r="KF44" t="s">
        <v>2048</v>
      </c>
      <c r="KG44" t="s">
        <v>746</v>
      </c>
      <c r="KH44" t="s">
        <v>1408</v>
      </c>
      <c r="KI44" t="s">
        <v>746</v>
      </c>
      <c r="KJ44" t="s">
        <v>1770</v>
      </c>
      <c r="KK44" t="s">
        <v>746</v>
      </c>
      <c r="KL44" t="s">
        <v>2278</v>
      </c>
      <c r="KM44" t="s">
        <v>733</v>
      </c>
      <c r="KN44" t="s">
        <v>2279</v>
      </c>
      <c r="KO44" t="s">
        <v>733</v>
      </c>
      <c r="KP44" t="s">
        <v>1378</v>
      </c>
      <c r="KQ44" t="s">
        <v>733</v>
      </c>
      <c r="KR44" t="s">
        <v>1378</v>
      </c>
      <c r="KS44" t="s">
        <v>733</v>
      </c>
      <c r="KT44" t="s">
        <v>2280</v>
      </c>
      <c r="KU44" t="s">
        <v>736</v>
      </c>
      <c r="KV44" t="s">
        <v>2281</v>
      </c>
      <c r="KW44" t="s">
        <v>736</v>
      </c>
      <c r="KX44" t="s">
        <v>2282</v>
      </c>
      <c r="KY44" t="s">
        <v>736</v>
      </c>
      <c r="KZ44" t="s">
        <v>1757</v>
      </c>
      <c r="LA44" t="s">
        <v>733</v>
      </c>
      <c r="LB44" t="s">
        <v>1423</v>
      </c>
      <c r="LC44" t="s">
        <v>736</v>
      </c>
      <c r="LD44" t="s">
        <v>1757</v>
      </c>
      <c r="LE44" t="s">
        <v>733</v>
      </c>
      <c r="LF44" t="s">
        <v>1423</v>
      </c>
      <c r="LG44" t="s">
        <v>736</v>
      </c>
      <c r="LH44" t="s">
        <v>1757</v>
      </c>
      <c r="LI44" t="s">
        <v>733</v>
      </c>
      <c r="LJ44" t="s">
        <v>1423</v>
      </c>
      <c r="LK44" t="s">
        <v>746</v>
      </c>
      <c r="LL44" t="s">
        <v>2283</v>
      </c>
      <c r="LM44" t="s">
        <v>733</v>
      </c>
      <c r="LN44" t="s">
        <v>2040</v>
      </c>
      <c r="LO44" t="s">
        <v>733</v>
      </c>
      <c r="LP44" t="s">
        <v>2284</v>
      </c>
      <c r="LQ44" t="s">
        <v>733</v>
      </c>
      <c r="LR44" t="s">
        <v>1423</v>
      </c>
      <c r="LS44" t="s">
        <v>733</v>
      </c>
      <c r="LT44" t="s">
        <v>1763</v>
      </c>
      <c r="LU44" t="s">
        <v>733</v>
      </c>
      <c r="LV44" t="s">
        <v>1415</v>
      </c>
      <c r="LW44" t="s">
        <v>733</v>
      </c>
      <c r="LX44" t="s">
        <v>2285</v>
      </c>
      <c r="LY44" t="s">
        <v>733</v>
      </c>
      <c r="LZ44" t="s">
        <v>2286</v>
      </c>
      <c r="MA44" t="s">
        <v>733</v>
      </c>
      <c r="MB44" t="s">
        <v>2287</v>
      </c>
      <c r="MC44" t="s">
        <v>733</v>
      </c>
      <c r="MD44" t="s">
        <v>2288</v>
      </c>
      <c r="ME44" t="s">
        <v>733</v>
      </c>
      <c r="MF44" t="s">
        <v>1415</v>
      </c>
      <c r="MG44" t="s">
        <v>733</v>
      </c>
      <c r="MH44" t="s">
        <v>1415</v>
      </c>
      <c r="MI44" t="s">
        <v>733</v>
      </c>
      <c r="MJ44" t="s">
        <v>2289</v>
      </c>
      <c r="MK44" t="s">
        <v>733</v>
      </c>
      <c r="ML44" t="s">
        <v>2290</v>
      </c>
      <c r="MM44" t="s">
        <v>70</v>
      </c>
      <c r="MO44" t="s">
        <v>783</v>
      </c>
      <c r="MP44" t="s">
        <v>783</v>
      </c>
      <c r="MQ44" t="s">
        <v>783</v>
      </c>
      <c r="MR44" t="s">
        <v>783</v>
      </c>
      <c r="MS44" t="s">
        <v>783</v>
      </c>
      <c r="MT44" t="s">
        <v>783</v>
      </c>
      <c r="MU44" t="s">
        <v>783</v>
      </c>
      <c r="MV44" t="s">
        <v>784</v>
      </c>
      <c r="MW44" t="s">
        <v>783</v>
      </c>
      <c r="MX44" t="s">
        <v>783</v>
      </c>
      <c r="MZ44" t="s">
        <v>783</v>
      </c>
      <c r="NA44" t="s">
        <v>783</v>
      </c>
      <c r="NB44" t="s">
        <v>783</v>
      </c>
      <c r="NC44" t="s">
        <v>783</v>
      </c>
      <c r="ND44" t="s">
        <v>783</v>
      </c>
      <c r="NE44" t="s">
        <v>784</v>
      </c>
      <c r="NF44" t="s">
        <v>783</v>
      </c>
      <c r="NG44" t="s">
        <v>783</v>
      </c>
      <c r="NH44" t="s">
        <v>783</v>
      </c>
      <c r="NI44" t="s">
        <v>783</v>
      </c>
      <c r="NJ44" t="s">
        <v>783</v>
      </c>
      <c r="NK44" t="s">
        <v>783</v>
      </c>
      <c r="NL44" t="s">
        <v>783</v>
      </c>
      <c r="NM44" t="s">
        <v>783</v>
      </c>
      <c r="NN44" t="s">
        <v>784</v>
      </c>
      <c r="NO44" t="s">
        <v>784</v>
      </c>
      <c r="NP44" t="s">
        <v>783</v>
      </c>
      <c r="NQ44" t="s">
        <v>783</v>
      </c>
      <c r="NR44" t="s">
        <v>784</v>
      </c>
      <c r="NS44" t="s">
        <v>784</v>
      </c>
      <c r="NT44" t="s">
        <v>784</v>
      </c>
      <c r="NU44" t="s">
        <v>783</v>
      </c>
      <c r="NV44" t="s">
        <v>784</v>
      </c>
      <c r="NW44" t="s">
        <v>784</v>
      </c>
      <c r="NX44" t="s">
        <v>784</v>
      </c>
      <c r="NY44" t="s">
        <v>783</v>
      </c>
      <c r="NZ44" t="s">
        <v>783</v>
      </c>
      <c r="OA44" t="s">
        <v>783</v>
      </c>
      <c r="OB44" t="s">
        <v>784</v>
      </c>
      <c r="OC44" t="s">
        <v>783</v>
      </c>
      <c r="OD44" t="s">
        <v>783</v>
      </c>
      <c r="OE44" t="s">
        <v>783</v>
      </c>
      <c r="OF44" t="s">
        <v>783</v>
      </c>
      <c r="OG44" t="s">
        <v>783</v>
      </c>
      <c r="OH44" t="s">
        <v>783</v>
      </c>
      <c r="OI44" t="s">
        <v>783</v>
      </c>
      <c r="OJ44" t="s">
        <v>783</v>
      </c>
    </row>
    <row r="45" spans="1:400" x14ac:dyDescent="0.25">
      <c r="A45">
        <v>41</v>
      </c>
      <c r="B45" t="s">
        <v>246</v>
      </c>
      <c r="C45" t="s">
        <v>247</v>
      </c>
      <c r="D45" t="s">
        <v>57</v>
      </c>
      <c r="E45">
        <v>23</v>
      </c>
      <c r="F45" t="s">
        <v>87</v>
      </c>
      <c r="G45" t="s">
        <v>76</v>
      </c>
      <c r="H45" t="s">
        <v>60</v>
      </c>
      <c r="I45" t="s">
        <v>248</v>
      </c>
      <c r="J45" t="s">
        <v>62</v>
      </c>
      <c r="K45" t="s">
        <v>63</v>
      </c>
      <c r="M45" t="s">
        <v>146</v>
      </c>
      <c r="N45" t="s">
        <v>70</v>
      </c>
      <c r="O45">
        <v>3</v>
      </c>
      <c r="P45" s="1">
        <v>50000</v>
      </c>
      <c r="Q45" s="1" t="s">
        <v>208</v>
      </c>
      <c r="R45" t="s">
        <v>316</v>
      </c>
      <c r="S45" s="7">
        <v>50000</v>
      </c>
      <c r="T45" t="s">
        <v>70</v>
      </c>
      <c r="U45" s="5">
        <v>0</v>
      </c>
      <c r="V45" s="3" t="s">
        <v>70</v>
      </c>
      <c r="W45" s="5">
        <v>0</v>
      </c>
      <c r="X45" t="s">
        <v>94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 t="s">
        <v>63</v>
      </c>
      <c r="AR45">
        <v>1</v>
      </c>
      <c r="AS45" s="2">
        <v>0.5</v>
      </c>
      <c r="AT45" t="s">
        <v>503</v>
      </c>
      <c r="AU45">
        <v>0</v>
      </c>
      <c r="AV45">
        <v>0</v>
      </c>
      <c r="AW45">
        <v>0</v>
      </c>
      <c r="AX45">
        <v>1</v>
      </c>
      <c r="AY45">
        <v>0</v>
      </c>
      <c r="AZ45" t="s">
        <v>553</v>
      </c>
      <c r="BA45" t="s">
        <v>71</v>
      </c>
      <c r="BB45" t="s">
        <v>521</v>
      </c>
      <c r="BC45" t="s">
        <v>521</v>
      </c>
      <c r="BD45" t="s">
        <v>521</v>
      </c>
      <c r="BE45">
        <v>2017</v>
      </c>
      <c r="BF45">
        <v>6</v>
      </c>
      <c r="BG45" t="s">
        <v>508</v>
      </c>
      <c r="BH45">
        <v>1</v>
      </c>
      <c r="BI45">
        <v>0</v>
      </c>
      <c r="BJ45">
        <v>0</v>
      </c>
      <c r="BK45">
        <v>0</v>
      </c>
      <c r="BL45">
        <v>0</v>
      </c>
      <c r="BM45" t="s">
        <v>84</v>
      </c>
      <c r="BN45" t="s">
        <v>84</v>
      </c>
      <c r="CM45" t="s">
        <v>785</v>
      </c>
      <c r="CN45" t="s">
        <v>84</v>
      </c>
      <c r="CO45" t="s">
        <v>84</v>
      </c>
      <c r="CZ45" s="26"/>
      <c r="DA45" s="27"/>
      <c r="DB45" t="s">
        <v>976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J45" t="s">
        <v>84</v>
      </c>
      <c r="DK45" s="35"/>
      <c r="DL45" s="37"/>
      <c r="FI45" t="s">
        <v>733</v>
      </c>
      <c r="FJ45" t="s">
        <v>1316</v>
      </c>
      <c r="FK45" t="s">
        <v>733</v>
      </c>
      <c r="FL45" t="s">
        <v>1316</v>
      </c>
      <c r="FM45" t="s">
        <v>733</v>
      </c>
      <c r="FN45" t="s">
        <v>2291</v>
      </c>
      <c r="FO45" t="s">
        <v>733</v>
      </c>
      <c r="FP45" t="s">
        <v>2292</v>
      </c>
      <c r="FQ45" t="s">
        <v>733</v>
      </c>
      <c r="FR45" t="s">
        <v>1759</v>
      </c>
      <c r="FS45" t="s">
        <v>733</v>
      </c>
      <c r="FT45" t="s">
        <v>2293</v>
      </c>
      <c r="FU45" t="s">
        <v>733</v>
      </c>
      <c r="FV45" t="s">
        <v>2294</v>
      </c>
      <c r="FW45" t="s">
        <v>733</v>
      </c>
      <c r="FX45" t="s">
        <v>1396</v>
      </c>
      <c r="FY45" t="s">
        <v>733</v>
      </c>
      <c r="FZ45" t="s">
        <v>1316</v>
      </c>
      <c r="GA45" t="s">
        <v>733</v>
      </c>
      <c r="GB45" t="s">
        <v>2295</v>
      </c>
      <c r="GC45" t="s">
        <v>733</v>
      </c>
      <c r="GD45" t="s">
        <v>2241</v>
      </c>
      <c r="GE45" t="s">
        <v>733</v>
      </c>
      <c r="GF45" t="s">
        <v>2296</v>
      </c>
      <c r="GG45" t="s">
        <v>746</v>
      </c>
      <c r="GH45" t="s">
        <v>2297</v>
      </c>
      <c r="GI45" t="s">
        <v>746</v>
      </c>
      <c r="GJ45" t="s">
        <v>2298</v>
      </c>
      <c r="GK45" t="s">
        <v>733</v>
      </c>
      <c r="GL45" t="s">
        <v>2221</v>
      </c>
      <c r="GM45" t="s">
        <v>733</v>
      </c>
      <c r="GN45" t="s">
        <v>1415</v>
      </c>
      <c r="GO45" t="s">
        <v>733</v>
      </c>
      <c r="GP45" t="s">
        <v>2241</v>
      </c>
      <c r="GQ45" t="s">
        <v>733</v>
      </c>
      <c r="GR45" t="s">
        <v>2299</v>
      </c>
      <c r="GS45" t="s">
        <v>733</v>
      </c>
      <c r="GT45" t="s">
        <v>2300</v>
      </c>
      <c r="GU45" t="s">
        <v>733</v>
      </c>
      <c r="GV45" t="s">
        <v>2301</v>
      </c>
      <c r="GW45" t="s">
        <v>733</v>
      </c>
      <c r="GX45" t="s">
        <v>1316</v>
      </c>
      <c r="GY45" t="s">
        <v>733</v>
      </c>
      <c r="GZ45" t="s">
        <v>1415</v>
      </c>
      <c r="HA45" t="s">
        <v>733</v>
      </c>
      <c r="HB45" t="s">
        <v>1316</v>
      </c>
      <c r="HC45" t="s">
        <v>733</v>
      </c>
      <c r="HD45" t="s">
        <v>1415</v>
      </c>
      <c r="HE45" t="s">
        <v>733</v>
      </c>
      <c r="HF45" t="s">
        <v>1316</v>
      </c>
      <c r="HG45" t="s">
        <v>733</v>
      </c>
      <c r="HH45" t="s">
        <v>1316</v>
      </c>
      <c r="HI45" t="s">
        <v>733</v>
      </c>
      <c r="HJ45" t="s">
        <v>1415</v>
      </c>
      <c r="HK45" t="s">
        <v>746</v>
      </c>
      <c r="HL45" t="s">
        <v>1408</v>
      </c>
      <c r="HM45" t="s">
        <v>746</v>
      </c>
      <c r="HN45" t="s">
        <v>1408</v>
      </c>
      <c r="HO45" t="s">
        <v>746</v>
      </c>
      <c r="HP45" t="s">
        <v>2302</v>
      </c>
      <c r="HQ45" t="s">
        <v>746</v>
      </c>
      <c r="HR45" t="s">
        <v>2303</v>
      </c>
      <c r="HS45" t="s">
        <v>736</v>
      </c>
      <c r="HT45" t="s">
        <v>1797</v>
      </c>
      <c r="HU45" t="s">
        <v>736</v>
      </c>
      <c r="HV45" t="s">
        <v>1764</v>
      </c>
      <c r="HW45" t="s">
        <v>736</v>
      </c>
      <c r="HX45" t="s">
        <v>2304</v>
      </c>
      <c r="HY45" t="s">
        <v>736</v>
      </c>
      <c r="HZ45" t="s">
        <v>2305</v>
      </c>
      <c r="IA45" t="s">
        <v>733</v>
      </c>
      <c r="IB45" t="s">
        <v>2221</v>
      </c>
      <c r="IC45" t="s">
        <v>733</v>
      </c>
      <c r="ID45" t="s">
        <v>1415</v>
      </c>
      <c r="IE45" t="s">
        <v>746</v>
      </c>
      <c r="IF45" t="s">
        <v>1408</v>
      </c>
      <c r="IG45" t="s">
        <v>746</v>
      </c>
      <c r="IH45" t="s">
        <v>1336</v>
      </c>
      <c r="II45" t="s">
        <v>733</v>
      </c>
      <c r="IJ45" t="s">
        <v>1415</v>
      </c>
      <c r="IK45" t="s">
        <v>733</v>
      </c>
      <c r="IL45" t="s">
        <v>1415</v>
      </c>
      <c r="IM45" t="s">
        <v>733</v>
      </c>
      <c r="IN45" t="s">
        <v>1770</v>
      </c>
      <c r="IO45" t="s">
        <v>733</v>
      </c>
      <c r="IP45" t="s">
        <v>1771</v>
      </c>
      <c r="IQ45" t="s">
        <v>746</v>
      </c>
      <c r="IR45" t="s">
        <v>2306</v>
      </c>
      <c r="IS45" t="s">
        <v>746</v>
      </c>
      <c r="IT45" t="s">
        <v>1868</v>
      </c>
      <c r="IU45" t="s">
        <v>746</v>
      </c>
      <c r="IV45" t="s">
        <v>2307</v>
      </c>
      <c r="IW45" t="s">
        <v>746</v>
      </c>
      <c r="IX45" t="s">
        <v>2051</v>
      </c>
      <c r="IY45" t="s">
        <v>746</v>
      </c>
      <c r="IZ45" t="s">
        <v>1408</v>
      </c>
      <c r="JA45" t="s">
        <v>746</v>
      </c>
      <c r="JB45" t="s">
        <v>1375</v>
      </c>
      <c r="JC45" t="s">
        <v>746</v>
      </c>
      <c r="JD45" t="s">
        <v>1375</v>
      </c>
      <c r="JE45" t="s">
        <v>746</v>
      </c>
      <c r="JF45" t="s">
        <v>1868</v>
      </c>
      <c r="JG45" t="s">
        <v>746</v>
      </c>
      <c r="JH45" t="s">
        <v>1375</v>
      </c>
      <c r="JI45" t="s">
        <v>746</v>
      </c>
      <c r="JJ45" t="s">
        <v>1868</v>
      </c>
      <c r="JK45" t="s">
        <v>746</v>
      </c>
      <c r="JL45" t="s">
        <v>1868</v>
      </c>
      <c r="JM45" t="s">
        <v>746</v>
      </c>
      <c r="JN45" t="s">
        <v>1816</v>
      </c>
      <c r="JO45" t="s">
        <v>746</v>
      </c>
      <c r="JP45" t="s">
        <v>1868</v>
      </c>
      <c r="JQ45" t="s">
        <v>746</v>
      </c>
      <c r="JR45" t="s">
        <v>1770</v>
      </c>
      <c r="JS45" t="s">
        <v>746</v>
      </c>
      <c r="JT45" t="s">
        <v>1770</v>
      </c>
      <c r="JU45" t="s">
        <v>746</v>
      </c>
      <c r="JV45" t="s">
        <v>1770</v>
      </c>
      <c r="JW45" t="s">
        <v>746</v>
      </c>
      <c r="JX45" t="s">
        <v>1770</v>
      </c>
      <c r="JY45" t="s">
        <v>746</v>
      </c>
      <c r="JZ45" t="s">
        <v>1408</v>
      </c>
      <c r="KA45" t="s">
        <v>746</v>
      </c>
      <c r="KB45" t="s">
        <v>1375</v>
      </c>
      <c r="KC45" t="s">
        <v>746</v>
      </c>
      <c r="KD45" t="s">
        <v>1408</v>
      </c>
      <c r="KE45" t="s">
        <v>746</v>
      </c>
      <c r="KF45" t="s">
        <v>1375</v>
      </c>
      <c r="KG45" t="s">
        <v>746</v>
      </c>
      <c r="KH45" t="s">
        <v>1408</v>
      </c>
      <c r="KI45" t="s">
        <v>746</v>
      </c>
      <c r="KJ45" t="s">
        <v>1375</v>
      </c>
      <c r="KK45" t="s">
        <v>746</v>
      </c>
      <c r="KL45" t="s">
        <v>1408</v>
      </c>
      <c r="KM45" t="s">
        <v>746</v>
      </c>
      <c r="KN45" t="s">
        <v>1770</v>
      </c>
      <c r="KO45" t="s">
        <v>746</v>
      </c>
      <c r="KP45" t="s">
        <v>1868</v>
      </c>
      <c r="KQ45" t="s">
        <v>746</v>
      </c>
      <c r="KR45" t="s">
        <v>1770</v>
      </c>
      <c r="KS45" t="s">
        <v>746</v>
      </c>
      <c r="KT45" t="s">
        <v>1868</v>
      </c>
      <c r="KU45" t="s">
        <v>746</v>
      </c>
      <c r="KV45" t="s">
        <v>2308</v>
      </c>
      <c r="KW45" t="s">
        <v>746</v>
      </c>
      <c r="KX45" t="s">
        <v>1408</v>
      </c>
      <c r="KY45" t="s">
        <v>746</v>
      </c>
      <c r="KZ45" t="s">
        <v>1770</v>
      </c>
      <c r="LA45" t="s">
        <v>746</v>
      </c>
      <c r="LB45" t="s">
        <v>1770</v>
      </c>
      <c r="LC45" t="s">
        <v>746</v>
      </c>
      <c r="LD45" t="s">
        <v>1770</v>
      </c>
      <c r="LE45" t="s">
        <v>746</v>
      </c>
      <c r="LF45" t="s">
        <v>1319</v>
      </c>
      <c r="LG45" t="s">
        <v>746</v>
      </c>
      <c r="LH45" t="s">
        <v>2309</v>
      </c>
      <c r="LI45" t="s">
        <v>746</v>
      </c>
      <c r="LJ45" t="s">
        <v>2310</v>
      </c>
      <c r="LK45" t="s">
        <v>746</v>
      </c>
      <c r="LL45" t="s">
        <v>1375</v>
      </c>
      <c r="LM45" t="s">
        <v>746</v>
      </c>
      <c r="LN45" t="s">
        <v>1408</v>
      </c>
      <c r="LO45" t="s">
        <v>746</v>
      </c>
      <c r="LP45" t="s">
        <v>2101</v>
      </c>
      <c r="LQ45" t="s">
        <v>746</v>
      </c>
      <c r="LR45" t="s">
        <v>1319</v>
      </c>
      <c r="LS45" t="s">
        <v>746</v>
      </c>
      <c r="LT45" t="s">
        <v>2311</v>
      </c>
      <c r="LU45" t="s">
        <v>746</v>
      </c>
      <c r="LV45" t="s">
        <v>2312</v>
      </c>
      <c r="LW45" t="s">
        <v>746</v>
      </c>
      <c r="LX45" t="s">
        <v>1771</v>
      </c>
      <c r="LY45" t="s">
        <v>746</v>
      </c>
      <c r="LZ45" t="s">
        <v>2313</v>
      </c>
      <c r="MA45" t="s">
        <v>746</v>
      </c>
      <c r="MB45" t="s">
        <v>1771</v>
      </c>
      <c r="MC45" t="s">
        <v>746</v>
      </c>
      <c r="MD45" t="s">
        <v>1319</v>
      </c>
      <c r="ME45" t="s">
        <v>746</v>
      </c>
      <c r="MF45" t="s">
        <v>1319</v>
      </c>
      <c r="MG45" t="s">
        <v>746</v>
      </c>
      <c r="MH45" t="s">
        <v>1319</v>
      </c>
      <c r="MI45" t="s">
        <v>746</v>
      </c>
      <c r="MJ45" t="s">
        <v>1868</v>
      </c>
      <c r="MK45" t="s">
        <v>746</v>
      </c>
      <c r="ML45" t="s">
        <v>2314</v>
      </c>
      <c r="MM45" t="s">
        <v>70</v>
      </c>
      <c r="MO45" t="s">
        <v>783</v>
      </c>
      <c r="MP45" t="s">
        <v>784</v>
      </c>
      <c r="MQ45" t="s">
        <v>783</v>
      </c>
      <c r="MR45" t="s">
        <v>783</v>
      </c>
      <c r="MS45" t="s">
        <v>783</v>
      </c>
      <c r="MT45" t="s">
        <v>783</v>
      </c>
      <c r="MU45" t="s">
        <v>784</v>
      </c>
      <c r="MV45" t="s">
        <v>784</v>
      </c>
      <c r="MW45" t="s">
        <v>783</v>
      </c>
      <c r="MX45" t="s">
        <v>783</v>
      </c>
      <c r="MZ45" t="s">
        <v>783</v>
      </c>
      <c r="NA45" t="s">
        <v>783</v>
      </c>
      <c r="NB45" t="s">
        <v>783</v>
      </c>
      <c r="NC45" t="s">
        <v>783</v>
      </c>
      <c r="ND45" t="s">
        <v>784</v>
      </c>
      <c r="NE45" t="s">
        <v>784</v>
      </c>
      <c r="NF45" t="s">
        <v>783</v>
      </c>
      <c r="NG45" t="s">
        <v>783</v>
      </c>
      <c r="NH45" t="s">
        <v>783</v>
      </c>
      <c r="NI45" t="s">
        <v>783</v>
      </c>
      <c r="NJ45" t="s">
        <v>783</v>
      </c>
      <c r="NK45" t="s">
        <v>783</v>
      </c>
      <c r="NL45" t="s">
        <v>783</v>
      </c>
      <c r="NM45" t="s">
        <v>783</v>
      </c>
      <c r="NN45" t="s">
        <v>784</v>
      </c>
      <c r="NO45" t="s">
        <v>783</v>
      </c>
      <c r="NP45" t="s">
        <v>783</v>
      </c>
      <c r="NQ45" t="s">
        <v>783</v>
      </c>
      <c r="NR45" t="s">
        <v>784</v>
      </c>
      <c r="NS45" t="s">
        <v>784</v>
      </c>
      <c r="NT45" t="s">
        <v>784</v>
      </c>
      <c r="NU45" t="s">
        <v>783</v>
      </c>
      <c r="NV45" t="s">
        <v>784</v>
      </c>
      <c r="NW45" t="s">
        <v>784</v>
      </c>
      <c r="NX45" t="s">
        <v>784</v>
      </c>
      <c r="NY45" t="s">
        <v>783</v>
      </c>
      <c r="NZ45" t="s">
        <v>783</v>
      </c>
      <c r="OA45" t="s">
        <v>783</v>
      </c>
      <c r="OB45" t="s">
        <v>784</v>
      </c>
      <c r="OC45" t="s">
        <v>784</v>
      </c>
      <c r="OD45" t="s">
        <v>783</v>
      </c>
      <c r="OE45" t="s">
        <v>783</v>
      </c>
      <c r="OF45" t="s">
        <v>783</v>
      </c>
      <c r="OG45" t="s">
        <v>783</v>
      </c>
      <c r="OH45" t="s">
        <v>783</v>
      </c>
      <c r="OI45" t="s">
        <v>784</v>
      </c>
      <c r="OJ45" t="s">
        <v>784</v>
      </c>
    </row>
    <row r="46" spans="1:400" x14ac:dyDescent="0.25">
      <c r="A46">
        <v>42</v>
      </c>
      <c r="B46" t="s">
        <v>212</v>
      </c>
      <c r="C46" t="s">
        <v>213</v>
      </c>
      <c r="D46" t="s">
        <v>97</v>
      </c>
      <c r="E46">
        <v>45</v>
      </c>
      <c r="F46" t="s">
        <v>58</v>
      </c>
      <c r="G46" t="s">
        <v>59</v>
      </c>
      <c r="H46" t="s">
        <v>60</v>
      </c>
      <c r="I46" t="s">
        <v>61</v>
      </c>
      <c r="J46" t="s">
        <v>62</v>
      </c>
      <c r="K46" t="s">
        <v>84</v>
      </c>
      <c r="L46" t="s">
        <v>98</v>
      </c>
      <c r="M46" t="s">
        <v>146</v>
      </c>
      <c r="N46" t="s">
        <v>70</v>
      </c>
      <c r="O46">
        <v>6</v>
      </c>
      <c r="P46" s="1">
        <v>120000</v>
      </c>
      <c r="Q46" s="1" t="s">
        <v>208</v>
      </c>
      <c r="R46" t="s">
        <v>215</v>
      </c>
      <c r="S46" s="7">
        <v>120000</v>
      </c>
      <c r="T46" t="s">
        <v>70</v>
      </c>
      <c r="U46" s="5">
        <v>0</v>
      </c>
      <c r="V46" s="3" t="s">
        <v>70</v>
      </c>
      <c r="W46" s="5">
        <v>0</v>
      </c>
      <c r="X46" t="s">
        <v>73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P46" t="s">
        <v>63</v>
      </c>
      <c r="AR46">
        <v>1</v>
      </c>
      <c r="AS46" s="2">
        <v>2</v>
      </c>
      <c r="AT46" t="s">
        <v>503</v>
      </c>
      <c r="AU46">
        <v>0</v>
      </c>
      <c r="AV46">
        <v>0</v>
      </c>
      <c r="AW46">
        <v>0</v>
      </c>
      <c r="AX46">
        <v>1</v>
      </c>
      <c r="AY46">
        <v>0</v>
      </c>
      <c r="AZ46" t="s">
        <v>550</v>
      </c>
      <c r="BA46" t="s">
        <v>511</v>
      </c>
      <c r="BC46" t="s">
        <v>512</v>
      </c>
      <c r="BD46" t="s">
        <v>507</v>
      </c>
      <c r="BE46">
        <v>2019</v>
      </c>
      <c r="BF46">
        <v>4</v>
      </c>
      <c r="BG46" t="s">
        <v>508</v>
      </c>
      <c r="BH46">
        <v>1</v>
      </c>
      <c r="BI46">
        <v>0</v>
      </c>
      <c r="BJ46">
        <v>0</v>
      </c>
      <c r="BK46">
        <v>0</v>
      </c>
      <c r="BL46">
        <v>0</v>
      </c>
      <c r="BM46" t="s">
        <v>63</v>
      </c>
      <c r="BN46" t="s">
        <v>63</v>
      </c>
      <c r="BO46" t="s">
        <v>3892</v>
      </c>
      <c r="BP46" t="s">
        <v>3845</v>
      </c>
      <c r="BR46" t="s">
        <v>3893</v>
      </c>
      <c r="BS46" t="s">
        <v>3838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CA46" t="s">
        <v>3839</v>
      </c>
      <c r="CC46" t="s">
        <v>3840</v>
      </c>
      <c r="CD46" t="s">
        <v>3841</v>
      </c>
      <c r="CE46" t="s">
        <v>3867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N46" t="s">
        <v>63</v>
      </c>
      <c r="CO46" t="s">
        <v>732</v>
      </c>
      <c r="CZ46" s="26"/>
      <c r="DA46" s="27"/>
      <c r="DJ46" t="s">
        <v>84</v>
      </c>
      <c r="DK46" s="35"/>
      <c r="DL46" s="37"/>
      <c r="FI46" t="s">
        <v>736</v>
      </c>
      <c r="FJ46" t="s">
        <v>2315</v>
      </c>
      <c r="FK46" t="s">
        <v>736</v>
      </c>
      <c r="FL46" t="s">
        <v>2316</v>
      </c>
      <c r="FM46" t="s">
        <v>736</v>
      </c>
      <c r="FN46" t="s">
        <v>1447</v>
      </c>
      <c r="FO46" t="s">
        <v>736</v>
      </c>
      <c r="FP46" t="s">
        <v>1375</v>
      </c>
      <c r="FQ46" t="s">
        <v>733</v>
      </c>
      <c r="FR46" t="s">
        <v>817</v>
      </c>
      <c r="FS46" t="s">
        <v>733</v>
      </c>
      <c r="FT46" t="s">
        <v>2317</v>
      </c>
      <c r="FU46" t="s">
        <v>733</v>
      </c>
      <c r="FV46" t="s">
        <v>2318</v>
      </c>
      <c r="FW46" t="s">
        <v>733</v>
      </c>
      <c r="FX46" t="s">
        <v>2319</v>
      </c>
      <c r="FY46" t="s">
        <v>733</v>
      </c>
      <c r="FZ46" t="s">
        <v>2320</v>
      </c>
      <c r="GA46" t="s">
        <v>733</v>
      </c>
      <c r="GB46" t="s">
        <v>1392</v>
      </c>
      <c r="GC46" t="s">
        <v>733</v>
      </c>
      <c r="GD46" t="s">
        <v>1498</v>
      </c>
      <c r="GE46" t="s">
        <v>736</v>
      </c>
      <c r="GF46" t="s">
        <v>1512</v>
      </c>
      <c r="GG46" t="s">
        <v>746</v>
      </c>
      <c r="GH46" t="s">
        <v>2321</v>
      </c>
      <c r="GI46" t="s">
        <v>733</v>
      </c>
      <c r="GJ46" t="s">
        <v>2322</v>
      </c>
      <c r="GK46" t="s">
        <v>736</v>
      </c>
      <c r="GL46" t="s">
        <v>2323</v>
      </c>
      <c r="GM46" t="s">
        <v>736</v>
      </c>
      <c r="GN46" t="s">
        <v>2324</v>
      </c>
      <c r="GO46" t="s">
        <v>736</v>
      </c>
      <c r="GP46" t="s">
        <v>1557</v>
      </c>
      <c r="GQ46" t="s">
        <v>733</v>
      </c>
      <c r="GR46" t="s">
        <v>1572</v>
      </c>
      <c r="GS46" t="s">
        <v>736</v>
      </c>
      <c r="GT46" t="s">
        <v>2325</v>
      </c>
      <c r="GU46" t="s">
        <v>736</v>
      </c>
      <c r="GV46" t="s">
        <v>1644</v>
      </c>
      <c r="GW46" t="s">
        <v>733</v>
      </c>
      <c r="GX46" t="s">
        <v>2326</v>
      </c>
      <c r="GY46" t="s">
        <v>733</v>
      </c>
      <c r="GZ46" t="s">
        <v>2327</v>
      </c>
      <c r="HA46" t="s">
        <v>733</v>
      </c>
      <c r="HB46" t="s">
        <v>2327</v>
      </c>
      <c r="HC46" t="s">
        <v>733</v>
      </c>
      <c r="HD46" t="s">
        <v>2328</v>
      </c>
      <c r="HE46" t="s">
        <v>733</v>
      </c>
      <c r="HF46" t="s">
        <v>2327</v>
      </c>
      <c r="HG46" t="s">
        <v>733</v>
      </c>
      <c r="HH46" t="s">
        <v>2329</v>
      </c>
      <c r="HI46" t="s">
        <v>733</v>
      </c>
      <c r="HJ46" t="s">
        <v>2327</v>
      </c>
      <c r="HL46" t="s">
        <v>938</v>
      </c>
      <c r="HN46" t="s">
        <v>938</v>
      </c>
      <c r="HP46" t="s">
        <v>938</v>
      </c>
      <c r="HR46" t="s">
        <v>938</v>
      </c>
      <c r="HS46" t="s">
        <v>733</v>
      </c>
      <c r="HT46" t="s">
        <v>1577</v>
      </c>
      <c r="HU46" t="s">
        <v>733</v>
      </c>
      <c r="HV46" t="s">
        <v>2330</v>
      </c>
      <c r="HW46" t="s">
        <v>736</v>
      </c>
      <c r="HX46" t="s">
        <v>2331</v>
      </c>
      <c r="HY46" t="s">
        <v>736</v>
      </c>
      <c r="HZ46" t="s">
        <v>2332</v>
      </c>
      <c r="IA46" t="s">
        <v>736</v>
      </c>
      <c r="IB46" t="s">
        <v>2333</v>
      </c>
      <c r="IC46" t="s">
        <v>733</v>
      </c>
      <c r="ID46" t="s">
        <v>2334</v>
      </c>
      <c r="IE46" t="s">
        <v>746</v>
      </c>
      <c r="IF46" t="s">
        <v>2335</v>
      </c>
      <c r="IG46" t="s">
        <v>746</v>
      </c>
      <c r="IH46" t="s">
        <v>2168</v>
      </c>
      <c r="II46" t="s">
        <v>736</v>
      </c>
      <c r="IJ46" t="s">
        <v>1548</v>
      </c>
      <c r="IK46" t="s">
        <v>736</v>
      </c>
      <c r="IL46" t="s">
        <v>2336</v>
      </c>
      <c r="IM46" t="s">
        <v>733</v>
      </c>
      <c r="IN46" t="s">
        <v>2337</v>
      </c>
      <c r="IO46" t="s">
        <v>733</v>
      </c>
      <c r="IP46" t="s">
        <v>2338</v>
      </c>
      <c r="IQ46" t="s">
        <v>733</v>
      </c>
      <c r="IR46" t="s">
        <v>2339</v>
      </c>
      <c r="IS46" t="s">
        <v>733</v>
      </c>
      <c r="IT46" t="s">
        <v>1572</v>
      </c>
      <c r="IU46" t="s">
        <v>733</v>
      </c>
      <c r="IV46" t="s">
        <v>2340</v>
      </c>
      <c r="IW46" t="s">
        <v>733</v>
      </c>
      <c r="IX46" t="s">
        <v>2188</v>
      </c>
      <c r="IY46" t="s">
        <v>733</v>
      </c>
      <c r="IZ46" t="s">
        <v>2188</v>
      </c>
      <c r="JA46" t="s">
        <v>733</v>
      </c>
      <c r="JB46" t="s">
        <v>2341</v>
      </c>
      <c r="JC46" t="s">
        <v>733</v>
      </c>
      <c r="JD46" t="s">
        <v>2188</v>
      </c>
      <c r="JE46" t="s">
        <v>733</v>
      </c>
      <c r="JF46" t="s">
        <v>2188</v>
      </c>
      <c r="JH46" t="s">
        <v>938</v>
      </c>
      <c r="JJ46" t="s">
        <v>938</v>
      </c>
      <c r="JL46" t="s">
        <v>938</v>
      </c>
      <c r="JN46" t="s">
        <v>938</v>
      </c>
      <c r="JP46" t="s">
        <v>938</v>
      </c>
      <c r="JR46" t="s">
        <v>938</v>
      </c>
      <c r="JS46" t="s">
        <v>733</v>
      </c>
      <c r="JT46" t="s">
        <v>2340</v>
      </c>
      <c r="JU46" t="s">
        <v>733</v>
      </c>
      <c r="JV46" t="s">
        <v>2342</v>
      </c>
      <c r="JW46" t="s">
        <v>733</v>
      </c>
      <c r="JX46" t="s">
        <v>2338</v>
      </c>
      <c r="JY46" t="s">
        <v>733</v>
      </c>
      <c r="JZ46" t="s">
        <v>2342</v>
      </c>
      <c r="KA46" t="s">
        <v>733</v>
      </c>
      <c r="KB46" t="s">
        <v>2343</v>
      </c>
      <c r="KC46" t="s">
        <v>733</v>
      </c>
      <c r="KD46" t="s">
        <v>2338</v>
      </c>
      <c r="KE46" t="s">
        <v>733</v>
      </c>
      <c r="KF46" t="s">
        <v>2344</v>
      </c>
      <c r="KG46" t="s">
        <v>733</v>
      </c>
      <c r="KH46" t="s">
        <v>2345</v>
      </c>
      <c r="KI46" t="s">
        <v>733</v>
      </c>
      <c r="KJ46" t="s">
        <v>2346</v>
      </c>
      <c r="KK46" t="s">
        <v>733</v>
      </c>
      <c r="KL46" t="s">
        <v>2343</v>
      </c>
      <c r="KM46" t="s">
        <v>733</v>
      </c>
      <c r="KN46" t="s">
        <v>2347</v>
      </c>
      <c r="KO46" t="s">
        <v>733</v>
      </c>
      <c r="KP46" t="s">
        <v>2342</v>
      </c>
      <c r="KQ46" t="s">
        <v>733</v>
      </c>
      <c r="KR46" t="s">
        <v>2348</v>
      </c>
      <c r="KS46" t="s">
        <v>733</v>
      </c>
      <c r="KT46" t="s">
        <v>2346</v>
      </c>
      <c r="KU46" t="s">
        <v>733</v>
      </c>
      <c r="KV46" t="s">
        <v>2349</v>
      </c>
      <c r="KW46" t="s">
        <v>733</v>
      </c>
      <c r="KX46" t="s">
        <v>2348</v>
      </c>
      <c r="KY46" t="s">
        <v>733</v>
      </c>
      <c r="KZ46" t="s">
        <v>2347</v>
      </c>
      <c r="LA46" t="s">
        <v>733</v>
      </c>
      <c r="LB46" t="s">
        <v>2349</v>
      </c>
      <c r="LC46" t="s">
        <v>736</v>
      </c>
      <c r="LD46" t="s">
        <v>2350</v>
      </c>
      <c r="LE46" t="s">
        <v>736</v>
      </c>
      <c r="LF46" t="s">
        <v>2197</v>
      </c>
      <c r="LG46" t="s">
        <v>736</v>
      </c>
      <c r="LH46" t="s">
        <v>2351</v>
      </c>
      <c r="LI46" t="s">
        <v>736</v>
      </c>
      <c r="LJ46" t="s">
        <v>2352</v>
      </c>
      <c r="LK46" t="s">
        <v>733</v>
      </c>
      <c r="LL46" t="s">
        <v>2340</v>
      </c>
      <c r="LM46" t="s">
        <v>733</v>
      </c>
      <c r="LN46" t="s">
        <v>2353</v>
      </c>
      <c r="LO46" t="s">
        <v>736</v>
      </c>
      <c r="LP46" t="s">
        <v>1639</v>
      </c>
      <c r="LQ46" t="s">
        <v>736</v>
      </c>
      <c r="LR46" t="s">
        <v>2354</v>
      </c>
      <c r="LS46" t="s">
        <v>733</v>
      </c>
      <c r="LT46" t="s">
        <v>2355</v>
      </c>
      <c r="LU46" t="s">
        <v>733</v>
      </c>
      <c r="LV46" t="s">
        <v>2356</v>
      </c>
      <c r="LW46" t="s">
        <v>733</v>
      </c>
      <c r="LX46" t="s">
        <v>1392</v>
      </c>
      <c r="LY46" t="s">
        <v>733</v>
      </c>
      <c r="LZ46" t="s">
        <v>2356</v>
      </c>
      <c r="MA46" t="s">
        <v>733</v>
      </c>
      <c r="MB46" t="s">
        <v>1502</v>
      </c>
      <c r="MC46" t="s">
        <v>733</v>
      </c>
      <c r="MD46" t="s">
        <v>2356</v>
      </c>
      <c r="ME46" t="s">
        <v>733</v>
      </c>
      <c r="MF46" t="s">
        <v>2357</v>
      </c>
      <c r="MG46" t="s">
        <v>733</v>
      </c>
      <c r="MH46" t="s">
        <v>2358</v>
      </c>
      <c r="MI46" t="s">
        <v>733</v>
      </c>
      <c r="MJ46" t="s">
        <v>2184</v>
      </c>
      <c r="MK46" t="s">
        <v>733</v>
      </c>
      <c r="ML46" t="s">
        <v>2346</v>
      </c>
      <c r="MM46" t="s">
        <v>70</v>
      </c>
      <c r="MO46" t="s">
        <v>783</v>
      </c>
      <c r="MP46" t="s">
        <v>783</v>
      </c>
      <c r="MQ46" t="s">
        <v>783</v>
      </c>
      <c r="MR46" t="s">
        <v>783</v>
      </c>
      <c r="MS46" t="s">
        <v>783</v>
      </c>
      <c r="MT46" t="s">
        <v>783</v>
      </c>
      <c r="MU46" t="s">
        <v>783</v>
      </c>
      <c r="MV46" t="s">
        <v>783</v>
      </c>
      <c r="MW46" t="s">
        <v>783</v>
      </c>
      <c r="MX46" t="s">
        <v>783</v>
      </c>
      <c r="MZ46" t="s">
        <v>783</v>
      </c>
      <c r="NA46" t="s">
        <v>783</v>
      </c>
      <c r="NB46" t="s">
        <v>783</v>
      </c>
      <c r="NC46" t="s">
        <v>783</v>
      </c>
      <c r="ND46" t="s">
        <v>784</v>
      </c>
      <c r="NE46" t="s">
        <v>784</v>
      </c>
      <c r="NF46" t="s">
        <v>907</v>
      </c>
      <c r="NG46" t="s">
        <v>784</v>
      </c>
      <c r="NH46" t="s">
        <v>783</v>
      </c>
      <c r="NI46" t="s">
        <v>784</v>
      </c>
      <c r="NJ46" t="s">
        <v>783</v>
      </c>
      <c r="NK46" t="s">
        <v>783</v>
      </c>
      <c r="NL46" t="s">
        <v>783</v>
      </c>
      <c r="NM46" t="s">
        <v>783</v>
      </c>
      <c r="NN46" t="s">
        <v>784</v>
      </c>
      <c r="NO46" t="s">
        <v>784</v>
      </c>
      <c r="NP46" t="s">
        <v>783</v>
      </c>
      <c r="NQ46" t="s">
        <v>783</v>
      </c>
      <c r="NR46" t="s">
        <v>783</v>
      </c>
      <c r="NS46" t="s">
        <v>783</v>
      </c>
      <c r="NT46" t="s">
        <v>784</v>
      </c>
      <c r="NU46" t="s">
        <v>783</v>
      </c>
      <c r="NV46" t="s">
        <v>784</v>
      </c>
      <c r="NW46" t="s">
        <v>784</v>
      </c>
      <c r="NX46" t="s">
        <v>783</v>
      </c>
      <c r="NY46" t="s">
        <v>784</v>
      </c>
      <c r="NZ46" t="s">
        <v>783</v>
      </c>
      <c r="OA46" t="s">
        <v>783</v>
      </c>
      <c r="OB46" t="s">
        <v>784</v>
      </c>
      <c r="OC46" t="s">
        <v>784</v>
      </c>
      <c r="OD46" t="s">
        <v>783</v>
      </c>
      <c r="OE46" t="s">
        <v>783</v>
      </c>
      <c r="OF46" t="s">
        <v>783</v>
      </c>
      <c r="OG46" t="s">
        <v>783</v>
      </c>
      <c r="OH46" t="s">
        <v>783</v>
      </c>
      <c r="OI46" t="s">
        <v>783</v>
      </c>
      <c r="OJ46" t="s">
        <v>783</v>
      </c>
    </row>
    <row r="47" spans="1:400" x14ac:dyDescent="0.25">
      <c r="A47">
        <v>43</v>
      </c>
      <c r="B47" t="s">
        <v>2359</v>
      </c>
      <c r="C47" t="s">
        <v>254</v>
      </c>
      <c r="D47" t="s">
        <v>97</v>
      </c>
      <c r="E47">
        <v>53</v>
      </c>
      <c r="F47" t="s">
        <v>58</v>
      </c>
      <c r="G47" t="s">
        <v>255</v>
      </c>
      <c r="H47" t="s">
        <v>60</v>
      </c>
      <c r="I47" t="s">
        <v>61</v>
      </c>
      <c r="J47" t="s">
        <v>62</v>
      </c>
      <c r="K47" t="s">
        <v>63</v>
      </c>
      <c r="M47" t="s">
        <v>146</v>
      </c>
      <c r="N47" t="s">
        <v>256</v>
      </c>
      <c r="O47">
        <v>7</v>
      </c>
      <c r="P47" s="1">
        <v>20000</v>
      </c>
      <c r="Q47" s="1">
        <f>P47*0.3</f>
        <v>6000</v>
      </c>
      <c r="R47" t="s">
        <v>257</v>
      </c>
      <c r="S47" s="7">
        <v>16000</v>
      </c>
      <c r="T47" t="s">
        <v>70</v>
      </c>
      <c r="U47" s="5">
        <v>0</v>
      </c>
      <c r="V47" s="3" t="s">
        <v>4184</v>
      </c>
      <c r="W47" s="5">
        <v>9600</v>
      </c>
      <c r="X47" t="s">
        <v>94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 t="s">
        <v>63</v>
      </c>
      <c r="AR47">
        <v>1</v>
      </c>
      <c r="AS47" s="2">
        <v>0.5</v>
      </c>
      <c r="AT47" t="s">
        <v>509</v>
      </c>
      <c r="AU47">
        <v>0</v>
      </c>
      <c r="AV47">
        <v>1</v>
      </c>
      <c r="AW47">
        <v>0</v>
      </c>
      <c r="AX47">
        <v>0</v>
      </c>
      <c r="AY47">
        <v>0</v>
      </c>
      <c r="AZ47" t="s">
        <v>527</v>
      </c>
      <c r="BA47" t="s">
        <v>519</v>
      </c>
      <c r="BD47" t="s">
        <v>521</v>
      </c>
      <c r="BE47">
        <v>2022</v>
      </c>
      <c r="BF47">
        <v>1</v>
      </c>
      <c r="BG47" t="s">
        <v>508</v>
      </c>
      <c r="BH47">
        <v>1</v>
      </c>
      <c r="BI47">
        <v>0</v>
      </c>
      <c r="BJ47">
        <v>0</v>
      </c>
      <c r="BK47">
        <v>0</v>
      </c>
      <c r="BL47">
        <v>0</v>
      </c>
      <c r="BM47" t="s">
        <v>84</v>
      </c>
      <c r="BN47" t="s">
        <v>84</v>
      </c>
      <c r="CM47" t="s">
        <v>1072</v>
      </c>
      <c r="CN47" t="s">
        <v>84</v>
      </c>
      <c r="CO47" t="s">
        <v>84</v>
      </c>
      <c r="CZ47" s="26"/>
      <c r="DA47" s="27"/>
      <c r="DB47" t="s">
        <v>976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J47" t="s">
        <v>84</v>
      </c>
      <c r="DK47" s="35"/>
      <c r="DL47" s="37"/>
      <c r="FI47" t="s">
        <v>736</v>
      </c>
      <c r="FJ47" t="s">
        <v>2360</v>
      </c>
      <c r="FK47" t="s">
        <v>733</v>
      </c>
      <c r="FL47" t="s">
        <v>2361</v>
      </c>
      <c r="FM47" t="s">
        <v>736</v>
      </c>
      <c r="FN47" t="s">
        <v>1882</v>
      </c>
      <c r="FO47" t="s">
        <v>736</v>
      </c>
      <c r="FP47" t="s">
        <v>1882</v>
      </c>
      <c r="FQ47" t="s">
        <v>736</v>
      </c>
      <c r="FR47" t="s">
        <v>1122</v>
      </c>
      <c r="FS47" t="s">
        <v>736</v>
      </c>
      <c r="FT47" t="s">
        <v>1122</v>
      </c>
      <c r="FU47" t="s">
        <v>736</v>
      </c>
      <c r="FV47" t="s">
        <v>1122</v>
      </c>
      <c r="FW47" t="s">
        <v>736</v>
      </c>
      <c r="FX47" t="s">
        <v>1122</v>
      </c>
      <c r="FY47" t="s">
        <v>736</v>
      </c>
      <c r="FZ47" t="s">
        <v>1882</v>
      </c>
      <c r="GA47" t="s">
        <v>736</v>
      </c>
      <c r="GB47" t="s">
        <v>1882</v>
      </c>
      <c r="GC47" t="s">
        <v>736</v>
      </c>
      <c r="GD47" t="s">
        <v>1882</v>
      </c>
      <c r="GE47" t="s">
        <v>736</v>
      </c>
      <c r="GF47" t="s">
        <v>1882</v>
      </c>
      <c r="GG47" t="s">
        <v>746</v>
      </c>
      <c r="GH47" t="s">
        <v>2362</v>
      </c>
      <c r="GI47" t="s">
        <v>746</v>
      </c>
      <c r="GJ47" t="s">
        <v>2363</v>
      </c>
      <c r="GK47" t="s">
        <v>736</v>
      </c>
      <c r="GL47" t="s">
        <v>1394</v>
      </c>
      <c r="GM47" t="s">
        <v>736</v>
      </c>
      <c r="GN47" t="s">
        <v>2364</v>
      </c>
      <c r="GO47" t="s">
        <v>736</v>
      </c>
      <c r="GP47" t="s">
        <v>2365</v>
      </c>
      <c r="GQ47" t="s">
        <v>736</v>
      </c>
      <c r="GR47" t="s">
        <v>2365</v>
      </c>
      <c r="GS47" t="s">
        <v>733</v>
      </c>
      <c r="GT47" t="s">
        <v>2366</v>
      </c>
      <c r="GU47" t="s">
        <v>733</v>
      </c>
      <c r="GV47" t="s">
        <v>2367</v>
      </c>
      <c r="GW47" t="s">
        <v>736</v>
      </c>
      <c r="GX47" t="s">
        <v>2368</v>
      </c>
      <c r="GY47" t="s">
        <v>736</v>
      </c>
      <c r="GZ47" t="s">
        <v>1882</v>
      </c>
      <c r="HA47" t="s">
        <v>736</v>
      </c>
      <c r="HB47" t="s">
        <v>1882</v>
      </c>
      <c r="HC47" t="s">
        <v>736</v>
      </c>
      <c r="HD47" t="s">
        <v>1882</v>
      </c>
      <c r="HE47" t="s">
        <v>798</v>
      </c>
      <c r="HF47" t="s">
        <v>1122</v>
      </c>
      <c r="HG47" t="s">
        <v>736</v>
      </c>
      <c r="HH47" t="s">
        <v>956</v>
      </c>
      <c r="HI47" t="s">
        <v>736</v>
      </c>
      <c r="HJ47" t="s">
        <v>956</v>
      </c>
      <c r="HL47" t="s">
        <v>1104</v>
      </c>
      <c r="HN47" t="s">
        <v>1104</v>
      </c>
      <c r="HO47" t="s">
        <v>746</v>
      </c>
      <c r="HP47" t="s">
        <v>2369</v>
      </c>
      <c r="HQ47" t="s">
        <v>746</v>
      </c>
      <c r="HR47" t="s">
        <v>2370</v>
      </c>
      <c r="HS47" t="s">
        <v>736</v>
      </c>
      <c r="HT47" t="s">
        <v>1122</v>
      </c>
      <c r="HU47" t="s">
        <v>736</v>
      </c>
      <c r="HV47" t="s">
        <v>1122</v>
      </c>
      <c r="HW47" t="s">
        <v>736</v>
      </c>
      <c r="HX47" t="s">
        <v>2371</v>
      </c>
      <c r="HY47" t="s">
        <v>736</v>
      </c>
      <c r="HZ47" t="s">
        <v>2372</v>
      </c>
      <c r="IA47" t="s">
        <v>736</v>
      </c>
      <c r="IB47" t="s">
        <v>1122</v>
      </c>
      <c r="IC47" t="s">
        <v>736</v>
      </c>
      <c r="ID47" t="s">
        <v>1122</v>
      </c>
      <c r="IF47" t="s">
        <v>1104</v>
      </c>
      <c r="IH47" t="s">
        <v>1104</v>
      </c>
      <c r="II47" t="s">
        <v>736</v>
      </c>
      <c r="IJ47" t="s">
        <v>2373</v>
      </c>
      <c r="IK47" t="s">
        <v>736</v>
      </c>
      <c r="IL47" t="s">
        <v>2374</v>
      </c>
      <c r="IM47" t="s">
        <v>746</v>
      </c>
      <c r="IN47" t="s">
        <v>2375</v>
      </c>
      <c r="IO47" t="s">
        <v>746</v>
      </c>
      <c r="IP47" t="s">
        <v>2375</v>
      </c>
      <c r="IU47" t="s">
        <v>746</v>
      </c>
      <c r="IV47" t="s">
        <v>2376</v>
      </c>
      <c r="IW47" t="s">
        <v>746</v>
      </c>
      <c r="IX47" t="s">
        <v>2377</v>
      </c>
      <c r="IY47" t="s">
        <v>743</v>
      </c>
      <c r="IZ47" t="s">
        <v>2378</v>
      </c>
      <c r="JA47" t="s">
        <v>746</v>
      </c>
      <c r="JB47" t="s">
        <v>2379</v>
      </c>
      <c r="JC47" t="s">
        <v>736</v>
      </c>
      <c r="JD47" t="s">
        <v>2380</v>
      </c>
      <c r="JE47" t="s">
        <v>733</v>
      </c>
      <c r="JF47" t="s">
        <v>928</v>
      </c>
      <c r="JG47" t="s">
        <v>736</v>
      </c>
      <c r="JH47" t="s">
        <v>2380</v>
      </c>
      <c r="JI47" t="s">
        <v>733</v>
      </c>
      <c r="JJ47" t="s">
        <v>928</v>
      </c>
      <c r="JL47" t="s">
        <v>1104</v>
      </c>
      <c r="JN47" t="s">
        <v>1104</v>
      </c>
      <c r="JP47" t="s">
        <v>1104</v>
      </c>
      <c r="JR47" t="s">
        <v>1104</v>
      </c>
      <c r="JS47" t="s">
        <v>736</v>
      </c>
      <c r="JT47" t="s">
        <v>2381</v>
      </c>
      <c r="JU47" t="s">
        <v>733</v>
      </c>
      <c r="JV47" t="s">
        <v>928</v>
      </c>
      <c r="JW47" t="s">
        <v>746</v>
      </c>
      <c r="JX47" t="s">
        <v>2382</v>
      </c>
      <c r="JY47" t="s">
        <v>733</v>
      </c>
      <c r="JZ47" t="s">
        <v>928</v>
      </c>
      <c r="KB47" t="s">
        <v>1104</v>
      </c>
      <c r="KD47" t="s">
        <v>1104</v>
      </c>
      <c r="KE47" t="s">
        <v>746</v>
      </c>
      <c r="KF47" t="s">
        <v>2382</v>
      </c>
      <c r="KG47" t="s">
        <v>746</v>
      </c>
      <c r="KH47" t="s">
        <v>2383</v>
      </c>
      <c r="KI47" t="s">
        <v>746</v>
      </c>
      <c r="KJ47" t="s">
        <v>2384</v>
      </c>
      <c r="KK47" t="s">
        <v>746</v>
      </c>
      <c r="KL47" t="s">
        <v>2377</v>
      </c>
      <c r="KM47" t="s">
        <v>733</v>
      </c>
      <c r="KN47" t="s">
        <v>2385</v>
      </c>
      <c r="KO47" t="s">
        <v>733</v>
      </c>
      <c r="KP47" t="s">
        <v>928</v>
      </c>
      <c r="KQ47" t="s">
        <v>733</v>
      </c>
      <c r="KR47" t="s">
        <v>928</v>
      </c>
      <c r="KS47" t="s">
        <v>733</v>
      </c>
      <c r="KT47" t="s">
        <v>928</v>
      </c>
      <c r="KU47" t="s">
        <v>736</v>
      </c>
      <c r="LC47" t="s">
        <v>736</v>
      </c>
      <c r="LD47" t="s">
        <v>2386</v>
      </c>
      <c r="LE47" t="s">
        <v>736</v>
      </c>
      <c r="LF47" t="s">
        <v>2386</v>
      </c>
      <c r="LG47" t="s">
        <v>736</v>
      </c>
      <c r="LH47" t="s">
        <v>1269</v>
      </c>
      <c r="LI47" t="s">
        <v>736</v>
      </c>
      <c r="LJ47" t="s">
        <v>1269</v>
      </c>
      <c r="LK47" t="s">
        <v>736</v>
      </c>
      <c r="LL47" t="s">
        <v>2387</v>
      </c>
      <c r="LM47" t="s">
        <v>736</v>
      </c>
      <c r="LN47" t="s">
        <v>2387</v>
      </c>
      <c r="LO47" t="s">
        <v>736</v>
      </c>
      <c r="LP47" t="s">
        <v>1269</v>
      </c>
      <c r="LQ47" t="s">
        <v>736</v>
      </c>
      <c r="LR47" t="s">
        <v>1269</v>
      </c>
      <c r="LT47" t="s">
        <v>938</v>
      </c>
      <c r="LV47" t="s">
        <v>938</v>
      </c>
      <c r="LW47" t="s">
        <v>736</v>
      </c>
      <c r="LX47" t="s">
        <v>2388</v>
      </c>
      <c r="LY47" t="s">
        <v>733</v>
      </c>
      <c r="LZ47" t="s">
        <v>2388</v>
      </c>
      <c r="MA47" t="s">
        <v>746</v>
      </c>
      <c r="MB47" t="s">
        <v>2389</v>
      </c>
      <c r="MC47" t="s">
        <v>746</v>
      </c>
      <c r="MD47" t="s">
        <v>2390</v>
      </c>
      <c r="ME47" t="s">
        <v>736</v>
      </c>
      <c r="MF47" t="s">
        <v>2388</v>
      </c>
      <c r="MG47" t="s">
        <v>736</v>
      </c>
      <c r="MH47" t="s">
        <v>2388</v>
      </c>
      <c r="MI47" t="s">
        <v>746</v>
      </c>
      <c r="MJ47" t="s">
        <v>2391</v>
      </c>
      <c r="MK47" t="s">
        <v>746</v>
      </c>
      <c r="ML47" t="s">
        <v>2391</v>
      </c>
      <c r="MO47" t="s">
        <v>783</v>
      </c>
      <c r="MP47" t="s">
        <v>784</v>
      </c>
      <c r="MQ47" t="s">
        <v>783</v>
      </c>
      <c r="MR47" t="s">
        <v>781</v>
      </c>
      <c r="MS47" t="s">
        <v>783</v>
      </c>
      <c r="MT47" t="s">
        <v>783</v>
      </c>
      <c r="MU47" t="s">
        <v>781</v>
      </c>
      <c r="MV47" t="s">
        <v>783</v>
      </c>
      <c r="MW47" t="s">
        <v>783</v>
      </c>
      <c r="MX47" t="s">
        <v>783</v>
      </c>
      <c r="MZ47" t="s">
        <v>783</v>
      </c>
      <c r="NA47" t="s">
        <v>781</v>
      </c>
      <c r="NB47" t="s">
        <v>783</v>
      </c>
      <c r="NC47" t="s">
        <v>783</v>
      </c>
      <c r="ND47" t="s">
        <v>783</v>
      </c>
      <c r="NE47" t="s">
        <v>783</v>
      </c>
      <c r="NF47" t="s">
        <v>783</v>
      </c>
      <c r="NG47" t="s">
        <v>781</v>
      </c>
      <c r="NH47" t="s">
        <v>907</v>
      </c>
      <c r="NI47" t="s">
        <v>783</v>
      </c>
      <c r="NJ47" t="s">
        <v>783</v>
      </c>
      <c r="NK47" t="s">
        <v>781</v>
      </c>
      <c r="NL47" t="s">
        <v>783</v>
      </c>
      <c r="NM47" t="s">
        <v>783</v>
      </c>
      <c r="NN47" t="s">
        <v>783</v>
      </c>
      <c r="NO47" t="s">
        <v>782</v>
      </c>
      <c r="NP47" t="s">
        <v>783</v>
      </c>
      <c r="NQ47" t="s">
        <v>783</v>
      </c>
      <c r="NR47" t="s">
        <v>783</v>
      </c>
      <c r="NS47" t="s">
        <v>782</v>
      </c>
      <c r="NT47" t="s">
        <v>782</v>
      </c>
      <c r="NU47" t="s">
        <v>783</v>
      </c>
      <c r="NV47" t="s">
        <v>783</v>
      </c>
      <c r="NW47" t="s">
        <v>784</v>
      </c>
      <c r="NX47" t="s">
        <v>783</v>
      </c>
      <c r="NY47" t="s">
        <v>782</v>
      </c>
      <c r="NZ47" t="s">
        <v>783</v>
      </c>
      <c r="OA47" t="s">
        <v>783</v>
      </c>
      <c r="OB47" t="s">
        <v>782</v>
      </c>
      <c r="OC47" t="s">
        <v>782</v>
      </c>
      <c r="OD47" t="s">
        <v>783</v>
      </c>
      <c r="OE47" t="s">
        <v>783</v>
      </c>
      <c r="OF47" t="s">
        <v>781</v>
      </c>
      <c r="OG47" t="s">
        <v>783</v>
      </c>
      <c r="OH47" t="s">
        <v>783</v>
      </c>
      <c r="OI47" t="s">
        <v>783</v>
      </c>
      <c r="OJ47" t="s">
        <v>783</v>
      </c>
    </row>
    <row r="48" spans="1:400" x14ac:dyDescent="0.25">
      <c r="A48">
        <v>44</v>
      </c>
      <c r="B48" t="s">
        <v>259</v>
      </c>
      <c r="C48" t="s">
        <v>260</v>
      </c>
      <c r="D48" t="s">
        <v>97</v>
      </c>
      <c r="E48">
        <v>33</v>
      </c>
      <c r="F48" t="s">
        <v>58</v>
      </c>
      <c r="G48" t="s">
        <v>105</v>
      </c>
      <c r="H48" t="s">
        <v>60</v>
      </c>
      <c r="I48" t="s">
        <v>113</v>
      </c>
      <c r="J48" t="s">
        <v>62</v>
      </c>
      <c r="K48" t="s">
        <v>84</v>
      </c>
      <c r="L48" t="s">
        <v>98</v>
      </c>
      <c r="M48" t="s">
        <v>146</v>
      </c>
      <c r="N48" t="s">
        <v>70</v>
      </c>
      <c r="O48">
        <v>4</v>
      </c>
      <c r="P48" s="1">
        <v>95000</v>
      </c>
      <c r="Q48" s="1">
        <v>0</v>
      </c>
      <c r="R48" t="s">
        <v>261</v>
      </c>
      <c r="S48" s="7">
        <v>95000</v>
      </c>
      <c r="T48" t="s">
        <v>70</v>
      </c>
      <c r="U48" s="5">
        <v>0</v>
      </c>
      <c r="V48" s="3" t="s">
        <v>70</v>
      </c>
      <c r="W48" s="5">
        <v>0</v>
      </c>
      <c r="X48" t="s">
        <v>94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 t="s">
        <v>63</v>
      </c>
      <c r="AR48">
        <v>1</v>
      </c>
      <c r="AS48" s="2">
        <v>0.75</v>
      </c>
      <c r="AT48" t="s">
        <v>503</v>
      </c>
      <c r="AU48">
        <v>0</v>
      </c>
      <c r="AV48">
        <v>0</v>
      </c>
      <c r="AW48">
        <v>0</v>
      </c>
      <c r="AX48">
        <v>1</v>
      </c>
      <c r="AY48">
        <v>0</v>
      </c>
      <c r="AZ48" t="s">
        <v>558</v>
      </c>
      <c r="BA48" t="s">
        <v>505</v>
      </c>
      <c r="BC48" t="s">
        <v>512</v>
      </c>
      <c r="BD48" t="s">
        <v>507</v>
      </c>
      <c r="BE48">
        <v>2009</v>
      </c>
      <c r="BF48">
        <v>14</v>
      </c>
      <c r="BG48" t="s">
        <v>508</v>
      </c>
      <c r="BH48">
        <v>1</v>
      </c>
      <c r="BI48">
        <v>0</v>
      </c>
      <c r="BJ48">
        <v>0</v>
      </c>
      <c r="BK48">
        <v>0</v>
      </c>
      <c r="BL48">
        <v>0</v>
      </c>
      <c r="BM48" t="s">
        <v>63</v>
      </c>
      <c r="BN48" t="s">
        <v>63</v>
      </c>
      <c r="BO48" t="s">
        <v>3864</v>
      </c>
      <c r="BP48" t="s">
        <v>3845</v>
      </c>
      <c r="BR48" t="s">
        <v>3860</v>
      </c>
      <c r="BS48" t="s">
        <v>3838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CA48" t="s">
        <v>3839</v>
      </c>
      <c r="CC48" t="s">
        <v>3840</v>
      </c>
      <c r="CD48" t="s">
        <v>3843</v>
      </c>
      <c r="CE48" t="s">
        <v>3894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1</v>
      </c>
      <c r="CN48" t="s">
        <v>84</v>
      </c>
      <c r="CO48" t="s">
        <v>84</v>
      </c>
      <c r="CZ48" s="26"/>
      <c r="DA48" s="27"/>
      <c r="DB48" t="s">
        <v>1779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J48" t="s">
        <v>84</v>
      </c>
      <c r="DK48" s="35"/>
      <c r="DL48" s="37"/>
      <c r="FI48" t="s">
        <v>733</v>
      </c>
      <c r="FJ48" t="s">
        <v>912</v>
      </c>
      <c r="FK48" t="s">
        <v>746</v>
      </c>
      <c r="FL48" t="s">
        <v>2392</v>
      </c>
      <c r="FM48" t="s">
        <v>733</v>
      </c>
      <c r="FN48" t="s">
        <v>2393</v>
      </c>
      <c r="FO48" t="s">
        <v>733</v>
      </c>
      <c r="FP48" t="s">
        <v>2394</v>
      </c>
      <c r="FQ48" t="s">
        <v>733</v>
      </c>
      <c r="FR48" t="s">
        <v>2395</v>
      </c>
      <c r="FS48" t="s">
        <v>746</v>
      </c>
      <c r="FT48" t="s">
        <v>2396</v>
      </c>
      <c r="FU48" t="s">
        <v>733</v>
      </c>
      <c r="FV48" t="s">
        <v>1716</v>
      </c>
      <c r="FW48" t="s">
        <v>733</v>
      </c>
      <c r="FX48" t="s">
        <v>1716</v>
      </c>
      <c r="FY48" t="s">
        <v>733</v>
      </c>
      <c r="FZ48" t="s">
        <v>2397</v>
      </c>
      <c r="GA48" t="s">
        <v>733</v>
      </c>
      <c r="GB48" t="s">
        <v>2398</v>
      </c>
      <c r="GC48" t="s">
        <v>733</v>
      </c>
      <c r="GD48" t="s">
        <v>2397</v>
      </c>
      <c r="GE48" t="s">
        <v>733</v>
      </c>
      <c r="GF48" t="s">
        <v>2399</v>
      </c>
      <c r="GG48" t="s">
        <v>746</v>
      </c>
      <c r="GH48" t="s">
        <v>2400</v>
      </c>
      <c r="GI48" t="s">
        <v>746</v>
      </c>
      <c r="GJ48" t="s">
        <v>2400</v>
      </c>
      <c r="GK48" t="s">
        <v>746</v>
      </c>
      <c r="GL48" t="s">
        <v>2401</v>
      </c>
      <c r="GM48" t="s">
        <v>733</v>
      </c>
      <c r="GN48" t="s">
        <v>2402</v>
      </c>
      <c r="GO48" t="s">
        <v>733</v>
      </c>
      <c r="GP48" t="s">
        <v>2403</v>
      </c>
      <c r="GQ48" t="s">
        <v>733</v>
      </c>
      <c r="GR48" t="s">
        <v>912</v>
      </c>
      <c r="GS48" t="s">
        <v>733</v>
      </c>
      <c r="GT48" t="s">
        <v>912</v>
      </c>
      <c r="GU48" t="s">
        <v>733</v>
      </c>
      <c r="GV48" t="s">
        <v>734</v>
      </c>
      <c r="GW48" t="s">
        <v>736</v>
      </c>
      <c r="GX48" t="s">
        <v>2404</v>
      </c>
      <c r="GY48" t="s">
        <v>736</v>
      </c>
      <c r="GZ48" t="s">
        <v>956</v>
      </c>
      <c r="HA48" t="s">
        <v>736</v>
      </c>
      <c r="HB48" t="s">
        <v>2404</v>
      </c>
      <c r="HC48" t="s">
        <v>736</v>
      </c>
      <c r="HD48" t="s">
        <v>950</v>
      </c>
      <c r="HE48" t="s">
        <v>798</v>
      </c>
      <c r="HF48" t="s">
        <v>2404</v>
      </c>
      <c r="HG48" t="s">
        <v>736</v>
      </c>
      <c r="HH48" t="s">
        <v>2404</v>
      </c>
      <c r="HI48" t="s">
        <v>736</v>
      </c>
      <c r="HJ48" t="s">
        <v>945</v>
      </c>
      <c r="HL48" t="s">
        <v>1104</v>
      </c>
      <c r="HN48" t="s">
        <v>1104</v>
      </c>
      <c r="HO48" t="s">
        <v>746</v>
      </c>
      <c r="HP48" t="s">
        <v>2405</v>
      </c>
      <c r="HQ48" t="s">
        <v>746</v>
      </c>
      <c r="HR48" t="s">
        <v>2405</v>
      </c>
      <c r="HS48" t="s">
        <v>733</v>
      </c>
      <c r="HT48" t="s">
        <v>1716</v>
      </c>
      <c r="HU48" t="s">
        <v>733</v>
      </c>
      <c r="HV48" t="s">
        <v>1716</v>
      </c>
      <c r="HW48" t="s">
        <v>733</v>
      </c>
      <c r="HX48" t="s">
        <v>912</v>
      </c>
      <c r="HY48" t="s">
        <v>746</v>
      </c>
      <c r="HZ48" t="s">
        <v>2406</v>
      </c>
      <c r="IA48" t="s">
        <v>736</v>
      </c>
      <c r="IB48" t="s">
        <v>2407</v>
      </c>
      <c r="IC48" t="s">
        <v>746</v>
      </c>
      <c r="ID48" t="s">
        <v>2406</v>
      </c>
      <c r="IF48" t="s">
        <v>938</v>
      </c>
      <c r="IH48" t="s">
        <v>1104</v>
      </c>
      <c r="II48" t="s">
        <v>736</v>
      </c>
      <c r="IJ48" t="s">
        <v>2408</v>
      </c>
      <c r="IK48" t="s">
        <v>736</v>
      </c>
      <c r="IL48" t="s">
        <v>2408</v>
      </c>
      <c r="IM48" t="s">
        <v>746</v>
      </c>
      <c r="IN48" t="s">
        <v>2409</v>
      </c>
      <c r="IO48" t="s">
        <v>746</v>
      </c>
      <c r="IP48" t="s">
        <v>2410</v>
      </c>
      <c r="IQ48" t="s">
        <v>746</v>
      </c>
      <c r="IR48" t="s">
        <v>2409</v>
      </c>
      <c r="IS48" t="s">
        <v>746</v>
      </c>
      <c r="IT48" t="s">
        <v>1056</v>
      </c>
      <c r="IU48" t="s">
        <v>746</v>
      </c>
      <c r="IV48" t="s">
        <v>2409</v>
      </c>
      <c r="IW48" t="s">
        <v>733</v>
      </c>
      <c r="IX48" t="s">
        <v>2411</v>
      </c>
      <c r="IY48" t="s">
        <v>746</v>
      </c>
      <c r="IZ48" t="s">
        <v>2409</v>
      </c>
      <c r="JA48" t="s">
        <v>746</v>
      </c>
      <c r="JB48" t="s">
        <v>958</v>
      </c>
      <c r="JC48" t="s">
        <v>746</v>
      </c>
      <c r="JD48" t="s">
        <v>2409</v>
      </c>
      <c r="JE48" t="s">
        <v>733</v>
      </c>
      <c r="JF48" t="s">
        <v>2411</v>
      </c>
      <c r="JG48" t="s">
        <v>746</v>
      </c>
      <c r="JH48" t="s">
        <v>2409</v>
      </c>
      <c r="JI48" t="s">
        <v>746</v>
      </c>
      <c r="JJ48" t="s">
        <v>958</v>
      </c>
      <c r="JL48" t="s">
        <v>1104</v>
      </c>
      <c r="JN48" t="s">
        <v>1104</v>
      </c>
      <c r="JP48" t="s">
        <v>1104</v>
      </c>
      <c r="JR48" t="s">
        <v>1104</v>
      </c>
      <c r="JS48" t="s">
        <v>746</v>
      </c>
      <c r="JT48" t="s">
        <v>2409</v>
      </c>
      <c r="JU48" t="s">
        <v>733</v>
      </c>
      <c r="JV48" t="s">
        <v>2412</v>
      </c>
      <c r="JW48" t="s">
        <v>746</v>
      </c>
      <c r="JX48" t="s">
        <v>2409</v>
      </c>
      <c r="JY48" t="s">
        <v>746</v>
      </c>
      <c r="JZ48" t="s">
        <v>2405</v>
      </c>
      <c r="KA48" t="s">
        <v>746</v>
      </c>
      <c r="KB48" t="s">
        <v>2409</v>
      </c>
      <c r="KC48" t="s">
        <v>746</v>
      </c>
      <c r="KD48" t="s">
        <v>2413</v>
      </c>
      <c r="KE48" t="s">
        <v>746</v>
      </c>
      <c r="KF48" t="s">
        <v>2409</v>
      </c>
      <c r="KG48" t="s">
        <v>746</v>
      </c>
      <c r="KH48" t="s">
        <v>2414</v>
      </c>
      <c r="KI48" t="s">
        <v>746</v>
      </c>
      <c r="KJ48" t="s">
        <v>2409</v>
      </c>
      <c r="KK48" t="s">
        <v>746</v>
      </c>
      <c r="KL48" t="s">
        <v>2415</v>
      </c>
      <c r="KM48" t="s">
        <v>746</v>
      </c>
      <c r="KN48" t="s">
        <v>2409</v>
      </c>
      <c r="KO48" t="s">
        <v>733</v>
      </c>
      <c r="KP48" t="s">
        <v>928</v>
      </c>
      <c r="KQ48" t="s">
        <v>733</v>
      </c>
      <c r="KR48" t="s">
        <v>958</v>
      </c>
      <c r="KS48" t="s">
        <v>733</v>
      </c>
      <c r="KT48" t="s">
        <v>958</v>
      </c>
      <c r="KU48" t="s">
        <v>746</v>
      </c>
      <c r="KV48" t="s">
        <v>2416</v>
      </c>
      <c r="KW48" t="s">
        <v>746</v>
      </c>
      <c r="KX48" t="s">
        <v>2417</v>
      </c>
      <c r="KY48" t="s">
        <v>746</v>
      </c>
      <c r="KZ48" t="s">
        <v>2414</v>
      </c>
      <c r="LA48" t="s">
        <v>746</v>
      </c>
      <c r="LB48" t="s">
        <v>2418</v>
      </c>
      <c r="LC48" t="s">
        <v>733</v>
      </c>
      <c r="LD48" t="s">
        <v>2419</v>
      </c>
      <c r="LE48" t="s">
        <v>733</v>
      </c>
      <c r="LF48" t="s">
        <v>2419</v>
      </c>
      <c r="LG48" t="s">
        <v>733</v>
      </c>
      <c r="LH48" t="s">
        <v>2420</v>
      </c>
      <c r="LI48" t="s">
        <v>733</v>
      </c>
      <c r="LJ48" t="s">
        <v>2420</v>
      </c>
      <c r="LK48" t="s">
        <v>733</v>
      </c>
      <c r="LL48" t="s">
        <v>2421</v>
      </c>
      <c r="LM48" t="s">
        <v>746</v>
      </c>
      <c r="LN48" t="s">
        <v>2422</v>
      </c>
      <c r="LO48" t="s">
        <v>746</v>
      </c>
      <c r="LP48" t="s">
        <v>2409</v>
      </c>
      <c r="LQ48" t="s">
        <v>746</v>
      </c>
      <c r="LR48" t="s">
        <v>2406</v>
      </c>
      <c r="LS48" t="s">
        <v>746</v>
      </c>
      <c r="LT48" t="s">
        <v>2423</v>
      </c>
      <c r="LU48" t="s">
        <v>746</v>
      </c>
      <c r="LV48" t="s">
        <v>2424</v>
      </c>
      <c r="LW48" t="s">
        <v>746</v>
      </c>
      <c r="LX48" t="s">
        <v>2424</v>
      </c>
      <c r="LY48" t="s">
        <v>746</v>
      </c>
      <c r="LZ48" t="s">
        <v>2425</v>
      </c>
      <c r="MA48" t="s">
        <v>746</v>
      </c>
      <c r="MB48" t="s">
        <v>2426</v>
      </c>
      <c r="MC48" t="s">
        <v>746</v>
      </c>
      <c r="MD48" t="s">
        <v>2427</v>
      </c>
      <c r="ME48" t="s">
        <v>746</v>
      </c>
      <c r="MF48" t="s">
        <v>2428</v>
      </c>
      <c r="MG48" t="s">
        <v>746</v>
      </c>
      <c r="MH48" t="s">
        <v>2429</v>
      </c>
      <c r="MI48" t="s">
        <v>746</v>
      </c>
      <c r="MJ48" t="s">
        <v>2409</v>
      </c>
      <c r="MK48" t="s">
        <v>746</v>
      </c>
      <c r="ML48" t="s">
        <v>2409</v>
      </c>
      <c r="MO48" t="s">
        <v>783</v>
      </c>
      <c r="MP48" t="s">
        <v>784</v>
      </c>
      <c r="MQ48" t="s">
        <v>783</v>
      </c>
      <c r="MR48" t="s">
        <v>783</v>
      </c>
      <c r="MS48" t="s">
        <v>783</v>
      </c>
      <c r="MT48" t="s">
        <v>783</v>
      </c>
      <c r="MU48" t="s">
        <v>783</v>
      </c>
      <c r="MV48" t="s">
        <v>783</v>
      </c>
      <c r="MW48" t="s">
        <v>783</v>
      </c>
      <c r="MX48" t="s">
        <v>783</v>
      </c>
      <c r="MZ48" t="s">
        <v>783</v>
      </c>
      <c r="NA48" t="s">
        <v>783</v>
      </c>
      <c r="NB48" t="s">
        <v>784</v>
      </c>
      <c r="NC48" t="s">
        <v>783</v>
      </c>
      <c r="ND48" t="s">
        <v>783</v>
      </c>
      <c r="NE48" t="s">
        <v>784</v>
      </c>
      <c r="NF48" t="s">
        <v>783</v>
      </c>
      <c r="NG48" t="s">
        <v>783</v>
      </c>
      <c r="NH48" t="s">
        <v>783</v>
      </c>
      <c r="NI48" t="s">
        <v>783</v>
      </c>
      <c r="NJ48" t="s">
        <v>783</v>
      </c>
      <c r="NK48" t="s">
        <v>783</v>
      </c>
      <c r="NL48" t="s">
        <v>783</v>
      </c>
      <c r="NM48" t="s">
        <v>783</v>
      </c>
      <c r="NN48" t="s">
        <v>782</v>
      </c>
      <c r="NO48" t="s">
        <v>782</v>
      </c>
      <c r="NP48" t="s">
        <v>783</v>
      </c>
      <c r="NQ48" t="s">
        <v>783</v>
      </c>
      <c r="NR48" t="s">
        <v>783</v>
      </c>
      <c r="NS48" t="s">
        <v>907</v>
      </c>
      <c r="NT48" t="s">
        <v>784</v>
      </c>
      <c r="NU48" t="s">
        <v>783</v>
      </c>
      <c r="NV48" t="s">
        <v>784</v>
      </c>
      <c r="NW48" t="s">
        <v>907</v>
      </c>
      <c r="NX48" t="s">
        <v>783</v>
      </c>
      <c r="NY48" t="s">
        <v>783</v>
      </c>
      <c r="NZ48" t="s">
        <v>783</v>
      </c>
      <c r="OA48" t="s">
        <v>783</v>
      </c>
      <c r="OB48" t="s">
        <v>784</v>
      </c>
      <c r="OC48" t="s">
        <v>782</v>
      </c>
      <c r="OD48" t="s">
        <v>783</v>
      </c>
      <c r="OE48" t="s">
        <v>783</v>
      </c>
      <c r="OF48" t="s">
        <v>783</v>
      </c>
      <c r="OG48" t="s">
        <v>781</v>
      </c>
      <c r="OH48" t="s">
        <v>783</v>
      </c>
      <c r="OI48" t="s">
        <v>783</v>
      </c>
      <c r="OJ48" t="s">
        <v>783</v>
      </c>
    </row>
    <row r="49" spans="1:400" x14ac:dyDescent="0.25">
      <c r="A49">
        <v>45</v>
      </c>
      <c r="B49" t="s">
        <v>262</v>
      </c>
      <c r="C49" t="s">
        <v>263</v>
      </c>
      <c r="D49" t="s">
        <v>97</v>
      </c>
      <c r="E49">
        <v>45</v>
      </c>
      <c r="F49" t="s">
        <v>58</v>
      </c>
      <c r="G49" t="s">
        <v>105</v>
      </c>
      <c r="H49" t="s">
        <v>60</v>
      </c>
      <c r="I49" t="s">
        <v>113</v>
      </c>
      <c r="J49" t="s">
        <v>62</v>
      </c>
      <c r="K49" t="s">
        <v>84</v>
      </c>
      <c r="L49" t="s">
        <v>98</v>
      </c>
      <c r="M49" t="s">
        <v>146</v>
      </c>
      <c r="N49" t="s">
        <v>70</v>
      </c>
      <c r="O49">
        <v>5</v>
      </c>
      <c r="P49" s="1">
        <v>450000</v>
      </c>
      <c r="Q49" s="1">
        <v>0</v>
      </c>
      <c r="R49" t="s">
        <v>265</v>
      </c>
      <c r="S49" s="7">
        <v>450000</v>
      </c>
      <c r="T49" t="s">
        <v>70</v>
      </c>
      <c r="U49" s="5">
        <v>0</v>
      </c>
      <c r="V49" s="3" t="s">
        <v>70</v>
      </c>
      <c r="W49" s="5">
        <v>0</v>
      </c>
      <c r="X49" t="s">
        <v>266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 t="s">
        <v>63</v>
      </c>
      <c r="AR49">
        <v>1</v>
      </c>
      <c r="AS49" s="2">
        <v>1</v>
      </c>
      <c r="AT49" t="s">
        <v>503</v>
      </c>
      <c r="AU49">
        <v>0</v>
      </c>
      <c r="AV49">
        <v>0</v>
      </c>
      <c r="AW49">
        <v>0</v>
      </c>
      <c r="AX49">
        <v>1</v>
      </c>
      <c r="AY49">
        <v>0</v>
      </c>
      <c r="AZ49" t="s">
        <v>559</v>
      </c>
      <c r="BA49" t="s">
        <v>511</v>
      </c>
      <c r="BC49" t="s">
        <v>506</v>
      </c>
      <c r="BD49" t="s">
        <v>507</v>
      </c>
      <c r="BE49">
        <v>2004</v>
      </c>
      <c r="BF49">
        <v>19</v>
      </c>
      <c r="BG49" t="s">
        <v>508</v>
      </c>
      <c r="BH49">
        <v>1</v>
      </c>
      <c r="BI49">
        <v>0</v>
      </c>
      <c r="BJ49">
        <v>0</v>
      </c>
      <c r="BK49">
        <v>0</v>
      </c>
      <c r="BM49" t="s">
        <v>63</v>
      </c>
      <c r="BN49" t="s">
        <v>63</v>
      </c>
      <c r="BO49" t="s">
        <v>3886</v>
      </c>
      <c r="BP49" t="s">
        <v>3845</v>
      </c>
      <c r="BR49" t="s">
        <v>3887</v>
      </c>
      <c r="BS49" t="s">
        <v>3838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CA49" t="s">
        <v>3839</v>
      </c>
      <c r="CC49" t="s">
        <v>3840</v>
      </c>
      <c r="CD49" t="s">
        <v>3895</v>
      </c>
      <c r="CE49" t="s">
        <v>3867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N49" t="s">
        <v>63</v>
      </c>
      <c r="CO49" t="s">
        <v>732</v>
      </c>
      <c r="CP49" t="s">
        <v>3962</v>
      </c>
      <c r="CQ49" t="s">
        <v>3985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1</v>
      </c>
      <c r="CX49" t="s">
        <v>3964</v>
      </c>
      <c r="CY49" t="s">
        <v>3955</v>
      </c>
      <c r="CZ49" s="26" t="s">
        <v>4011</v>
      </c>
      <c r="DA49" s="27" t="s">
        <v>4214</v>
      </c>
      <c r="DJ49" t="s">
        <v>84</v>
      </c>
      <c r="DK49" s="35"/>
      <c r="DL49" s="37"/>
      <c r="FI49" t="s">
        <v>736</v>
      </c>
      <c r="FJ49" t="s">
        <v>2430</v>
      </c>
      <c r="FK49" t="s">
        <v>736</v>
      </c>
      <c r="FL49" t="s">
        <v>2431</v>
      </c>
      <c r="FM49" t="s">
        <v>736</v>
      </c>
      <c r="FN49" t="s">
        <v>2432</v>
      </c>
      <c r="FO49" t="s">
        <v>736</v>
      </c>
      <c r="FP49" t="s">
        <v>2433</v>
      </c>
      <c r="FQ49" t="s">
        <v>736</v>
      </c>
      <c r="FR49" t="s">
        <v>2434</v>
      </c>
      <c r="FS49" t="s">
        <v>746</v>
      </c>
      <c r="FT49" t="s">
        <v>2435</v>
      </c>
      <c r="FU49" t="s">
        <v>733</v>
      </c>
      <c r="FV49" t="s">
        <v>2436</v>
      </c>
      <c r="FW49" t="s">
        <v>733</v>
      </c>
      <c r="FX49" t="s">
        <v>2437</v>
      </c>
      <c r="FY49" t="s">
        <v>733</v>
      </c>
      <c r="FZ49" t="s">
        <v>2438</v>
      </c>
      <c r="GA49" t="s">
        <v>733</v>
      </c>
      <c r="GB49" t="s">
        <v>2439</v>
      </c>
      <c r="GC49" t="s">
        <v>733</v>
      </c>
      <c r="GD49" t="s">
        <v>2440</v>
      </c>
      <c r="GE49" t="s">
        <v>733</v>
      </c>
      <c r="GF49" t="s">
        <v>2441</v>
      </c>
      <c r="GG49" t="s">
        <v>746</v>
      </c>
      <c r="GH49" t="s">
        <v>2442</v>
      </c>
      <c r="GI49" t="s">
        <v>746</v>
      </c>
      <c r="GJ49" t="s">
        <v>2442</v>
      </c>
      <c r="GK49" t="s">
        <v>733</v>
      </c>
      <c r="GL49" t="s">
        <v>2443</v>
      </c>
      <c r="GM49" t="s">
        <v>733</v>
      </c>
      <c r="GN49" t="s">
        <v>2444</v>
      </c>
      <c r="GO49" t="s">
        <v>733</v>
      </c>
      <c r="GP49" t="s">
        <v>2445</v>
      </c>
      <c r="GQ49" t="s">
        <v>733</v>
      </c>
      <c r="GR49" t="s">
        <v>2445</v>
      </c>
      <c r="GS49" t="s">
        <v>733</v>
      </c>
      <c r="GT49" t="s">
        <v>2446</v>
      </c>
      <c r="GU49" t="s">
        <v>733</v>
      </c>
      <c r="GV49" t="s">
        <v>912</v>
      </c>
      <c r="GW49" t="s">
        <v>736</v>
      </c>
      <c r="GX49" t="s">
        <v>2447</v>
      </c>
      <c r="GY49" t="s">
        <v>733</v>
      </c>
      <c r="GZ49" t="s">
        <v>1115</v>
      </c>
      <c r="HA49" t="s">
        <v>733</v>
      </c>
      <c r="HB49" t="s">
        <v>1115</v>
      </c>
      <c r="HC49" t="s">
        <v>733</v>
      </c>
      <c r="HD49" t="s">
        <v>1120</v>
      </c>
      <c r="HE49" t="s">
        <v>733</v>
      </c>
      <c r="HF49" t="s">
        <v>1077</v>
      </c>
      <c r="HG49" t="s">
        <v>736</v>
      </c>
      <c r="HH49" t="s">
        <v>956</v>
      </c>
      <c r="HI49" t="s">
        <v>736</v>
      </c>
      <c r="HJ49" t="s">
        <v>956</v>
      </c>
      <c r="HL49" t="s">
        <v>1104</v>
      </c>
      <c r="HN49" t="s">
        <v>1104</v>
      </c>
      <c r="HP49" t="s">
        <v>1104</v>
      </c>
      <c r="HR49" t="s">
        <v>1104</v>
      </c>
      <c r="HS49" t="s">
        <v>733</v>
      </c>
      <c r="HT49" t="s">
        <v>2448</v>
      </c>
      <c r="HU49" t="s">
        <v>733</v>
      </c>
      <c r="HV49" t="s">
        <v>2448</v>
      </c>
      <c r="HW49" t="s">
        <v>736</v>
      </c>
      <c r="HX49" t="s">
        <v>1882</v>
      </c>
      <c r="HY49" t="s">
        <v>736</v>
      </c>
      <c r="HZ49" t="s">
        <v>1882</v>
      </c>
      <c r="IA49" t="s">
        <v>736</v>
      </c>
      <c r="IB49" t="s">
        <v>2449</v>
      </c>
      <c r="IC49" t="s">
        <v>736</v>
      </c>
      <c r="ID49" t="s">
        <v>1882</v>
      </c>
      <c r="IF49" t="s">
        <v>1104</v>
      </c>
      <c r="IH49" t="s">
        <v>1104</v>
      </c>
      <c r="II49" t="s">
        <v>736</v>
      </c>
      <c r="IJ49" t="s">
        <v>2408</v>
      </c>
      <c r="IK49" t="s">
        <v>736</v>
      </c>
      <c r="IL49" t="s">
        <v>2408</v>
      </c>
      <c r="IM49" t="s">
        <v>736</v>
      </c>
      <c r="IN49" t="s">
        <v>2450</v>
      </c>
      <c r="IO49" t="s">
        <v>746</v>
      </c>
      <c r="IP49" t="s">
        <v>2451</v>
      </c>
      <c r="IQ49" t="s">
        <v>746</v>
      </c>
      <c r="IR49" t="s">
        <v>1056</v>
      </c>
      <c r="IS49" t="s">
        <v>746</v>
      </c>
      <c r="IT49" t="s">
        <v>1069</v>
      </c>
      <c r="IU49" t="s">
        <v>746</v>
      </c>
      <c r="IV49" t="s">
        <v>2415</v>
      </c>
      <c r="IW49" t="s">
        <v>746</v>
      </c>
      <c r="IX49" t="s">
        <v>2452</v>
      </c>
      <c r="IY49" t="s">
        <v>746</v>
      </c>
      <c r="IZ49" t="s">
        <v>2415</v>
      </c>
      <c r="JA49" t="s">
        <v>746</v>
      </c>
      <c r="JB49" t="s">
        <v>2452</v>
      </c>
      <c r="JC49" t="s">
        <v>746</v>
      </c>
      <c r="JD49" t="s">
        <v>2415</v>
      </c>
      <c r="JE49" t="s">
        <v>746</v>
      </c>
      <c r="JF49" t="s">
        <v>2452</v>
      </c>
      <c r="JG49" t="s">
        <v>746</v>
      </c>
      <c r="JH49" t="s">
        <v>2415</v>
      </c>
      <c r="JI49" t="s">
        <v>746</v>
      </c>
      <c r="JJ49" t="s">
        <v>2452</v>
      </c>
      <c r="JL49" t="s">
        <v>1104</v>
      </c>
      <c r="JN49" t="s">
        <v>1104</v>
      </c>
      <c r="JP49" t="s">
        <v>1104</v>
      </c>
      <c r="JR49" t="s">
        <v>1104</v>
      </c>
      <c r="JS49" t="s">
        <v>746</v>
      </c>
      <c r="JT49" t="s">
        <v>2415</v>
      </c>
      <c r="JU49" t="s">
        <v>746</v>
      </c>
      <c r="JV49" t="s">
        <v>2452</v>
      </c>
      <c r="JW49" t="s">
        <v>746</v>
      </c>
      <c r="JX49" t="s">
        <v>2415</v>
      </c>
      <c r="JY49" t="s">
        <v>746</v>
      </c>
      <c r="JZ49" t="s">
        <v>2452</v>
      </c>
      <c r="KA49" t="s">
        <v>746</v>
      </c>
      <c r="KB49" t="s">
        <v>2415</v>
      </c>
      <c r="KC49" t="s">
        <v>746</v>
      </c>
      <c r="KD49" t="s">
        <v>2452</v>
      </c>
      <c r="KE49" t="s">
        <v>746</v>
      </c>
      <c r="KF49" t="s">
        <v>2415</v>
      </c>
      <c r="KG49" t="s">
        <v>746</v>
      </c>
      <c r="KH49" t="s">
        <v>2452</v>
      </c>
      <c r="KI49" t="s">
        <v>746</v>
      </c>
      <c r="KJ49" t="s">
        <v>2415</v>
      </c>
      <c r="KK49" t="s">
        <v>746</v>
      </c>
      <c r="KL49" t="s">
        <v>2452</v>
      </c>
      <c r="KM49" t="s">
        <v>746</v>
      </c>
      <c r="KN49" t="s">
        <v>2452</v>
      </c>
      <c r="KO49" t="s">
        <v>743</v>
      </c>
      <c r="KP49" t="s">
        <v>2452</v>
      </c>
      <c r="KQ49" t="s">
        <v>746</v>
      </c>
      <c r="KR49" t="s">
        <v>2415</v>
      </c>
      <c r="KS49" t="s">
        <v>746</v>
      </c>
      <c r="KT49" t="s">
        <v>2452</v>
      </c>
      <c r="KU49" t="s">
        <v>733</v>
      </c>
      <c r="KV49" t="s">
        <v>2453</v>
      </c>
      <c r="KW49" t="s">
        <v>733</v>
      </c>
      <c r="KX49" t="s">
        <v>2453</v>
      </c>
      <c r="KY49" t="s">
        <v>733</v>
      </c>
      <c r="KZ49" t="s">
        <v>734</v>
      </c>
      <c r="LA49" t="s">
        <v>733</v>
      </c>
      <c r="LB49" t="s">
        <v>912</v>
      </c>
      <c r="LC49" t="s">
        <v>736</v>
      </c>
      <c r="LD49" t="s">
        <v>2454</v>
      </c>
      <c r="LE49" t="s">
        <v>736</v>
      </c>
      <c r="LF49" t="s">
        <v>1933</v>
      </c>
      <c r="LG49" t="s">
        <v>736</v>
      </c>
      <c r="LH49" t="s">
        <v>2454</v>
      </c>
      <c r="LI49" t="s">
        <v>736</v>
      </c>
      <c r="LJ49" t="s">
        <v>2455</v>
      </c>
      <c r="LK49" t="s">
        <v>736</v>
      </c>
      <c r="LL49" t="s">
        <v>2381</v>
      </c>
      <c r="LM49" t="s">
        <v>736</v>
      </c>
      <c r="LN49" t="s">
        <v>2381</v>
      </c>
      <c r="LO49" t="s">
        <v>736</v>
      </c>
      <c r="LP49" t="s">
        <v>1882</v>
      </c>
      <c r="LQ49" t="s">
        <v>736</v>
      </c>
      <c r="LR49" t="s">
        <v>1882</v>
      </c>
      <c r="LS49" t="s">
        <v>736</v>
      </c>
      <c r="LT49" t="s">
        <v>2456</v>
      </c>
      <c r="LU49" t="s">
        <v>736</v>
      </c>
      <c r="LV49" t="s">
        <v>2456</v>
      </c>
      <c r="LW49" t="s">
        <v>736</v>
      </c>
      <c r="LX49" t="s">
        <v>2456</v>
      </c>
      <c r="LY49" t="s">
        <v>733</v>
      </c>
      <c r="LZ49" t="s">
        <v>1231</v>
      </c>
      <c r="ME49" t="s">
        <v>733</v>
      </c>
      <c r="MF49" t="s">
        <v>2457</v>
      </c>
      <c r="MG49" t="s">
        <v>733</v>
      </c>
      <c r="MH49" t="s">
        <v>2457</v>
      </c>
      <c r="MI49" t="s">
        <v>733</v>
      </c>
      <c r="MJ49" t="s">
        <v>2458</v>
      </c>
      <c r="MK49" t="s">
        <v>733</v>
      </c>
      <c r="ML49" t="s">
        <v>2459</v>
      </c>
      <c r="MO49" t="s">
        <v>783</v>
      </c>
      <c r="MP49" t="s">
        <v>783</v>
      </c>
      <c r="MQ49" t="s">
        <v>783</v>
      </c>
      <c r="MR49" t="s">
        <v>907</v>
      </c>
      <c r="MS49" t="s">
        <v>907</v>
      </c>
      <c r="MT49" t="s">
        <v>783</v>
      </c>
      <c r="MU49" t="s">
        <v>783</v>
      </c>
      <c r="MV49" t="s">
        <v>783</v>
      </c>
      <c r="MW49" t="s">
        <v>783</v>
      </c>
      <c r="MX49" t="s">
        <v>783</v>
      </c>
      <c r="MZ49" t="s">
        <v>783</v>
      </c>
      <c r="NA49" t="s">
        <v>784</v>
      </c>
      <c r="NB49" t="s">
        <v>784</v>
      </c>
      <c r="NC49" t="s">
        <v>783</v>
      </c>
      <c r="ND49" t="s">
        <v>783</v>
      </c>
      <c r="NE49" t="s">
        <v>784</v>
      </c>
      <c r="NF49" t="s">
        <v>784</v>
      </c>
      <c r="NG49" t="s">
        <v>783</v>
      </c>
      <c r="NH49" t="s">
        <v>784</v>
      </c>
      <c r="NI49" t="s">
        <v>783</v>
      </c>
      <c r="NJ49" t="s">
        <v>907</v>
      </c>
      <c r="NK49" t="s">
        <v>907</v>
      </c>
      <c r="NL49" t="s">
        <v>784</v>
      </c>
      <c r="NM49" t="s">
        <v>784</v>
      </c>
      <c r="NN49" t="s">
        <v>784</v>
      </c>
      <c r="NO49" t="s">
        <v>784</v>
      </c>
      <c r="NP49" t="s">
        <v>907</v>
      </c>
      <c r="NQ49" t="s">
        <v>783</v>
      </c>
      <c r="NR49" t="s">
        <v>783</v>
      </c>
      <c r="NS49" t="s">
        <v>784</v>
      </c>
      <c r="NT49" t="s">
        <v>784</v>
      </c>
      <c r="NU49" t="s">
        <v>783</v>
      </c>
      <c r="NV49" t="s">
        <v>784</v>
      </c>
      <c r="NW49" t="s">
        <v>784</v>
      </c>
      <c r="NX49" t="s">
        <v>783</v>
      </c>
      <c r="NY49" t="s">
        <v>784</v>
      </c>
      <c r="NZ49" t="s">
        <v>783</v>
      </c>
      <c r="OA49" t="s">
        <v>783</v>
      </c>
      <c r="OB49" t="s">
        <v>784</v>
      </c>
      <c r="OC49" t="s">
        <v>784</v>
      </c>
      <c r="OD49" t="s">
        <v>783</v>
      </c>
      <c r="OE49" t="s">
        <v>783</v>
      </c>
      <c r="OF49" t="s">
        <v>783</v>
      </c>
      <c r="OG49" t="s">
        <v>783</v>
      </c>
      <c r="OH49" t="s">
        <v>783</v>
      </c>
      <c r="OI49" t="s">
        <v>783</v>
      </c>
      <c r="OJ49" t="s">
        <v>783</v>
      </c>
    </row>
    <row r="50" spans="1:400" x14ac:dyDescent="0.25">
      <c r="A50">
        <v>46</v>
      </c>
      <c r="B50" t="s">
        <v>249</v>
      </c>
      <c r="C50" t="s">
        <v>70</v>
      </c>
      <c r="D50" t="s">
        <v>97</v>
      </c>
      <c r="E50">
        <v>49</v>
      </c>
      <c r="F50" t="s">
        <v>58</v>
      </c>
      <c r="G50" t="s">
        <v>76</v>
      </c>
      <c r="H50" t="s">
        <v>250</v>
      </c>
      <c r="I50" t="s">
        <v>61</v>
      </c>
      <c r="J50" t="s">
        <v>62</v>
      </c>
      <c r="K50" t="s">
        <v>84</v>
      </c>
      <c r="L50" t="s">
        <v>98</v>
      </c>
      <c r="M50" t="s">
        <v>146</v>
      </c>
      <c r="N50" t="s">
        <v>70</v>
      </c>
      <c r="O50">
        <v>2</v>
      </c>
      <c r="P50" s="1">
        <v>55000</v>
      </c>
      <c r="Q50" s="1">
        <v>12000</v>
      </c>
      <c r="R50" t="s">
        <v>148</v>
      </c>
      <c r="S50" s="7">
        <v>43000</v>
      </c>
      <c r="T50" t="s">
        <v>70</v>
      </c>
      <c r="U50" s="5">
        <v>0</v>
      </c>
      <c r="V50" s="3" t="s">
        <v>70</v>
      </c>
      <c r="W50" s="5">
        <v>0</v>
      </c>
      <c r="X50" t="s">
        <v>94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 t="s">
        <v>63</v>
      </c>
      <c r="AR50">
        <v>1</v>
      </c>
      <c r="AS50" s="2">
        <v>0.25</v>
      </c>
      <c r="AT50" t="s">
        <v>531</v>
      </c>
      <c r="AU50">
        <v>0</v>
      </c>
      <c r="AV50">
        <v>0</v>
      </c>
      <c r="AW50">
        <v>1</v>
      </c>
      <c r="AX50">
        <v>0</v>
      </c>
      <c r="AY50">
        <v>0</v>
      </c>
      <c r="AZ50" t="s">
        <v>140</v>
      </c>
      <c r="BA50" t="s">
        <v>505</v>
      </c>
      <c r="BC50" t="s">
        <v>512</v>
      </c>
      <c r="BD50" t="s">
        <v>507</v>
      </c>
      <c r="BE50">
        <v>1970</v>
      </c>
      <c r="BF50">
        <v>53</v>
      </c>
      <c r="BG50" t="s">
        <v>508</v>
      </c>
      <c r="BH50">
        <v>1</v>
      </c>
      <c r="BI50">
        <v>0</v>
      </c>
      <c r="BJ50">
        <v>0</v>
      </c>
      <c r="BK50">
        <v>0</v>
      </c>
      <c r="BL50">
        <v>0</v>
      </c>
      <c r="BM50" t="s">
        <v>63</v>
      </c>
      <c r="BN50" t="s">
        <v>63</v>
      </c>
      <c r="BO50" t="s">
        <v>3896</v>
      </c>
      <c r="BP50" t="s">
        <v>3845</v>
      </c>
      <c r="BR50" t="s">
        <v>3897</v>
      </c>
      <c r="BS50" t="s">
        <v>3838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CA50" t="s">
        <v>3839</v>
      </c>
      <c r="CC50" t="s">
        <v>3840</v>
      </c>
      <c r="CD50" t="s">
        <v>3841</v>
      </c>
      <c r="CE50" t="s">
        <v>3867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N50" t="s">
        <v>63</v>
      </c>
      <c r="CO50" t="s">
        <v>732</v>
      </c>
      <c r="CP50" t="s">
        <v>3976</v>
      </c>
      <c r="CQ50" t="s">
        <v>2996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1</v>
      </c>
      <c r="CX50" t="s">
        <v>3988</v>
      </c>
      <c r="CY50" t="s">
        <v>4012</v>
      </c>
      <c r="CZ50" s="26" t="s">
        <v>4204</v>
      </c>
      <c r="DA50" s="27" t="s">
        <v>4214</v>
      </c>
      <c r="DJ50" t="s">
        <v>84</v>
      </c>
      <c r="DK50" s="35"/>
      <c r="DL50" s="37"/>
      <c r="FI50" t="s">
        <v>733</v>
      </c>
      <c r="FJ50" t="s">
        <v>2460</v>
      </c>
      <c r="FK50" t="s">
        <v>733</v>
      </c>
      <c r="FL50" t="s">
        <v>1502</v>
      </c>
      <c r="FM50" t="s">
        <v>733</v>
      </c>
      <c r="FN50" t="s">
        <v>2461</v>
      </c>
      <c r="FO50" t="s">
        <v>733</v>
      </c>
      <c r="FP50" t="s">
        <v>2462</v>
      </c>
      <c r="FQ50" t="s">
        <v>733</v>
      </c>
      <c r="FR50" t="s">
        <v>2463</v>
      </c>
      <c r="FS50" t="s">
        <v>733</v>
      </c>
      <c r="FT50" t="s">
        <v>2464</v>
      </c>
      <c r="FU50" t="s">
        <v>733</v>
      </c>
      <c r="FV50" t="s">
        <v>2185</v>
      </c>
      <c r="FW50" t="s">
        <v>733</v>
      </c>
      <c r="FX50" t="s">
        <v>2465</v>
      </c>
      <c r="FY50" t="s">
        <v>733</v>
      </c>
      <c r="FZ50" t="s">
        <v>2466</v>
      </c>
      <c r="GA50" t="s">
        <v>733</v>
      </c>
      <c r="GB50" t="s">
        <v>2467</v>
      </c>
      <c r="GC50" t="s">
        <v>736</v>
      </c>
      <c r="GD50" t="s">
        <v>1644</v>
      </c>
      <c r="GE50" t="s">
        <v>733</v>
      </c>
      <c r="GF50" t="s">
        <v>2468</v>
      </c>
      <c r="GG50" t="s">
        <v>736</v>
      </c>
      <c r="GH50" t="s">
        <v>1978</v>
      </c>
      <c r="GI50" t="s">
        <v>736</v>
      </c>
      <c r="GJ50" t="s">
        <v>2469</v>
      </c>
      <c r="GK50" t="s">
        <v>736</v>
      </c>
      <c r="GL50" t="s">
        <v>1644</v>
      </c>
      <c r="GM50" t="s">
        <v>736</v>
      </c>
      <c r="GN50" t="s">
        <v>2470</v>
      </c>
      <c r="GO50" t="s">
        <v>736</v>
      </c>
      <c r="GP50" t="s">
        <v>1557</v>
      </c>
      <c r="GQ50" t="s">
        <v>736</v>
      </c>
      <c r="GR50" t="s">
        <v>2471</v>
      </c>
      <c r="GS50" t="s">
        <v>733</v>
      </c>
      <c r="GT50" t="s">
        <v>2472</v>
      </c>
      <c r="GU50" t="s">
        <v>733</v>
      </c>
      <c r="GV50" t="s">
        <v>2473</v>
      </c>
      <c r="GW50" t="s">
        <v>736</v>
      </c>
      <c r="GX50" t="s">
        <v>2474</v>
      </c>
      <c r="GY50" t="s">
        <v>736</v>
      </c>
      <c r="GZ50" t="s">
        <v>2475</v>
      </c>
      <c r="HA50" t="s">
        <v>736</v>
      </c>
      <c r="HB50" t="s">
        <v>2143</v>
      </c>
      <c r="HC50" t="s">
        <v>736</v>
      </c>
      <c r="HD50" t="s">
        <v>1504</v>
      </c>
      <c r="HE50" t="s">
        <v>798</v>
      </c>
      <c r="HF50" t="s">
        <v>2143</v>
      </c>
      <c r="HG50" t="s">
        <v>736</v>
      </c>
      <c r="HH50" t="s">
        <v>1336</v>
      </c>
      <c r="HI50" t="s">
        <v>736</v>
      </c>
      <c r="HJ50" t="s">
        <v>2143</v>
      </c>
      <c r="HL50" t="s">
        <v>938</v>
      </c>
      <c r="HN50" t="s">
        <v>938</v>
      </c>
      <c r="HP50" t="s">
        <v>938</v>
      </c>
      <c r="HR50" t="s">
        <v>938</v>
      </c>
      <c r="HS50" t="s">
        <v>733</v>
      </c>
      <c r="HT50" t="s">
        <v>1504</v>
      </c>
      <c r="HU50" t="s">
        <v>736</v>
      </c>
      <c r="HV50" t="s">
        <v>2476</v>
      </c>
      <c r="HW50" t="s">
        <v>736</v>
      </c>
      <c r="HX50" t="s">
        <v>1557</v>
      </c>
      <c r="HY50" t="s">
        <v>736</v>
      </c>
      <c r="HZ50" t="s">
        <v>2477</v>
      </c>
      <c r="IA50" t="s">
        <v>736</v>
      </c>
      <c r="IB50" t="s">
        <v>1557</v>
      </c>
      <c r="IC50" t="s">
        <v>736</v>
      </c>
      <c r="ID50" t="s">
        <v>2478</v>
      </c>
      <c r="IE50" t="s">
        <v>746</v>
      </c>
      <c r="IF50" t="s">
        <v>1962</v>
      </c>
      <c r="IG50" t="s">
        <v>746</v>
      </c>
      <c r="IH50" t="s">
        <v>1583</v>
      </c>
      <c r="IJ50" t="s">
        <v>938</v>
      </c>
      <c r="IL50" t="s">
        <v>938</v>
      </c>
      <c r="IM50" t="s">
        <v>736</v>
      </c>
      <c r="IN50" t="s">
        <v>1644</v>
      </c>
      <c r="IO50" t="s">
        <v>736</v>
      </c>
      <c r="IP50" t="s">
        <v>2479</v>
      </c>
      <c r="IQ50" t="s">
        <v>736</v>
      </c>
      <c r="IR50" t="s">
        <v>2480</v>
      </c>
      <c r="IS50" t="s">
        <v>736</v>
      </c>
      <c r="IT50" t="s">
        <v>2481</v>
      </c>
      <c r="IU50" t="s">
        <v>736</v>
      </c>
      <c r="IV50" t="s">
        <v>2143</v>
      </c>
      <c r="IW50" t="s">
        <v>733</v>
      </c>
      <c r="IX50" t="s">
        <v>2482</v>
      </c>
      <c r="IY50" t="s">
        <v>736</v>
      </c>
      <c r="IZ50" t="s">
        <v>2483</v>
      </c>
      <c r="JA50" t="s">
        <v>733</v>
      </c>
      <c r="JB50" t="s">
        <v>2482</v>
      </c>
      <c r="JC50" t="s">
        <v>736</v>
      </c>
      <c r="JD50" t="s">
        <v>1512</v>
      </c>
      <c r="JE50" t="s">
        <v>733</v>
      </c>
      <c r="JF50" t="s">
        <v>2484</v>
      </c>
      <c r="JH50" t="s">
        <v>938</v>
      </c>
      <c r="JJ50" t="s">
        <v>938</v>
      </c>
      <c r="JL50" t="s">
        <v>938</v>
      </c>
      <c r="JN50" t="s">
        <v>938</v>
      </c>
      <c r="JP50" t="s">
        <v>938</v>
      </c>
      <c r="JR50" t="s">
        <v>938</v>
      </c>
      <c r="JS50" t="s">
        <v>736</v>
      </c>
      <c r="JT50" t="s">
        <v>1603</v>
      </c>
      <c r="JU50" t="s">
        <v>733</v>
      </c>
      <c r="JV50" t="s">
        <v>2482</v>
      </c>
      <c r="JW50" t="s">
        <v>736</v>
      </c>
      <c r="JX50" t="s">
        <v>1512</v>
      </c>
      <c r="JY50" t="s">
        <v>746</v>
      </c>
      <c r="JZ50" t="s">
        <v>2485</v>
      </c>
      <c r="KB50" t="s">
        <v>938</v>
      </c>
      <c r="KD50" t="s">
        <v>938</v>
      </c>
      <c r="KE50" t="s">
        <v>736</v>
      </c>
      <c r="KF50" t="s">
        <v>1447</v>
      </c>
      <c r="KG50" t="s">
        <v>746</v>
      </c>
      <c r="KH50" t="s">
        <v>2486</v>
      </c>
      <c r="KI50" t="s">
        <v>736</v>
      </c>
      <c r="KJ50" t="s">
        <v>2487</v>
      </c>
      <c r="KK50" t="s">
        <v>733</v>
      </c>
      <c r="KL50" t="s">
        <v>2482</v>
      </c>
      <c r="KM50" t="s">
        <v>736</v>
      </c>
      <c r="KN50" t="s">
        <v>1603</v>
      </c>
      <c r="KO50" t="s">
        <v>733</v>
      </c>
      <c r="KP50" t="s">
        <v>2040</v>
      </c>
      <c r="KQ50" t="s">
        <v>736</v>
      </c>
      <c r="KR50" t="s">
        <v>2488</v>
      </c>
      <c r="KS50" t="s">
        <v>733</v>
      </c>
      <c r="KT50" t="s">
        <v>2489</v>
      </c>
      <c r="KU50" t="s">
        <v>736</v>
      </c>
      <c r="KV50" t="s">
        <v>1447</v>
      </c>
      <c r="KW50" t="s">
        <v>733</v>
      </c>
      <c r="KX50" t="s">
        <v>1635</v>
      </c>
      <c r="KY50" t="s">
        <v>736</v>
      </c>
      <c r="KZ50" t="s">
        <v>1512</v>
      </c>
      <c r="LA50" t="s">
        <v>733</v>
      </c>
      <c r="LB50" t="s">
        <v>2490</v>
      </c>
      <c r="LC50" t="s">
        <v>736</v>
      </c>
      <c r="LD50" t="s">
        <v>1603</v>
      </c>
      <c r="LE50" t="s">
        <v>736</v>
      </c>
      <c r="LF50" t="s">
        <v>2491</v>
      </c>
      <c r="LG50" t="s">
        <v>736</v>
      </c>
      <c r="LH50" t="s">
        <v>1603</v>
      </c>
      <c r="LI50" t="s">
        <v>736</v>
      </c>
      <c r="LJ50" t="s">
        <v>2492</v>
      </c>
      <c r="LK50" t="s">
        <v>733</v>
      </c>
      <c r="LL50" t="s">
        <v>2493</v>
      </c>
      <c r="LM50" t="s">
        <v>733</v>
      </c>
      <c r="LN50" t="s">
        <v>2187</v>
      </c>
      <c r="LO50" t="s">
        <v>736</v>
      </c>
      <c r="LP50" t="s">
        <v>1562</v>
      </c>
      <c r="LQ50" t="s">
        <v>736</v>
      </c>
      <c r="LR50" t="s">
        <v>1558</v>
      </c>
      <c r="LS50" t="s">
        <v>733</v>
      </c>
      <c r="LT50" t="s">
        <v>2172</v>
      </c>
      <c r="LU50" t="s">
        <v>733</v>
      </c>
      <c r="LV50" t="s">
        <v>2494</v>
      </c>
      <c r="LW50" t="s">
        <v>733</v>
      </c>
      <c r="LX50" t="s">
        <v>2340</v>
      </c>
      <c r="LY50" t="s">
        <v>733</v>
      </c>
      <c r="LZ50" t="s">
        <v>2495</v>
      </c>
      <c r="MA50" t="s">
        <v>733</v>
      </c>
      <c r="MB50" t="s">
        <v>2496</v>
      </c>
      <c r="MC50" t="s">
        <v>733</v>
      </c>
      <c r="MD50" t="s">
        <v>2497</v>
      </c>
      <c r="ME50" t="s">
        <v>733</v>
      </c>
      <c r="MF50" t="s">
        <v>2498</v>
      </c>
      <c r="MG50" t="s">
        <v>733</v>
      </c>
      <c r="MH50" t="s">
        <v>2499</v>
      </c>
      <c r="MI50" t="s">
        <v>733</v>
      </c>
      <c r="MJ50" t="s">
        <v>2500</v>
      </c>
      <c r="MK50" t="s">
        <v>733</v>
      </c>
      <c r="ML50" t="s">
        <v>2501</v>
      </c>
      <c r="MM50" t="s">
        <v>70</v>
      </c>
      <c r="MO50" t="s">
        <v>783</v>
      </c>
      <c r="MP50" t="s">
        <v>783</v>
      </c>
      <c r="MQ50" t="s">
        <v>783</v>
      </c>
      <c r="MR50" t="s">
        <v>783</v>
      </c>
      <c r="MS50" t="s">
        <v>783</v>
      </c>
      <c r="MT50" t="s">
        <v>783</v>
      </c>
      <c r="MU50" t="s">
        <v>783</v>
      </c>
      <c r="MV50" t="s">
        <v>783</v>
      </c>
      <c r="MW50" t="s">
        <v>783</v>
      </c>
      <c r="MX50" t="s">
        <v>783</v>
      </c>
      <c r="MZ50" t="s">
        <v>783</v>
      </c>
      <c r="NA50" t="s">
        <v>783</v>
      </c>
      <c r="NB50" t="s">
        <v>783</v>
      </c>
      <c r="NC50" t="s">
        <v>783</v>
      </c>
      <c r="ND50" t="s">
        <v>783</v>
      </c>
      <c r="NE50" t="s">
        <v>784</v>
      </c>
      <c r="NF50" t="s">
        <v>783</v>
      </c>
      <c r="NG50" t="s">
        <v>783</v>
      </c>
      <c r="NH50" t="s">
        <v>783</v>
      </c>
      <c r="NI50" t="s">
        <v>783</v>
      </c>
      <c r="NJ50" t="s">
        <v>783</v>
      </c>
      <c r="NK50" t="s">
        <v>783</v>
      </c>
      <c r="NL50" t="s">
        <v>783</v>
      </c>
      <c r="NM50" t="s">
        <v>783</v>
      </c>
      <c r="NN50" t="s">
        <v>784</v>
      </c>
      <c r="NO50" t="s">
        <v>784</v>
      </c>
      <c r="NP50" t="s">
        <v>783</v>
      </c>
      <c r="NQ50" t="s">
        <v>783</v>
      </c>
      <c r="NR50" t="s">
        <v>783</v>
      </c>
      <c r="NS50" t="s">
        <v>784</v>
      </c>
      <c r="NT50" t="s">
        <v>784</v>
      </c>
      <c r="NU50" t="s">
        <v>783</v>
      </c>
      <c r="NV50" t="s">
        <v>784</v>
      </c>
      <c r="NW50" t="s">
        <v>784</v>
      </c>
      <c r="NX50" t="s">
        <v>783</v>
      </c>
      <c r="NY50" t="s">
        <v>784</v>
      </c>
      <c r="NZ50" t="s">
        <v>784</v>
      </c>
      <c r="OA50" t="s">
        <v>783</v>
      </c>
      <c r="OB50" t="s">
        <v>784</v>
      </c>
      <c r="OC50" t="s">
        <v>783</v>
      </c>
      <c r="OD50" t="s">
        <v>783</v>
      </c>
      <c r="OE50" t="s">
        <v>783</v>
      </c>
      <c r="OF50" t="s">
        <v>783</v>
      </c>
      <c r="OG50" t="s">
        <v>783</v>
      </c>
      <c r="OH50" t="s">
        <v>783</v>
      </c>
      <c r="OI50" t="s">
        <v>783</v>
      </c>
      <c r="OJ50" t="s">
        <v>783</v>
      </c>
    </row>
    <row r="51" spans="1:400" x14ac:dyDescent="0.25">
      <c r="A51">
        <v>47</v>
      </c>
      <c r="B51" t="s">
        <v>267</v>
      </c>
      <c r="C51" t="s">
        <v>268</v>
      </c>
      <c r="D51" t="s">
        <v>97</v>
      </c>
      <c r="E51">
        <v>61</v>
      </c>
      <c r="F51" t="s">
        <v>58</v>
      </c>
      <c r="G51" t="s">
        <v>59</v>
      </c>
      <c r="H51" t="s">
        <v>250</v>
      </c>
      <c r="I51" t="s">
        <v>61</v>
      </c>
      <c r="J51" t="s">
        <v>62</v>
      </c>
      <c r="K51" t="s">
        <v>63</v>
      </c>
      <c r="M51" t="s">
        <v>146</v>
      </c>
      <c r="N51" t="s">
        <v>269</v>
      </c>
      <c r="O51">
        <v>3</v>
      </c>
      <c r="P51" s="1">
        <v>80000</v>
      </c>
      <c r="Q51" s="1">
        <v>50000</v>
      </c>
      <c r="R51" t="s">
        <v>270</v>
      </c>
      <c r="S51" s="7">
        <v>25000</v>
      </c>
      <c r="T51" t="s">
        <v>70</v>
      </c>
      <c r="U51" s="5">
        <v>0</v>
      </c>
      <c r="V51" s="3" t="s">
        <v>269</v>
      </c>
      <c r="W51" s="5">
        <v>50000</v>
      </c>
      <c r="X51" t="s">
        <v>73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P51" t="s">
        <v>63</v>
      </c>
      <c r="AR51">
        <v>1</v>
      </c>
      <c r="AS51" s="2">
        <v>0.25</v>
      </c>
      <c r="AT51" t="s">
        <v>509</v>
      </c>
      <c r="AU51">
        <v>0</v>
      </c>
      <c r="AV51">
        <v>1</v>
      </c>
      <c r="AW51">
        <v>0</v>
      </c>
      <c r="AX51">
        <v>0</v>
      </c>
      <c r="AY51">
        <v>0</v>
      </c>
      <c r="AZ51" t="s">
        <v>560</v>
      </c>
      <c r="BA51" t="s">
        <v>511</v>
      </c>
      <c r="BC51" t="s">
        <v>512</v>
      </c>
      <c r="BD51" t="s">
        <v>507</v>
      </c>
      <c r="BE51">
        <v>2010</v>
      </c>
      <c r="BF51">
        <v>13</v>
      </c>
      <c r="BG51" t="s">
        <v>561</v>
      </c>
      <c r="BH51">
        <v>1</v>
      </c>
      <c r="BI51">
        <v>0</v>
      </c>
      <c r="BJ51">
        <v>0</v>
      </c>
      <c r="BK51">
        <v>0</v>
      </c>
      <c r="BL51">
        <v>1</v>
      </c>
      <c r="BM51" t="s">
        <v>63</v>
      </c>
      <c r="BN51" t="s">
        <v>84</v>
      </c>
      <c r="CM51" t="s">
        <v>785</v>
      </c>
      <c r="CN51" t="s">
        <v>63</v>
      </c>
      <c r="CO51" t="s">
        <v>84</v>
      </c>
      <c r="CZ51" s="26"/>
      <c r="DA51" s="27"/>
      <c r="DB51" t="s">
        <v>976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J51" t="s">
        <v>84</v>
      </c>
      <c r="DK51" s="35"/>
      <c r="DL51" s="37"/>
      <c r="FI51" t="s">
        <v>736</v>
      </c>
      <c r="FJ51" t="s">
        <v>2502</v>
      </c>
      <c r="FK51" t="s">
        <v>736</v>
      </c>
      <c r="FL51" t="s">
        <v>2503</v>
      </c>
      <c r="FM51" t="s">
        <v>733</v>
      </c>
      <c r="FN51" t="s">
        <v>2504</v>
      </c>
      <c r="FO51" t="s">
        <v>736</v>
      </c>
      <c r="FP51" t="s">
        <v>2505</v>
      </c>
      <c r="FQ51" t="s">
        <v>736</v>
      </c>
      <c r="FR51" t="s">
        <v>2506</v>
      </c>
      <c r="FS51" t="s">
        <v>736</v>
      </c>
      <c r="FT51" t="s">
        <v>2506</v>
      </c>
      <c r="FU51" t="s">
        <v>736</v>
      </c>
      <c r="FV51" t="s">
        <v>2507</v>
      </c>
      <c r="FW51" t="s">
        <v>736</v>
      </c>
      <c r="FX51" t="s">
        <v>2508</v>
      </c>
      <c r="FY51" t="s">
        <v>736</v>
      </c>
      <c r="FZ51" t="s">
        <v>2509</v>
      </c>
      <c r="GA51" t="s">
        <v>736</v>
      </c>
      <c r="GB51" t="s">
        <v>2509</v>
      </c>
      <c r="GC51" t="s">
        <v>736</v>
      </c>
      <c r="GD51" t="s">
        <v>2509</v>
      </c>
      <c r="GE51" t="s">
        <v>736</v>
      </c>
      <c r="GF51" t="s">
        <v>2509</v>
      </c>
      <c r="GG51" t="s">
        <v>736</v>
      </c>
      <c r="GH51" t="s">
        <v>1306</v>
      </c>
      <c r="GI51" t="s">
        <v>736</v>
      </c>
      <c r="GJ51" t="s">
        <v>1306</v>
      </c>
      <c r="GK51" t="s">
        <v>736</v>
      </c>
      <c r="GL51" t="s">
        <v>2510</v>
      </c>
      <c r="GM51" t="s">
        <v>736</v>
      </c>
      <c r="GN51" t="s">
        <v>2510</v>
      </c>
      <c r="GO51" t="s">
        <v>736</v>
      </c>
      <c r="GP51" t="s">
        <v>2511</v>
      </c>
      <c r="GQ51" t="s">
        <v>736</v>
      </c>
      <c r="GR51" t="s">
        <v>2511</v>
      </c>
      <c r="GS51" t="s">
        <v>736</v>
      </c>
      <c r="GT51" t="s">
        <v>2511</v>
      </c>
      <c r="GU51" t="s">
        <v>736</v>
      </c>
      <c r="GV51" t="s">
        <v>2511</v>
      </c>
      <c r="GW51" t="s">
        <v>736</v>
      </c>
      <c r="GX51" t="s">
        <v>2512</v>
      </c>
      <c r="GY51" t="s">
        <v>736</v>
      </c>
      <c r="GZ51" t="s">
        <v>2512</v>
      </c>
      <c r="HA51" t="s">
        <v>736</v>
      </c>
      <c r="HB51" t="s">
        <v>2512</v>
      </c>
      <c r="HC51" t="s">
        <v>736</v>
      </c>
      <c r="HD51" t="s">
        <v>2512</v>
      </c>
      <c r="HE51" t="s">
        <v>798</v>
      </c>
      <c r="HF51" t="s">
        <v>2512</v>
      </c>
      <c r="HG51" t="s">
        <v>736</v>
      </c>
      <c r="HH51" t="s">
        <v>2512</v>
      </c>
      <c r="HI51" t="s">
        <v>736</v>
      </c>
      <c r="HJ51" t="s">
        <v>2512</v>
      </c>
      <c r="HK51" t="s">
        <v>736</v>
      </c>
      <c r="HL51" t="s">
        <v>2512</v>
      </c>
      <c r="HM51" t="s">
        <v>736</v>
      </c>
      <c r="HN51" t="s">
        <v>1289</v>
      </c>
      <c r="HO51" t="s">
        <v>736</v>
      </c>
      <c r="HP51" t="s">
        <v>2513</v>
      </c>
      <c r="HQ51" t="s">
        <v>746</v>
      </c>
      <c r="HR51" t="s">
        <v>2514</v>
      </c>
      <c r="HS51" t="s">
        <v>736</v>
      </c>
      <c r="HT51" t="s">
        <v>2515</v>
      </c>
      <c r="HU51" t="s">
        <v>736</v>
      </c>
      <c r="HV51" t="s">
        <v>2515</v>
      </c>
      <c r="HW51" t="s">
        <v>736</v>
      </c>
      <c r="HX51" t="s">
        <v>2511</v>
      </c>
      <c r="HY51" t="s">
        <v>736</v>
      </c>
      <c r="HZ51" t="s">
        <v>2511</v>
      </c>
      <c r="IA51" t="s">
        <v>736</v>
      </c>
      <c r="IB51" t="s">
        <v>2511</v>
      </c>
      <c r="IC51" t="s">
        <v>736</v>
      </c>
      <c r="ID51" t="s">
        <v>2511</v>
      </c>
      <c r="IE51" t="s">
        <v>736</v>
      </c>
      <c r="IF51" t="s">
        <v>2512</v>
      </c>
      <c r="IG51" t="s">
        <v>736</v>
      </c>
      <c r="IH51" t="s">
        <v>2512</v>
      </c>
      <c r="II51" t="s">
        <v>736</v>
      </c>
      <c r="IJ51" t="s">
        <v>2516</v>
      </c>
      <c r="IK51" t="s">
        <v>736</v>
      </c>
      <c r="IL51" t="s">
        <v>2516</v>
      </c>
      <c r="IM51" t="s">
        <v>736</v>
      </c>
      <c r="IN51" t="s">
        <v>1306</v>
      </c>
      <c r="IO51" t="s">
        <v>736</v>
      </c>
      <c r="IP51" t="s">
        <v>1306</v>
      </c>
      <c r="IQ51" t="s">
        <v>736</v>
      </c>
      <c r="IR51" t="s">
        <v>1306</v>
      </c>
      <c r="IS51" t="s">
        <v>736</v>
      </c>
      <c r="IT51" t="s">
        <v>1306</v>
      </c>
      <c r="IU51" t="s">
        <v>736</v>
      </c>
      <c r="IV51" t="s">
        <v>1306</v>
      </c>
      <c r="IW51" t="s">
        <v>733</v>
      </c>
      <c r="IX51" t="s">
        <v>2517</v>
      </c>
      <c r="IY51" t="s">
        <v>736</v>
      </c>
      <c r="IZ51" t="s">
        <v>1306</v>
      </c>
      <c r="JA51" t="s">
        <v>746</v>
      </c>
      <c r="JB51" t="s">
        <v>2518</v>
      </c>
      <c r="JC51" t="s">
        <v>736</v>
      </c>
      <c r="JD51" t="s">
        <v>1306</v>
      </c>
      <c r="JE51" t="s">
        <v>733</v>
      </c>
      <c r="JF51" t="s">
        <v>2519</v>
      </c>
      <c r="JS51" t="s">
        <v>736</v>
      </c>
      <c r="JT51" t="s">
        <v>1306</v>
      </c>
      <c r="JU51" t="s">
        <v>733</v>
      </c>
      <c r="JV51" t="s">
        <v>2519</v>
      </c>
      <c r="JW51" t="s">
        <v>736</v>
      </c>
      <c r="JX51" t="s">
        <v>1306</v>
      </c>
      <c r="JY51" t="s">
        <v>733</v>
      </c>
      <c r="JZ51" t="s">
        <v>2519</v>
      </c>
      <c r="KE51" t="s">
        <v>736</v>
      </c>
      <c r="KF51" t="s">
        <v>1306</v>
      </c>
      <c r="KG51" t="s">
        <v>746</v>
      </c>
      <c r="KH51" t="s">
        <v>2520</v>
      </c>
      <c r="KI51" t="s">
        <v>736</v>
      </c>
      <c r="KJ51" t="s">
        <v>1306</v>
      </c>
      <c r="KK51" t="s">
        <v>746</v>
      </c>
      <c r="KL51" t="s">
        <v>2521</v>
      </c>
      <c r="KM51" t="s">
        <v>736</v>
      </c>
      <c r="KN51" t="s">
        <v>1306</v>
      </c>
      <c r="KO51" t="s">
        <v>733</v>
      </c>
      <c r="KP51" t="s">
        <v>2522</v>
      </c>
      <c r="KQ51" t="s">
        <v>736</v>
      </c>
      <c r="KR51" t="s">
        <v>1306</v>
      </c>
      <c r="KS51" t="s">
        <v>733</v>
      </c>
      <c r="KT51" t="s">
        <v>2523</v>
      </c>
      <c r="KU51" t="s">
        <v>736</v>
      </c>
      <c r="KV51" t="s">
        <v>2524</v>
      </c>
      <c r="KW51" t="s">
        <v>736</v>
      </c>
      <c r="KX51" t="s">
        <v>2524</v>
      </c>
      <c r="KY51" t="s">
        <v>736</v>
      </c>
      <c r="KZ51" t="s">
        <v>2524</v>
      </c>
      <c r="LA51" t="s">
        <v>736</v>
      </c>
      <c r="LB51" t="s">
        <v>2524</v>
      </c>
      <c r="LC51" t="s">
        <v>736</v>
      </c>
      <c r="LD51" t="s">
        <v>2512</v>
      </c>
      <c r="LE51" t="s">
        <v>736</v>
      </c>
      <c r="LF51" t="s">
        <v>2512</v>
      </c>
      <c r="LG51" t="s">
        <v>736</v>
      </c>
      <c r="LH51" t="s">
        <v>2512</v>
      </c>
      <c r="LI51" t="s">
        <v>736</v>
      </c>
      <c r="LJ51" t="s">
        <v>2512</v>
      </c>
      <c r="LK51" t="s">
        <v>736</v>
      </c>
      <c r="LL51" t="s">
        <v>1306</v>
      </c>
      <c r="LM51" t="s">
        <v>736</v>
      </c>
      <c r="LN51" t="s">
        <v>1306</v>
      </c>
      <c r="LO51" t="s">
        <v>736</v>
      </c>
      <c r="LP51" t="s">
        <v>2511</v>
      </c>
      <c r="LQ51" t="s">
        <v>736</v>
      </c>
      <c r="LR51" t="s">
        <v>2525</v>
      </c>
      <c r="LS51" t="s">
        <v>736</v>
      </c>
      <c r="LT51" t="s">
        <v>2512</v>
      </c>
      <c r="LU51" t="s">
        <v>736</v>
      </c>
      <c r="LV51" t="s">
        <v>2512</v>
      </c>
      <c r="LW51" t="s">
        <v>736</v>
      </c>
      <c r="LX51" t="s">
        <v>2526</v>
      </c>
      <c r="LY51" t="s">
        <v>736</v>
      </c>
      <c r="LZ51" t="s">
        <v>1306</v>
      </c>
      <c r="MA51" t="s">
        <v>736</v>
      </c>
      <c r="MB51" t="s">
        <v>1306</v>
      </c>
      <c r="MC51" t="s">
        <v>736</v>
      </c>
      <c r="MD51" t="s">
        <v>1306</v>
      </c>
      <c r="ME51" t="s">
        <v>736</v>
      </c>
      <c r="MF51" t="s">
        <v>2512</v>
      </c>
      <c r="MG51" t="s">
        <v>736</v>
      </c>
      <c r="MH51" t="s">
        <v>2512</v>
      </c>
      <c r="MI51" t="s">
        <v>736</v>
      </c>
      <c r="MJ51" t="s">
        <v>1306</v>
      </c>
      <c r="MK51" t="s">
        <v>736</v>
      </c>
      <c r="ML51" t="s">
        <v>1306</v>
      </c>
      <c r="MO51" t="s">
        <v>783</v>
      </c>
      <c r="MP51" t="s">
        <v>783</v>
      </c>
      <c r="MQ51" t="s">
        <v>783</v>
      </c>
      <c r="MR51" t="s">
        <v>783</v>
      </c>
      <c r="MS51" t="s">
        <v>783</v>
      </c>
      <c r="MT51" t="s">
        <v>783</v>
      </c>
      <c r="MU51" t="s">
        <v>783</v>
      </c>
      <c r="MV51" t="s">
        <v>783</v>
      </c>
      <c r="MW51" t="s">
        <v>783</v>
      </c>
      <c r="MX51" t="s">
        <v>783</v>
      </c>
      <c r="MZ51" t="s">
        <v>783</v>
      </c>
      <c r="NA51" t="s">
        <v>783</v>
      </c>
      <c r="NB51" t="s">
        <v>783</v>
      </c>
      <c r="NC51" t="s">
        <v>783</v>
      </c>
      <c r="ND51" t="s">
        <v>783</v>
      </c>
      <c r="NE51" t="s">
        <v>784</v>
      </c>
      <c r="NF51" t="s">
        <v>784</v>
      </c>
      <c r="NG51" t="s">
        <v>907</v>
      </c>
      <c r="NH51" t="s">
        <v>783</v>
      </c>
      <c r="NI51" t="s">
        <v>783</v>
      </c>
      <c r="NJ51" t="s">
        <v>783</v>
      </c>
      <c r="NK51" t="s">
        <v>783</v>
      </c>
      <c r="NL51" t="s">
        <v>783</v>
      </c>
      <c r="NM51" t="s">
        <v>783</v>
      </c>
      <c r="NN51" t="s">
        <v>784</v>
      </c>
      <c r="NO51" t="s">
        <v>784</v>
      </c>
      <c r="NP51" t="s">
        <v>783</v>
      </c>
      <c r="NQ51" t="s">
        <v>783</v>
      </c>
      <c r="NR51" t="s">
        <v>783</v>
      </c>
      <c r="NS51" t="s">
        <v>783</v>
      </c>
      <c r="NT51" t="s">
        <v>784</v>
      </c>
      <c r="NU51" t="s">
        <v>783</v>
      </c>
      <c r="NV51" t="s">
        <v>784</v>
      </c>
      <c r="NW51" t="s">
        <v>784</v>
      </c>
      <c r="NX51" t="s">
        <v>783</v>
      </c>
      <c r="NY51" t="s">
        <v>784</v>
      </c>
      <c r="NZ51" t="s">
        <v>783</v>
      </c>
      <c r="OA51" t="s">
        <v>784</v>
      </c>
      <c r="OB51" t="s">
        <v>784</v>
      </c>
      <c r="OC51" t="s">
        <v>783</v>
      </c>
      <c r="OD51" t="s">
        <v>783</v>
      </c>
      <c r="OE51" t="s">
        <v>783</v>
      </c>
      <c r="OF51" t="s">
        <v>783</v>
      </c>
      <c r="OG51" t="s">
        <v>783</v>
      </c>
      <c r="OH51" t="s">
        <v>783</v>
      </c>
      <c r="OI51" t="s">
        <v>783</v>
      </c>
      <c r="OJ51" t="s">
        <v>783</v>
      </c>
    </row>
    <row r="52" spans="1:400" x14ac:dyDescent="0.25">
      <c r="A52">
        <v>48</v>
      </c>
      <c r="B52" t="s">
        <v>272</v>
      </c>
      <c r="C52" t="s">
        <v>273</v>
      </c>
      <c r="D52" t="s">
        <v>57</v>
      </c>
      <c r="E52">
        <v>46</v>
      </c>
      <c r="F52" t="s">
        <v>58</v>
      </c>
      <c r="G52" t="s">
        <v>105</v>
      </c>
      <c r="H52" t="s">
        <v>60</v>
      </c>
      <c r="I52" t="s">
        <v>61</v>
      </c>
      <c r="J52" t="s">
        <v>62</v>
      </c>
      <c r="K52" t="s">
        <v>63</v>
      </c>
      <c r="M52" t="s">
        <v>146</v>
      </c>
      <c r="N52" t="s">
        <v>70</v>
      </c>
      <c r="O52">
        <v>6</v>
      </c>
      <c r="P52" s="1">
        <v>258000</v>
      </c>
      <c r="Q52" s="1">
        <v>0</v>
      </c>
      <c r="R52" t="s">
        <v>276</v>
      </c>
      <c r="S52" s="7">
        <v>240000</v>
      </c>
      <c r="T52" t="s">
        <v>70</v>
      </c>
      <c r="U52" s="5">
        <v>0</v>
      </c>
      <c r="V52" s="3" t="s">
        <v>70</v>
      </c>
      <c r="W52" s="5">
        <v>0</v>
      </c>
      <c r="X52" t="s">
        <v>129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P52" t="s">
        <v>63</v>
      </c>
      <c r="AR52">
        <v>1</v>
      </c>
      <c r="AS52" s="2">
        <v>0.8</v>
      </c>
      <c r="AT52" t="s">
        <v>509</v>
      </c>
      <c r="AU52">
        <v>0</v>
      </c>
      <c r="AV52">
        <v>1</v>
      </c>
      <c r="AW52">
        <v>0</v>
      </c>
      <c r="AX52">
        <v>0</v>
      </c>
      <c r="AY52">
        <v>0</v>
      </c>
      <c r="AZ52" t="s">
        <v>527</v>
      </c>
      <c r="BA52" t="s">
        <v>505</v>
      </c>
      <c r="BC52" t="s">
        <v>512</v>
      </c>
      <c r="BD52" t="s">
        <v>507</v>
      </c>
      <c r="BE52">
        <v>2011</v>
      </c>
      <c r="BF52">
        <v>12</v>
      </c>
      <c r="BG52" t="s">
        <v>508</v>
      </c>
      <c r="BH52">
        <v>1</v>
      </c>
      <c r="BI52">
        <v>0</v>
      </c>
      <c r="BJ52">
        <v>0</v>
      </c>
      <c r="BK52">
        <v>0</v>
      </c>
      <c r="BL52">
        <v>0</v>
      </c>
      <c r="BM52" t="s">
        <v>63</v>
      </c>
      <c r="BN52" t="s">
        <v>63</v>
      </c>
      <c r="BO52" t="s">
        <v>3864</v>
      </c>
      <c r="BP52" t="s">
        <v>3845</v>
      </c>
      <c r="BR52" t="s">
        <v>3881</v>
      </c>
      <c r="BS52" t="s">
        <v>3838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CA52" t="s">
        <v>3839</v>
      </c>
      <c r="CC52" t="s">
        <v>3840</v>
      </c>
      <c r="CD52" t="s">
        <v>3869</v>
      </c>
      <c r="CE52" t="s">
        <v>3862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1</v>
      </c>
      <c r="CN52" t="s">
        <v>63</v>
      </c>
      <c r="CO52" t="s">
        <v>732</v>
      </c>
      <c r="CP52" t="s">
        <v>3954</v>
      </c>
      <c r="CQ52" t="s">
        <v>3963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1</v>
      </c>
      <c r="CX52" t="s">
        <v>3964</v>
      </c>
      <c r="CY52" t="s">
        <v>4013</v>
      </c>
      <c r="CZ52" s="26" t="s">
        <v>4014</v>
      </c>
      <c r="DA52" s="27" t="s">
        <v>4214</v>
      </c>
      <c r="DJ52" t="s">
        <v>63</v>
      </c>
      <c r="DK52" s="35" t="s">
        <v>4134</v>
      </c>
      <c r="DL52" s="37" t="s">
        <v>4258</v>
      </c>
      <c r="DM52" t="s">
        <v>2996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N52" t="s">
        <v>4135</v>
      </c>
      <c r="EO52" t="s">
        <v>4136</v>
      </c>
      <c r="EP52">
        <v>1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 t="s">
        <v>4105</v>
      </c>
      <c r="EZ52">
        <v>0</v>
      </c>
      <c r="FA52">
        <v>0</v>
      </c>
      <c r="FB52">
        <v>1</v>
      </c>
      <c r="FC52">
        <v>0</v>
      </c>
      <c r="FF52" t="s">
        <v>4116</v>
      </c>
      <c r="FI52" t="s">
        <v>733</v>
      </c>
      <c r="FJ52" t="s">
        <v>2527</v>
      </c>
      <c r="FK52" t="s">
        <v>733</v>
      </c>
      <c r="FL52" t="s">
        <v>2527</v>
      </c>
      <c r="FM52" t="s">
        <v>733</v>
      </c>
      <c r="FN52" t="s">
        <v>2528</v>
      </c>
      <c r="FO52" t="s">
        <v>733</v>
      </c>
      <c r="FP52" t="s">
        <v>2529</v>
      </c>
      <c r="FQ52" t="s">
        <v>733</v>
      </c>
      <c r="FR52" t="s">
        <v>2530</v>
      </c>
      <c r="FS52" t="s">
        <v>733</v>
      </c>
      <c r="FT52" t="s">
        <v>2531</v>
      </c>
      <c r="FU52" t="s">
        <v>733</v>
      </c>
      <c r="FV52" t="s">
        <v>2532</v>
      </c>
      <c r="FW52" t="s">
        <v>733</v>
      </c>
      <c r="FX52" t="s">
        <v>2533</v>
      </c>
      <c r="FY52" t="s">
        <v>733</v>
      </c>
      <c r="FZ52" t="s">
        <v>2534</v>
      </c>
      <c r="GA52" t="s">
        <v>733</v>
      </c>
      <c r="GB52" t="s">
        <v>2535</v>
      </c>
      <c r="GC52" t="s">
        <v>733</v>
      </c>
      <c r="GD52" t="s">
        <v>2536</v>
      </c>
      <c r="GE52" t="s">
        <v>733</v>
      </c>
      <c r="GF52" t="s">
        <v>2537</v>
      </c>
      <c r="GG52" t="s">
        <v>733</v>
      </c>
      <c r="GH52" t="s">
        <v>2538</v>
      </c>
      <c r="GI52" t="s">
        <v>733</v>
      </c>
      <c r="GJ52" t="s">
        <v>2539</v>
      </c>
      <c r="GK52" t="s">
        <v>733</v>
      </c>
      <c r="GL52" t="s">
        <v>2540</v>
      </c>
      <c r="GM52" t="s">
        <v>736</v>
      </c>
      <c r="GN52" t="s">
        <v>2541</v>
      </c>
      <c r="GO52" t="s">
        <v>733</v>
      </c>
      <c r="GP52" t="s">
        <v>2542</v>
      </c>
      <c r="GQ52" t="s">
        <v>733</v>
      </c>
      <c r="GR52" t="s">
        <v>2543</v>
      </c>
      <c r="GS52" t="s">
        <v>733</v>
      </c>
      <c r="GT52" t="s">
        <v>1193</v>
      </c>
      <c r="GU52" t="s">
        <v>733</v>
      </c>
      <c r="GV52" t="s">
        <v>1193</v>
      </c>
      <c r="GW52" t="s">
        <v>736</v>
      </c>
      <c r="GX52" t="s">
        <v>1200</v>
      </c>
      <c r="GY52" t="s">
        <v>736</v>
      </c>
      <c r="GZ52" t="s">
        <v>1663</v>
      </c>
      <c r="HA52" t="s">
        <v>736</v>
      </c>
      <c r="HB52" t="s">
        <v>1200</v>
      </c>
      <c r="HC52" t="s">
        <v>733</v>
      </c>
      <c r="HD52" t="s">
        <v>928</v>
      </c>
      <c r="HE52" t="s">
        <v>798</v>
      </c>
      <c r="HF52" t="s">
        <v>2544</v>
      </c>
      <c r="HG52" t="s">
        <v>736</v>
      </c>
      <c r="HH52" t="s">
        <v>2545</v>
      </c>
      <c r="HI52" t="s">
        <v>733</v>
      </c>
      <c r="HJ52" t="s">
        <v>928</v>
      </c>
      <c r="HL52" t="s">
        <v>1104</v>
      </c>
      <c r="HN52" t="s">
        <v>1104</v>
      </c>
      <c r="HO52" t="s">
        <v>736</v>
      </c>
      <c r="HP52" t="s">
        <v>2546</v>
      </c>
      <c r="HQ52" t="s">
        <v>733</v>
      </c>
      <c r="HR52" t="s">
        <v>928</v>
      </c>
      <c r="HS52" t="s">
        <v>733</v>
      </c>
      <c r="HT52" t="s">
        <v>1716</v>
      </c>
      <c r="HU52" t="s">
        <v>733</v>
      </c>
      <c r="HV52" t="s">
        <v>1716</v>
      </c>
      <c r="HW52" t="s">
        <v>733</v>
      </c>
      <c r="HX52" t="s">
        <v>2293</v>
      </c>
      <c r="HY52" t="s">
        <v>733</v>
      </c>
      <c r="HZ52" t="s">
        <v>912</v>
      </c>
      <c r="IA52" t="s">
        <v>733</v>
      </c>
      <c r="IB52" t="s">
        <v>2547</v>
      </c>
      <c r="IC52" t="s">
        <v>733</v>
      </c>
      <c r="ID52" t="s">
        <v>2547</v>
      </c>
      <c r="IE52" t="s">
        <v>746</v>
      </c>
      <c r="IF52" t="s">
        <v>958</v>
      </c>
      <c r="IG52" t="s">
        <v>746</v>
      </c>
      <c r="IH52" t="s">
        <v>958</v>
      </c>
      <c r="II52" t="s">
        <v>733</v>
      </c>
      <c r="IJ52" t="s">
        <v>1120</v>
      </c>
      <c r="IK52" t="s">
        <v>733</v>
      </c>
      <c r="IL52" t="s">
        <v>1115</v>
      </c>
      <c r="IM52" t="s">
        <v>733</v>
      </c>
      <c r="IN52" t="s">
        <v>2534</v>
      </c>
      <c r="IO52" t="s">
        <v>733</v>
      </c>
      <c r="IP52" t="s">
        <v>2534</v>
      </c>
      <c r="IQ52" t="s">
        <v>733</v>
      </c>
      <c r="IR52" t="s">
        <v>2534</v>
      </c>
      <c r="IS52" t="s">
        <v>733</v>
      </c>
      <c r="IT52" t="s">
        <v>2548</v>
      </c>
      <c r="IU52" t="s">
        <v>733</v>
      </c>
      <c r="IV52" t="s">
        <v>2534</v>
      </c>
      <c r="IW52" t="s">
        <v>733</v>
      </c>
      <c r="IX52" t="s">
        <v>928</v>
      </c>
      <c r="IY52" t="s">
        <v>733</v>
      </c>
      <c r="IZ52" t="s">
        <v>2534</v>
      </c>
      <c r="JA52" t="s">
        <v>746</v>
      </c>
      <c r="JB52" t="s">
        <v>930</v>
      </c>
      <c r="JC52" t="s">
        <v>733</v>
      </c>
      <c r="JD52" t="s">
        <v>2534</v>
      </c>
      <c r="JE52" t="s">
        <v>733</v>
      </c>
      <c r="JF52" t="s">
        <v>928</v>
      </c>
      <c r="JG52" t="s">
        <v>733</v>
      </c>
      <c r="JH52" t="s">
        <v>2534</v>
      </c>
      <c r="JI52" t="s">
        <v>746</v>
      </c>
      <c r="JJ52" t="s">
        <v>930</v>
      </c>
      <c r="JL52" t="s">
        <v>1104</v>
      </c>
      <c r="JN52" t="s">
        <v>1104</v>
      </c>
      <c r="JP52" t="s">
        <v>1104</v>
      </c>
      <c r="JR52" t="s">
        <v>1104</v>
      </c>
      <c r="JS52" t="s">
        <v>733</v>
      </c>
      <c r="JT52" t="s">
        <v>2534</v>
      </c>
      <c r="JU52" t="s">
        <v>733</v>
      </c>
      <c r="JV52" t="s">
        <v>928</v>
      </c>
      <c r="JW52" t="s">
        <v>733</v>
      </c>
      <c r="JX52" t="s">
        <v>2534</v>
      </c>
      <c r="JY52" t="s">
        <v>746</v>
      </c>
      <c r="JZ52" t="s">
        <v>950</v>
      </c>
      <c r="KA52" t="s">
        <v>733</v>
      </c>
      <c r="KB52" t="s">
        <v>2534</v>
      </c>
      <c r="KC52" t="s">
        <v>746</v>
      </c>
      <c r="KD52" t="s">
        <v>930</v>
      </c>
      <c r="KE52" t="s">
        <v>733</v>
      </c>
      <c r="KF52" t="s">
        <v>2534</v>
      </c>
      <c r="KG52" t="s">
        <v>733</v>
      </c>
      <c r="KH52" t="s">
        <v>949</v>
      </c>
      <c r="KI52" t="s">
        <v>733</v>
      </c>
      <c r="KJ52" t="s">
        <v>2534</v>
      </c>
      <c r="KK52" t="s">
        <v>746</v>
      </c>
      <c r="KL52" t="s">
        <v>930</v>
      </c>
      <c r="KM52" t="s">
        <v>733</v>
      </c>
      <c r="KN52" t="s">
        <v>2534</v>
      </c>
      <c r="KO52" t="s">
        <v>733</v>
      </c>
      <c r="KP52" t="s">
        <v>928</v>
      </c>
      <c r="KQ52" t="s">
        <v>733</v>
      </c>
      <c r="KR52" t="s">
        <v>2534</v>
      </c>
      <c r="KS52" t="s">
        <v>746</v>
      </c>
      <c r="KT52" t="s">
        <v>930</v>
      </c>
      <c r="KU52" t="s">
        <v>733</v>
      </c>
      <c r="KV52" t="s">
        <v>2549</v>
      </c>
      <c r="KW52" t="s">
        <v>746</v>
      </c>
      <c r="KX52" t="s">
        <v>2550</v>
      </c>
      <c r="KY52" t="s">
        <v>746</v>
      </c>
      <c r="KZ52" t="s">
        <v>945</v>
      </c>
      <c r="LA52" t="s">
        <v>746</v>
      </c>
      <c r="LB52" t="s">
        <v>956</v>
      </c>
      <c r="LC52" t="s">
        <v>736</v>
      </c>
      <c r="LD52" t="s">
        <v>1263</v>
      </c>
      <c r="LE52" t="s">
        <v>736</v>
      </c>
      <c r="LF52" t="s">
        <v>1891</v>
      </c>
      <c r="LG52" t="s">
        <v>736</v>
      </c>
      <c r="LH52" t="s">
        <v>2551</v>
      </c>
      <c r="LI52" t="s">
        <v>736</v>
      </c>
      <c r="LJ52" t="s">
        <v>1891</v>
      </c>
      <c r="LK52" t="s">
        <v>733</v>
      </c>
      <c r="LL52" t="s">
        <v>2552</v>
      </c>
      <c r="LM52" t="s">
        <v>733</v>
      </c>
      <c r="LN52" t="s">
        <v>2553</v>
      </c>
      <c r="LO52" t="s">
        <v>733</v>
      </c>
      <c r="LP52" t="s">
        <v>2528</v>
      </c>
      <c r="LQ52" t="s">
        <v>733</v>
      </c>
      <c r="LR52" t="s">
        <v>2554</v>
      </c>
      <c r="LS52" t="s">
        <v>746</v>
      </c>
      <c r="LT52" t="s">
        <v>2555</v>
      </c>
      <c r="LU52" t="s">
        <v>746</v>
      </c>
      <c r="LV52" t="s">
        <v>2556</v>
      </c>
      <c r="LW52" t="s">
        <v>733</v>
      </c>
      <c r="LX52" t="s">
        <v>2538</v>
      </c>
      <c r="LY52" t="s">
        <v>746</v>
      </c>
      <c r="LZ52" t="s">
        <v>1605</v>
      </c>
      <c r="MA52" t="s">
        <v>746</v>
      </c>
      <c r="MB52" t="s">
        <v>2557</v>
      </c>
      <c r="MC52" t="s">
        <v>746</v>
      </c>
      <c r="MD52" t="s">
        <v>1708</v>
      </c>
      <c r="ME52" t="s">
        <v>733</v>
      </c>
      <c r="MF52" t="s">
        <v>1115</v>
      </c>
      <c r="MG52" t="s">
        <v>746</v>
      </c>
      <c r="MH52" t="s">
        <v>1708</v>
      </c>
      <c r="MI52" t="s">
        <v>733</v>
      </c>
      <c r="MJ52" t="s">
        <v>2538</v>
      </c>
      <c r="MK52" t="s">
        <v>746</v>
      </c>
      <c r="ML52" t="s">
        <v>2558</v>
      </c>
      <c r="MO52" t="s">
        <v>783</v>
      </c>
      <c r="MP52" t="s">
        <v>783</v>
      </c>
      <c r="MQ52" t="s">
        <v>783</v>
      </c>
      <c r="MR52" t="s">
        <v>783</v>
      </c>
      <c r="MS52" t="s">
        <v>783</v>
      </c>
      <c r="MT52" t="s">
        <v>783</v>
      </c>
      <c r="MU52" t="s">
        <v>783</v>
      </c>
      <c r="MV52" t="s">
        <v>783</v>
      </c>
      <c r="MW52" t="s">
        <v>783</v>
      </c>
      <c r="MX52" t="s">
        <v>783</v>
      </c>
      <c r="MZ52" t="s">
        <v>783</v>
      </c>
      <c r="NA52" t="s">
        <v>784</v>
      </c>
      <c r="NB52" t="s">
        <v>783</v>
      </c>
      <c r="NC52" t="s">
        <v>783</v>
      </c>
      <c r="ND52" t="s">
        <v>783</v>
      </c>
      <c r="NE52" t="s">
        <v>781</v>
      </c>
      <c r="NF52" t="s">
        <v>783</v>
      </c>
      <c r="NG52" t="s">
        <v>783</v>
      </c>
      <c r="NH52" t="s">
        <v>783</v>
      </c>
      <c r="NI52" t="s">
        <v>907</v>
      </c>
      <c r="NJ52" t="s">
        <v>783</v>
      </c>
      <c r="NK52" t="s">
        <v>783</v>
      </c>
      <c r="NL52" t="s">
        <v>781</v>
      </c>
      <c r="NM52" t="s">
        <v>783</v>
      </c>
      <c r="NN52" t="s">
        <v>784</v>
      </c>
      <c r="NO52" t="s">
        <v>783</v>
      </c>
      <c r="NP52" t="s">
        <v>907</v>
      </c>
      <c r="NQ52" t="s">
        <v>784</v>
      </c>
      <c r="NR52" t="s">
        <v>784</v>
      </c>
      <c r="NS52" t="s">
        <v>783</v>
      </c>
      <c r="NT52" t="s">
        <v>784</v>
      </c>
      <c r="NU52" t="s">
        <v>784</v>
      </c>
      <c r="NV52" t="s">
        <v>783</v>
      </c>
      <c r="NW52" t="s">
        <v>784</v>
      </c>
      <c r="NX52" t="s">
        <v>783</v>
      </c>
      <c r="NY52" t="s">
        <v>907</v>
      </c>
      <c r="NZ52" t="s">
        <v>784</v>
      </c>
      <c r="OA52" t="s">
        <v>907</v>
      </c>
      <c r="OB52" t="s">
        <v>784</v>
      </c>
      <c r="OC52" t="s">
        <v>784</v>
      </c>
      <c r="OD52" t="s">
        <v>784</v>
      </c>
      <c r="OE52" t="s">
        <v>783</v>
      </c>
      <c r="OF52" t="s">
        <v>783</v>
      </c>
      <c r="OG52" t="s">
        <v>783</v>
      </c>
      <c r="OH52" t="s">
        <v>783</v>
      </c>
      <c r="OI52" t="s">
        <v>783</v>
      </c>
      <c r="OJ52" t="s">
        <v>783</v>
      </c>
    </row>
    <row r="53" spans="1:400" x14ac:dyDescent="0.25">
      <c r="A53">
        <v>49</v>
      </c>
      <c r="B53" t="s">
        <v>284</v>
      </c>
      <c r="C53" t="s">
        <v>70</v>
      </c>
      <c r="D53" t="s">
        <v>57</v>
      </c>
      <c r="E53">
        <v>52</v>
      </c>
      <c r="F53" t="s">
        <v>58</v>
      </c>
      <c r="G53" t="s">
        <v>105</v>
      </c>
      <c r="H53" t="s">
        <v>60</v>
      </c>
      <c r="I53" t="s">
        <v>113</v>
      </c>
      <c r="J53" t="s">
        <v>62</v>
      </c>
      <c r="K53" t="s">
        <v>63</v>
      </c>
      <c r="M53" t="s">
        <v>280</v>
      </c>
      <c r="N53" t="s">
        <v>70</v>
      </c>
      <c r="O53">
        <v>7</v>
      </c>
      <c r="P53" s="1">
        <v>140000</v>
      </c>
      <c r="Q53" s="1">
        <v>0</v>
      </c>
      <c r="R53" t="s">
        <v>115</v>
      </c>
      <c r="S53" s="7">
        <v>140000</v>
      </c>
      <c r="T53" t="s">
        <v>70</v>
      </c>
      <c r="U53" s="5">
        <v>0</v>
      </c>
      <c r="V53" s="3" t="s">
        <v>70</v>
      </c>
      <c r="W53" s="5">
        <v>0</v>
      </c>
      <c r="X53" t="s">
        <v>94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 t="s">
        <v>63</v>
      </c>
      <c r="AR53">
        <v>1</v>
      </c>
      <c r="AS53" s="2">
        <v>0.75</v>
      </c>
      <c r="AT53" t="s">
        <v>503</v>
      </c>
      <c r="AU53">
        <v>0</v>
      </c>
      <c r="AV53">
        <v>0</v>
      </c>
      <c r="AW53">
        <v>0</v>
      </c>
      <c r="AX53">
        <v>1</v>
      </c>
      <c r="AY53">
        <v>0</v>
      </c>
      <c r="AZ53" t="s">
        <v>527</v>
      </c>
      <c r="BA53" t="s">
        <v>505</v>
      </c>
      <c r="BC53" t="s">
        <v>506</v>
      </c>
      <c r="BD53" t="s">
        <v>507</v>
      </c>
      <c r="BE53">
        <v>1996</v>
      </c>
      <c r="BF53">
        <v>27</v>
      </c>
      <c r="BG53" t="s">
        <v>508</v>
      </c>
      <c r="BH53">
        <v>1</v>
      </c>
      <c r="BI53">
        <v>0</v>
      </c>
      <c r="BJ53">
        <v>0</v>
      </c>
      <c r="BK53">
        <v>0</v>
      </c>
      <c r="BL53">
        <v>0</v>
      </c>
      <c r="BM53" t="s">
        <v>84</v>
      </c>
      <c r="BN53" t="s">
        <v>84</v>
      </c>
      <c r="CM53" t="s">
        <v>1072</v>
      </c>
      <c r="CN53" t="s">
        <v>84</v>
      </c>
      <c r="CO53" t="s">
        <v>84</v>
      </c>
      <c r="CZ53" s="26"/>
      <c r="DA53" s="27"/>
      <c r="DB53" t="s">
        <v>976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J53" t="s">
        <v>63</v>
      </c>
      <c r="DK53" s="35" t="s">
        <v>4137</v>
      </c>
      <c r="DL53" s="37" t="s">
        <v>4257</v>
      </c>
      <c r="DM53" t="s">
        <v>4121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M53" t="s">
        <v>3988</v>
      </c>
      <c r="EO53" t="s">
        <v>4138</v>
      </c>
      <c r="EP53">
        <v>1</v>
      </c>
      <c r="EQ53">
        <v>1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 t="s">
        <v>4105</v>
      </c>
      <c r="EZ53">
        <v>0</v>
      </c>
      <c r="FA53">
        <v>0</v>
      </c>
      <c r="FB53">
        <v>1</v>
      </c>
      <c r="FC53">
        <v>0</v>
      </c>
      <c r="FF53" t="s">
        <v>4116</v>
      </c>
      <c r="FI53" t="s">
        <v>733</v>
      </c>
      <c r="FJ53" t="s">
        <v>2559</v>
      </c>
      <c r="FK53" t="s">
        <v>733</v>
      </c>
      <c r="FL53" t="s">
        <v>2559</v>
      </c>
      <c r="FM53" t="s">
        <v>733</v>
      </c>
      <c r="FN53" t="s">
        <v>2560</v>
      </c>
      <c r="FO53" t="s">
        <v>736</v>
      </c>
      <c r="FP53" t="s">
        <v>1721</v>
      </c>
      <c r="FQ53" t="s">
        <v>733</v>
      </c>
      <c r="FR53" t="s">
        <v>2561</v>
      </c>
      <c r="FS53" t="s">
        <v>746</v>
      </c>
      <c r="FT53" t="s">
        <v>2562</v>
      </c>
      <c r="FU53" t="s">
        <v>733</v>
      </c>
      <c r="FV53" t="s">
        <v>1194</v>
      </c>
      <c r="FW53" t="s">
        <v>733</v>
      </c>
      <c r="FX53" t="s">
        <v>1194</v>
      </c>
      <c r="FY53" t="s">
        <v>733</v>
      </c>
      <c r="FZ53" t="s">
        <v>1689</v>
      </c>
      <c r="GA53" t="s">
        <v>733</v>
      </c>
      <c r="GB53" t="s">
        <v>2563</v>
      </c>
      <c r="GC53" t="s">
        <v>733</v>
      </c>
      <c r="GD53" t="s">
        <v>1689</v>
      </c>
      <c r="GE53" t="s">
        <v>733</v>
      </c>
      <c r="GF53" t="s">
        <v>2564</v>
      </c>
      <c r="GG53" t="s">
        <v>746</v>
      </c>
      <c r="GH53" t="s">
        <v>1006</v>
      </c>
      <c r="GI53" t="s">
        <v>746</v>
      </c>
      <c r="GJ53" t="s">
        <v>1006</v>
      </c>
      <c r="GK53" t="s">
        <v>733</v>
      </c>
      <c r="GL53" t="s">
        <v>912</v>
      </c>
      <c r="GM53" t="s">
        <v>746</v>
      </c>
      <c r="GN53" t="s">
        <v>2565</v>
      </c>
      <c r="GO53" t="s">
        <v>733</v>
      </c>
      <c r="GP53" t="s">
        <v>2566</v>
      </c>
      <c r="GQ53" t="s">
        <v>733</v>
      </c>
      <c r="GR53" t="s">
        <v>2543</v>
      </c>
      <c r="GS53" t="s">
        <v>736</v>
      </c>
      <c r="GT53" t="s">
        <v>2567</v>
      </c>
      <c r="GU53" t="s">
        <v>736</v>
      </c>
      <c r="GV53" t="s">
        <v>2568</v>
      </c>
      <c r="GW53" t="s">
        <v>736</v>
      </c>
      <c r="GX53" t="s">
        <v>2569</v>
      </c>
      <c r="GY53" t="s">
        <v>736</v>
      </c>
      <c r="GZ53" t="s">
        <v>1663</v>
      </c>
      <c r="HA53" t="s">
        <v>736</v>
      </c>
      <c r="HB53" t="s">
        <v>1200</v>
      </c>
      <c r="HC53" t="s">
        <v>736</v>
      </c>
      <c r="HD53" t="s">
        <v>1662</v>
      </c>
      <c r="HE53" t="s">
        <v>798</v>
      </c>
      <c r="HF53" t="s">
        <v>1200</v>
      </c>
      <c r="HG53" t="s">
        <v>736</v>
      </c>
      <c r="HH53" t="s">
        <v>1200</v>
      </c>
      <c r="HI53" t="s">
        <v>736</v>
      </c>
      <c r="HJ53" t="s">
        <v>1662</v>
      </c>
      <c r="HK53" t="s">
        <v>746</v>
      </c>
      <c r="HL53" t="s">
        <v>1142</v>
      </c>
      <c r="HM53" t="s">
        <v>746</v>
      </c>
      <c r="HN53" t="s">
        <v>930</v>
      </c>
      <c r="HO53" t="s">
        <v>746</v>
      </c>
      <c r="HP53" t="s">
        <v>1103</v>
      </c>
      <c r="HQ53" t="s">
        <v>746</v>
      </c>
      <c r="HR53" t="s">
        <v>2570</v>
      </c>
      <c r="HS53" t="s">
        <v>736</v>
      </c>
      <c r="HT53" t="s">
        <v>1200</v>
      </c>
      <c r="HU53" t="s">
        <v>736</v>
      </c>
      <c r="HV53" t="s">
        <v>1263</v>
      </c>
      <c r="HW53" t="s">
        <v>746</v>
      </c>
      <c r="HX53" t="s">
        <v>2571</v>
      </c>
      <c r="HY53" t="s">
        <v>746</v>
      </c>
      <c r="HZ53" t="s">
        <v>2572</v>
      </c>
      <c r="IA53" t="s">
        <v>733</v>
      </c>
      <c r="IB53" t="s">
        <v>2573</v>
      </c>
      <c r="IC53" t="s">
        <v>733</v>
      </c>
      <c r="ID53" t="s">
        <v>2573</v>
      </c>
      <c r="IF53" t="s">
        <v>1104</v>
      </c>
      <c r="IH53" t="s">
        <v>1104</v>
      </c>
      <c r="II53" t="s">
        <v>736</v>
      </c>
      <c r="IJ53" t="s">
        <v>1263</v>
      </c>
      <c r="IK53" t="s">
        <v>736</v>
      </c>
      <c r="IL53" t="s">
        <v>1263</v>
      </c>
      <c r="IM53" t="s">
        <v>733</v>
      </c>
      <c r="IN53" t="s">
        <v>2574</v>
      </c>
      <c r="IO53" t="s">
        <v>733</v>
      </c>
      <c r="IP53" t="s">
        <v>2575</v>
      </c>
      <c r="IQ53" t="s">
        <v>746</v>
      </c>
      <c r="IR53" t="s">
        <v>1006</v>
      </c>
      <c r="IS53" t="s">
        <v>746</v>
      </c>
      <c r="IT53" t="s">
        <v>1006</v>
      </c>
      <c r="IU53" t="s">
        <v>746</v>
      </c>
      <c r="IV53" t="s">
        <v>2576</v>
      </c>
      <c r="IW53" t="s">
        <v>746</v>
      </c>
      <c r="IX53" t="s">
        <v>956</v>
      </c>
      <c r="IY53" t="s">
        <v>746</v>
      </c>
      <c r="IZ53" t="s">
        <v>2576</v>
      </c>
      <c r="JA53" t="s">
        <v>746</v>
      </c>
      <c r="JB53" t="s">
        <v>945</v>
      </c>
      <c r="JC53" t="s">
        <v>746</v>
      </c>
      <c r="JD53" t="s">
        <v>2576</v>
      </c>
      <c r="JE53" t="s">
        <v>746</v>
      </c>
      <c r="JF53" t="s">
        <v>956</v>
      </c>
      <c r="JG53" t="s">
        <v>746</v>
      </c>
      <c r="JH53" t="s">
        <v>2576</v>
      </c>
      <c r="JI53" t="s">
        <v>746</v>
      </c>
      <c r="JJ53" t="s">
        <v>1220</v>
      </c>
      <c r="JL53" t="s">
        <v>1104</v>
      </c>
      <c r="JN53" t="s">
        <v>1104</v>
      </c>
      <c r="JP53" t="s">
        <v>1104</v>
      </c>
      <c r="JR53" t="s">
        <v>1104</v>
      </c>
      <c r="JS53" t="s">
        <v>746</v>
      </c>
      <c r="JT53" t="s">
        <v>2576</v>
      </c>
      <c r="JU53" t="s">
        <v>746</v>
      </c>
      <c r="JV53" t="s">
        <v>945</v>
      </c>
      <c r="JW53" t="s">
        <v>746</v>
      </c>
      <c r="JX53" t="s">
        <v>2576</v>
      </c>
      <c r="JY53" t="s">
        <v>746</v>
      </c>
      <c r="JZ53" t="s">
        <v>958</v>
      </c>
      <c r="KA53" t="s">
        <v>746</v>
      </c>
      <c r="KB53" t="s">
        <v>2576</v>
      </c>
      <c r="KC53" t="s">
        <v>746</v>
      </c>
      <c r="KD53" t="s">
        <v>956</v>
      </c>
      <c r="KE53" t="s">
        <v>746</v>
      </c>
      <c r="KF53" t="s">
        <v>2576</v>
      </c>
      <c r="KG53" t="s">
        <v>746</v>
      </c>
      <c r="KH53" t="s">
        <v>958</v>
      </c>
      <c r="KI53" t="s">
        <v>746</v>
      </c>
      <c r="KJ53" t="s">
        <v>956</v>
      </c>
      <c r="KK53" t="s">
        <v>746</v>
      </c>
      <c r="KL53" t="s">
        <v>2576</v>
      </c>
      <c r="KM53" t="s">
        <v>746</v>
      </c>
      <c r="KN53" t="s">
        <v>2576</v>
      </c>
      <c r="KO53" t="s">
        <v>746</v>
      </c>
      <c r="KP53" t="s">
        <v>2576</v>
      </c>
      <c r="KQ53" t="s">
        <v>746</v>
      </c>
      <c r="KR53" t="s">
        <v>956</v>
      </c>
      <c r="KS53" t="s">
        <v>746</v>
      </c>
      <c r="KT53" t="s">
        <v>2576</v>
      </c>
      <c r="KU53" t="s">
        <v>733</v>
      </c>
      <c r="KV53" t="s">
        <v>2538</v>
      </c>
      <c r="KW53" t="s">
        <v>746</v>
      </c>
      <c r="KX53" t="s">
        <v>2577</v>
      </c>
      <c r="KY53" t="s">
        <v>746</v>
      </c>
      <c r="KZ53" t="s">
        <v>844</v>
      </c>
      <c r="LA53" t="s">
        <v>746</v>
      </c>
      <c r="LB53" t="s">
        <v>1140</v>
      </c>
      <c r="LC53" t="s">
        <v>746</v>
      </c>
      <c r="LD53" t="s">
        <v>2578</v>
      </c>
      <c r="LE53" t="s">
        <v>746</v>
      </c>
      <c r="LF53" t="s">
        <v>2578</v>
      </c>
      <c r="LG53" t="s">
        <v>746</v>
      </c>
      <c r="LH53" t="s">
        <v>2579</v>
      </c>
      <c r="LI53" t="s">
        <v>746</v>
      </c>
      <c r="LJ53" t="s">
        <v>2579</v>
      </c>
      <c r="LK53" t="s">
        <v>746</v>
      </c>
      <c r="LL53" t="s">
        <v>2580</v>
      </c>
      <c r="LM53" t="s">
        <v>746</v>
      </c>
      <c r="LN53" t="s">
        <v>1925</v>
      </c>
      <c r="LO53" t="s">
        <v>746</v>
      </c>
      <c r="LP53" t="s">
        <v>1269</v>
      </c>
      <c r="LQ53" t="s">
        <v>746</v>
      </c>
      <c r="LR53" t="s">
        <v>1882</v>
      </c>
      <c r="LW53" t="s">
        <v>733</v>
      </c>
      <c r="LX53" t="s">
        <v>2425</v>
      </c>
      <c r="LY53" t="s">
        <v>733</v>
      </c>
      <c r="LZ53" t="s">
        <v>1120</v>
      </c>
      <c r="ME53" t="s">
        <v>733</v>
      </c>
      <c r="MF53" t="s">
        <v>924</v>
      </c>
      <c r="MG53" t="s">
        <v>733</v>
      </c>
      <c r="MH53" t="s">
        <v>1115</v>
      </c>
      <c r="MI53" t="s">
        <v>746</v>
      </c>
      <c r="MJ53" t="s">
        <v>2581</v>
      </c>
      <c r="MK53" t="s">
        <v>746</v>
      </c>
      <c r="ML53" t="s">
        <v>2581</v>
      </c>
      <c r="MO53" t="s">
        <v>783</v>
      </c>
      <c r="MP53" t="s">
        <v>783</v>
      </c>
      <c r="MQ53" t="s">
        <v>783</v>
      </c>
      <c r="MR53" t="s">
        <v>783</v>
      </c>
      <c r="MS53" t="s">
        <v>784</v>
      </c>
      <c r="MT53" t="s">
        <v>783</v>
      </c>
      <c r="MU53" t="s">
        <v>781</v>
      </c>
      <c r="MV53" t="s">
        <v>783</v>
      </c>
      <c r="MW53" t="s">
        <v>783</v>
      </c>
      <c r="MX53" t="s">
        <v>783</v>
      </c>
      <c r="MZ53" t="s">
        <v>783</v>
      </c>
      <c r="NA53" t="s">
        <v>783</v>
      </c>
      <c r="NB53" t="s">
        <v>784</v>
      </c>
      <c r="NC53" t="s">
        <v>781</v>
      </c>
      <c r="ND53" t="s">
        <v>783</v>
      </c>
      <c r="NE53" t="s">
        <v>784</v>
      </c>
      <c r="NF53" t="s">
        <v>784</v>
      </c>
      <c r="NG53" t="s">
        <v>783</v>
      </c>
      <c r="NH53" t="s">
        <v>783</v>
      </c>
      <c r="NI53" t="s">
        <v>783</v>
      </c>
      <c r="NJ53" t="s">
        <v>907</v>
      </c>
      <c r="NK53" t="s">
        <v>783</v>
      </c>
      <c r="NL53" t="s">
        <v>783</v>
      </c>
      <c r="NM53" t="s">
        <v>783</v>
      </c>
      <c r="NN53" t="s">
        <v>782</v>
      </c>
      <c r="NO53" t="s">
        <v>782</v>
      </c>
      <c r="NP53" t="s">
        <v>784</v>
      </c>
      <c r="NQ53" t="s">
        <v>783</v>
      </c>
      <c r="NR53" t="s">
        <v>783</v>
      </c>
      <c r="NS53" t="s">
        <v>784</v>
      </c>
      <c r="NT53" t="s">
        <v>784</v>
      </c>
      <c r="NU53" t="s">
        <v>783</v>
      </c>
      <c r="NV53" t="s">
        <v>784</v>
      </c>
      <c r="NW53" t="s">
        <v>784</v>
      </c>
      <c r="NX53" t="s">
        <v>783</v>
      </c>
      <c r="NY53" t="s">
        <v>784</v>
      </c>
      <c r="NZ53" t="s">
        <v>784</v>
      </c>
      <c r="OA53" t="s">
        <v>783</v>
      </c>
      <c r="OB53" t="s">
        <v>784</v>
      </c>
      <c r="OC53" t="s">
        <v>784</v>
      </c>
      <c r="OD53" t="s">
        <v>907</v>
      </c>
      <c r="OE53" t="s">
        <v>783</v>
      </c>
      <c r="OF53" t="s">
        <v>781</v>
      </c>
      <c r="OG53" t="s">
        <v>783</v>
      </c>
      <c r="OH53" t="s">
        <v>783</v>
      </c>
      <c r="OI53" t="s">
        <v>783</v>
      </c>
      <c r="OJ53" t="s">
        <v>783</v>
      </c>
    </row>
    <row r="54" spans="1:400" x14ac:dyDescent="0.25">
      <c r="A54">
        <v>50</v>
      </c>
      <c r="B54" t="s">
        <v>277</v>
      </c>
      <c r="C54" t="s">
        <v>278</v>
      </c>
      <c r="D54" t="s">
        <v>97</v>
      </c>
      <c r="E54">
        <v>31</v>
      </c>
      <c r="F54" t="s">
        <v>58</v>
      </c>
      <c r="G54" t="s">
        <v>105</v>
      </c>
      <c r="H54" t="s">
        <v>60</v>
      </c>
      <c r="I54" t="s">
        <v>279</v>
      </c>
      <c r="J54" t="s">
        <v>62</v>
      </c>
      <c r="K54" t="s">
        <v>84</v>
      </c>
      <c r="L54" t="s">
        <v>98</v>
      </c>
      <c r="M54" t="s">
        <v>280</v>
      </c>
      <c r="N54" t="s">
        <v>70</v>
      </c>
      <c r="O54">
        <v>4</v>
      </c>
      <c r="P54" s="1">
        <v>180000</v>
      </c>
      <c r="Q54" s="1">
        <v>0</v>
      </c>
      <c r="R54" t="s">
        <v>282</v>
      </c>
      <c r="S54" s="7">
        <v>180000</v>
      </c>
      <c r="T54" t="s">
        <v>70</v>
      </c>
      <c r="U54" s="5">
        <v>0</v>
      </c>
      <c r="V54" s="3" t="s">
        <v>70</v>
      </c>
      <c r="W54" s="5">
        <v>0</v>
      </c>
      <c r="X54" t="s">
        <v>71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 t="s">
        <v>283</v>
      </c>
      <c r="AP54" t="s">
        <v>63</v>
      </c>
      <c r="AR54">
        <v>1</v>
      </c>
      <c r="AS54" s="2">
        <v>0.75</v>
      </c>
      <c r="AT54" t="s">
        <v>509</v>
      </c>
      <c r="AU54">
        <v>0</v>
      </c>
      <c r="AV54">
        <v>1</v>
      </c>
      <c r="AW54">
        <v>0</v>
      </c>
      <c r="AX54">
        <v>0</v>
      </c>
      <c r="AY54">
        <v>0</v>
      </c>
      <c r="AZ54" t="s">
        <v>562</v>
      </c>
      <c r="BA54" t="s">
        <v>505</v>
      </c>
      <c r="BC54" t="s">
        <v>512</v>
      </c>
      <c r="BD54" t="s">
        <v>507</v>
      </c>
      <c r="BE54">
        <v>2016</v>
      </c>
      <c r="BF54">
        <v>7</v>
      </c>
      <c r="BG54" t="s">
        <v>508</v>
      </c>
      <c r="BH54">
        <v>1</v>
      </c>
      <c r="BI54">
        <v>0</v>
      </c>
      <c r="BJ54">
        <v>0</v>
      </c>
      <c r="BK54">
        <v>0</v>
      </c>
      <c r="BL54">
        <v>0</v>
      </c>
      <c r="BM54" t="s">
        <v>84</v>
      </c>
      <c r="BN54" t="s">
        <v>84</v>
      </c>
      <c r="CM54" t="s">
        <v>1072</v>
      </c>
      <c r="CN54" t="s">
        <v>84</v>
      </c>
      <c r="CO54" t="s">
        <v>84</v>
      </c>
      <c r="CZ54" s="26"/>
      <c r="DA54" s="27"/>
      <c r="DB54" t="s">
        <v>976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J54" t="s">
        <v>63</v>
      </c>
      <c r="DK54" s="35" t="s">
        <v>4139</v>
      </c>
      <c r="DL54" s="37" t="s">
        <v>4257</v>
      </c>
      <c r="DM54" t="s">
        <v>4121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M54" t="s">
        <v>3988</v>
      </c>
      <c r="EO54" t="s">
        <v>4138</v>
      </c>
      <c r="EP54">
        <v>1</v>
      </c>
      <c r="EQ54">
        <v>1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 t="s">
        <v>4141</v>
      </c>
      <c r="EZ54">
        <v>0</v>
      </c>
      <c r="FA54">
        <v>1</v>
      </c>
      <c r="FB54">
        <v>0</v>
      </c>
      <c r="FC54">
        <v>0</v>
      </c>
      <c r="FE54" t="s">
        <v>4142</v>
      </c>
      <c r="FI54" t="s">
        <v>736</v>
      </c>
      <c r="FJ54" t="s">
        <v>2582</v>
      </c>
      <c r="FK54" t="s">
        <v>736</v>
      </c>
      <c r="FL54" t="s">
        <v>2583</v>
      </c>
      <c r="FM54" t="s">
        <v>733</v>
      </c>
      <c r="FN54" t="s">
        <v>1075</v>
      </c>
      <c r="FO54" t="s">
        <v>733</v>
      </c>
      <c r="FP54" t="s">
        <v>1075</v>
      </c>
      <c r="FQ54" t="s">
        <v>733</v>
      </c>
      <c r="FR54" t="s">
        <v>2584</v>
      </c>
      <c r="FS54" t="s">
        <v>746</v>
      </c>
      <c r="FT54" t="s">
        <v>2585</v>
      </c>
      <c r="FU54" t="s">
        <v>733</v>
      </c>
      <c r="FV54" t="s">
        <v>2586</v>
      </c>
      <c r="FW54" t="s">
        <v>733</v>
      </c>
      <c r="FX54" t="s">
        <v>2586</v>
      </c>
      <c r="FY54" t="s">
        <v>733</v>
      </c>
      <c r="FZ54" t="s">
        <v>912</v>
      </c>
      <c r="GA54" t="s">
        <v>733</v>
      </c>
      <c r="GB54" t="s">
        <v>2587</v>
      </c>
      <c r="GC54" t="s">
        <v>733</v>
      </c>
      <c r="GD54" t="s">
        <v>912</v>
      </c>
      <c r="GE54" t="s">
        <v>733</v>
      </c>
      <c r="GF54" t="s">
        <v>1930</v>
      </c>
      <c r="GG54" t="s">
        <v>746</v>
      </c>
      <c r="GH54" t="s">
        <v>2588</v>
      </c>
      <c r="GI54" t="s">
        <v>746</v>
      </c>
      <c r="GJ54" t="s">
        <v>2588</v>
      </c>
      <c r="GK54" t="s">
        <v>733</v>
      </c>
      <c r="GL54" t="s">
        <v>2589</v>
      </c>
      <c r="GM54" t="s">
        <v>733</v>
      </c>
      <c r="GN54" t="s">
        <v>2590</v>
      </c>
      <c r="GO54" t="s">
        <v>733</v>
      </c>
      <c r="GP54" t="s">
        <v>2591</v>
      </c>
      <c r="GQ54" t="s">
        <v>733</v>
      </c>
      <c r="GR54" t="s">
        <v>2592</v>
      </c>
      <c r="GS54" t="s">
        <v>733</v>
      </c>
      <c r="GT54" t="s">
        <v>2593</v>
      </c>
      <c r="GU54" t="s">
        <v>733</v>
      </c>
      <c r="GV54" t="s">
        <v>2594</v>
      </c>
      <c r="GW54" t="s">
        <v>733</v>
      </c>
      <c r="GX54" t="s">
        <v>1120</v>
      </c>
      <c r="GY54" t="s">
        <v>733</v>
      </c>
      <c r="GZ54" t="s">
        <v>928</v>
      </c>
      <c r="HA54" t="s">
        <v>733</v>
      </c>
      <c r="HB54" t="s">
        <v>1120</v>
      </c>
      <c r="HC54" t="s">
        <v>733</v>
      </c>
      <c r="HD54" t="s">
        <v>928</v>
      </c>
      <c r="HE54" t="s">
        <v>733</v>
      </c>
      <c r="HF54" t="s">
        <v>928</v>
      </c>
      <c r="HG54" t="s">
        <v>733</v>
      </c>
      <c r="HH54" t="s">
        <v>926</v>
      </c>
      <c r="HI54" t="s">
        <v>733</v>
      </c>
      <c r="HJ54" t="s">
        <v>928</v>
      </c>
      <c r="HL54" t="s">
        <v>1104</v>
      </c>
      <c r="HN54" t="s">
        <v>1104</v>
      </c>
      <c r="HP54" t="s">
        <v>1104</v>
      </c>
      <c r="HR54" t="s">
        <v>1104</v>
      </c>
      <c r="HS54" t="s">
        <v>733</v>
      </c>
      <c r="HT54" t="s">
        <v>1717</v>
      </c>
      <c r="HU54" t="s">
        <v>733</v>
      </c>
      <c r="HV54" t="s">
        <v>1717</v>
      </c>
      <c r="HW54" t="s">
        <v>733</v>
      </c>
      <c r="HX54" t="s">
        <v>2595</v>
      </c>
      <c r="HY54" t="s">
        <v>736</v>
      </c>
      <c r="HZ54" t="s">
        <v>2596</v>
      </c>
      <c r="IA54" t="s">
        <v>736</v>
      </c>
      <c r="IB54" t="s">
        <v>2582</v>
      </c>
      <c r="IC54" t="s">
        <v>733</v>
      </c>
      <c r="ID54" t="s">
        <v>2582</v>
      </c>
      <c r="IF54" t="s">
        <v>1104</v>
      </c>
      <c r="IH54" t="s">
        <v>1104</v>
      </c>
      <c r="II54" t="s">
        <v>733</v>
      </c>
      <c r="IJ54" t="s">
        <v>926</v>
      </c>
      <c r="IK54" t="s">
        <v>733</v>
      </c>
      <c r="IL54" t="s">
        <v>926</v>
      </c>
      <c r="IM54" t="s">
        <v>746</v>
      </c>
      <c r="IN54" t="s">
        <v>2597</v>
      </c>
      <c r="IO54" t="s">
        <v>746</v>
      </c>
      <c r="IP54" t="s">
        <v>2452</v>
      </c>
      <c r="IQ54" t="s">
        <v>746</v>
      </c>
      <c r="IR54" t="s">
        <v>2597</v>
      </c>
      <c r="IS54" t="s">
        <v>746</v>
      </c>
      <c r="IT54" t="s">
        <v>2452</v>
      </c>
      <c r="IU54" t="s">
        <v>746</v>
      </c>
      <c r="IV54" t="s">
        <v>2597</v>
      </c>
      <c r="IW54" t="s">
        <v>746</v>
      </c>
      <c r="IX54" t="s">
        <v>2452</v>
      </c>
      <c r="IY54" t="s">
        <v>746</v>
      </c>
      <c r="IZ54" t="s">
        <v>2597</v>
      </c>
      <c r="JA54" t="s">
        <v>746</v>
      </c>
      <c r="JB54" t="s">
        <v>2452</v>
      </c>
      <c r="JC54" t="s">
        <v>746</v>
      </c>
      <c r="JD54" t="s">
        <v>2597</v>
      </c>
      <c r="JE54" t="s">
        <v>746</v>
      </c>
      <c r="JF54" t="s">
        <v>2452</v>
      </c>
      <c r="JG54" t="s">
        <v>746</v>
      </c>
      <c r="JH54" t="s">
        <v>2597</v>
      </c>
      <c r="JI54" t="s">
        <v>746</v>
      </c>
      <c r="JJ54" t="s">
        <v>2452</v>
      </c>
      <c r="JL54" t="s">
        <v>938</v>
      </c>
      <c r="JN54" t="s">
        <v>938</v>
      </c>
      <c r="JP54" t="s">
        <v>938</v>
      </c>
      <c r="JR54" t="s">
        <v>938</v>
      </c>
      <c r="JS54" t="s">
        <v>746</v>
      </c>
      <c r="JT54" t="s">
        <v>2597</v>
      </c>
      <c r="JU54" t="s">
        <v>746</v>
      </c>
      <c r="JV54" t="s">
        <v>2452</v>
      </c>
      <c r="JW54" t="s">
        <v>746</v>
      </c>
      <c r="JX54" t="s">
        <v>2597</v>
      </c>
      <c r="JY54" t="s">
        <v>746</v>
      </c>
      <c r="JZ54" t="s">
        <v>2452</v>
      </c>
      <c r="KA54" t="s">
        <v>746</v>
      </c>
      <c r="KB54" t="s">
        <v>2597</v>
      </c>
      <c r="KC54" t="s">
        <v>746</v>
      </c>
      <c r="KD54" t="s">
        <v>2452</v>
      </c>
      <c r="KE54" t="s">
        <v>746</v>
      </c>
      <c r="KF54" t="s">
        <v>2597</v>
      </c>
      <c r="KG54" t="s">
        <v>746</v>
      </c>
      <c r="KH54" t="s">
        <v>2452</v>
      </c>
      <c r="KI54" t="s">
        <v>746</v>
      </c>
      <c r="KJ54" t="s">
        <v>2597</v>
      </c>
      <c r="KK54" t="s">
        <v>746</v>
      </c>
      <c r="KL54" t="s">
        <v>2597</v>
      </c>
      <c r="KM54" t="s">
        <v>746</v>
      </c>
      <c r="KN54" t="s">
        <v>2597</v>
      </c>
      <c r="KO54" t="s">
        <v>746</v>
      </c>
      <c r="KP54" t="s">
        <v>2452</v>
      </c>
      <c r="KQ54" t="s">
        <v>746</v>
      </c>
      <c r="KR54" t="s">
        <v>2597</v>
      </c>
      <c r="KS54" t="s">
        <v>746</v>
      </c>
      <c r="KT54" t="s">
        <v>2452</v>
      </c>
      <c r="KU54" t="s">
        <v>733</v>
      </c>
      <c r="KV54" t="s">
        <v>2598</v>
      </c>
      <c r="KW54" t="s">
        <v>746</v>
      </c>
      <c r="KX54" t="s">
        <v>2599</v>
      </c>
      <c r="KY54" t="s">
        <v>746</v>
      </c>
      <c r="KZ54" t="s">
        <v>2600</v>
      </c>
      <c r="LA54" t="s">
        <v>746</v>
      </c>
      <c r="LB54" t="s">
        <v>2452</v>
      </c>
      <c r="LC54" t="s">
        <v>733</v>
      </c>
      <c r="LD54" t="s">
        <v>2601</v>
      </c>
      <c r="LE54" t="s">
        <v>736</v>
      </c>
      <c r="LF54" t="s">
        <v>1053</v>
      </c>
      <c r="LG54" t="s">
        <v>733</v>
      </c>
      <c r="LH54" t="s">
        <v>2602</v>
      </c>
      <c r="LI54" t="s">
        <v>736</v>
      </c>
      <c r="LJ54" t="s">
        <v>2603</v>
      </c>
      <c r="LK54" t="s">
        <v>733</v>
      </c>
      <c r="LL54" t="s">
        <v>2604</v>
      </c>
      <c r="LM54" t="s">
        <v>746</v>
      </c>
      <c r="LN54" t="s">
        <v>2605</v>
      </c>
      <c r="LO54" t="s">
        <v>733</v>
      </c>
      <c r="LP54" t="s">
        <v>2606</v>
      </c>
      <c r="LQ54" t="s">
        <v>746</v>
      </c>
      <c r="LR54" t="s">
        <v>2607</v>
      </c>
      <c r="LT54" t="s">
        <v>1104</v>
      </c>
      <c r="LV54" t="s">
        <v>1104</v>
      </c>
      <c r="LW54" t="s">
        <v>733</v>
      </c>
      <c r="LX54" t="s">
        <v>926</v>
      </c>
      <c r="LY54" t="s">
        <v>733</v>
      </c>
      <c r="LZ54" t="s">
        <v>926</v>
      </c>
      <c r="ME54" t="s">
        <v>733</v>
      </c>
      <c r="MF54" t="s">
        <v>926</v>
      </c>
      <c r="MG54" t="s">
        <v>733</v>
      </c>
      <c r="MH54" t="s">
        <v>1077</v>
      </c>
      <c r="MI54" t="s">
        <v>733</v>
      </c>
      <c r="MJ54" t="s">
        <v>2608</v>
      </c>
      <c r="MK54" t="s">
        <v>733</v>
      </c>
      <c r="ML54" t="s">
        <v>2608</v>
      </c>
      <c r="MO54" t="s">
        <v>783</v>
      </c>
      <c r="MP54" t="s">
        <v>783</v>
      </c>
      <c r="MQ54" t="s">
        <v>783</v>
      </c>
      <c r="MR54" t="s">
        <v>783</v>
      </c>
      <c r="MS54" t="s">
        <v>783</v>
      </c>
      <c r="MT54" t="s">
        <v>783</v>
      </c>
      <c r="MU54" t="s">
        <v>783</v>
      </c>
      <c r="MV54" t="s">
        <v>783</v>
      </c>
      <c r="MW54" t="s">
        <v>784</v>
      </c>
      <c r="MX54" t="s">
        <v>783</v>
      </c>
      <c r="MZ54" t="s">
        <v>907</v>
      </c>
      <c r="NA54" t="s">
        <v>783</v>
      </c>
      <c r="NB54" t="s">
        <v>783</v>
      </c>
      <c r="NC54" t="s">
        <v>783</v>
      </c>
      <c r="ND54" t="s">
        <v>783</v>
      </c>
      <c r="NE54" t="s">
        <v>784</v>
      </c>
      <c r="NF54" t="s">
        <v>783</v>
      </c>
      <c r="NG54" t="s">
        <v>783</v>
      </c>
      <c r="NH54" t="s">
        <v>783</v>
      </c>
      <c r="NI54" t="s">
        <v>783</v>
      </c>
      <c r="NJ54" t="s">
        <v>907</v>
      </c>
      <c r="NK54" t="s">
        <v>783</v>
      </c>
      <c r="NL54" t="s">
        <v>783</v>
      </c>
      <c r="NM54" t="s">
        <v>783</v>
      </c>
      <c r="NN54" t="s">
        <v>907</v>
      </c>
      <c r="NO54" t="s">
        <v>784</v>
      </c>
      <c r="NP54" t="s">
        <v>782</v>
      </c>
      <c r="NQ54" t="s">
        <v>783</v>
      </c>
      <c r="NR54" t="s">
        <v>783</v>
      </c>
      <c r="NS54" t="s">
        <v>784</v>
      </c>
      <c r="NT54" t="s">
        <v>783</v>
      </c>
      <c r="NU54" t="s">
        <v>784</v>
      </c>
      <c r="NV54" t="s">
        <v>907</v>
      </c>
      <c r="NW54" t="s">
        <v>783</v>
      </c>
      <c r="NX54" t="s">
        <v>783</v>
      </c>
      <c r="NY54" t="s">
        <v>784</v>
      </c>
      <c r="NZ54" t="s">
        <v>783</v>
      </c>
      <c r="OA54" t="s">
        <v>784</v>
      </c>
      <c r="OB54" t="s">
        <v>782</v>
      </c>
      <c r="OC54" t="s">
        <v>784</v>
      </c>
      <c r="OD54" t="s">
        <v>783</v>
      </c>
      <c r="OE54" t="s">
        <v>781</v>
      </c>
      <c r="OF54" t="s">
        <v>783</v>
      </c>
      <c r="OG54" t="s">
        <v>783</v>
      </c>
      <c r="OH54" t="s">
        <v>783</v>
      </c>
      <c r="OI54" t="s">
        <v>783</v>
      </c>
      <c r="OJ54" t="s">
        <v>783</v>
      </c>
    </row>
    <row r="55" spans="1:400" x14ac:dyDescent="0.25">
      <c r="A55">
        <v>51</v>
      </c>
      <c r="B55" t="s">
        <v>425</v>
      </c>
      <c r="C55" t="s">
        <v>70</v>
      </c>
      <c r="D55" t="s">
        <v>97</v>
      </c>
      <c r="E55">
        <v>56</v>
      </c>
      <c r="F55" t="s">
        <v>58</v>
      </c>
      <c r="G55" t="s">
        <v>76</v>
      </c>
      <c r="H55" t="s">
        <v>60</v>
      </c>
      <c r="I55" t="s">
        <v>61</v>
      </c>
      <c r="J55" t="s">
        <v>62</v>
      </c>
      <c r="K55" t="s">
        <v>84</v>
      </c>
      <c r="L55" t="s">
        <v>98</v>
      </c>
      <c r="M55" t="s">
        <v>160</v>
      </c>
      <c r="N55" t="s">
        <v>70</v>
      </c>
      <c r="O55">
        <v>6</v>
      </c>
      <c r="P55" s="1">
        <v>50000</v>
      </c>
      <c r="Q55" s="1">
        <v>0</v>
      </c>
      <c r="R55" t="s">
        <v>70</v>
      </c>
      <c r="S55" s="7">
        <v>50000</v>
      </c>
      <c r="T55" t="s">
        <v>70</v>
      </c>
      <c r="U55" s="5">
        <v>0</v>
      </c>
      <c r="V55" s="3" t="s">
        <v>70</v>
      </c>
      <c r="W55" s="5">
        <v>0</v>
      </c>
      <c r="X55" t="s">
        <v>94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P55" t="s">
        <v>63</v>
      </c>
      <c r="BM55" t="s">
        <v>63</v>
      </c>
      <c r="BN55" t="s">
        <v>63</v>
      </c>
      <c r="BO55" t="s">
        <v>3835</v>
      </c>
      <c r="BP55" t="s">
        <v>3899</v>
      </c>
      <c r="BR55" t="s">
        <v>3900</v>
      </c>
      <c r="BS55" t="s">
        <v>3838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CA55" t="s">
        <v>3839</v>
      </c>
      <c r="CC55" t="s">
        <v>4186</v>
      </c>
      <c r="CD55" t="s">
        <v>3841</v>
      </c>
      <c r="CE55" t="s">
        <v>3867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N55" t="s">
        <v>63</v>
      </c>
      <c r="CO55" t="s">
        <v>732</v>
      </c>
      <c r="CP55" t="s">
        <v>4015</v>
      </c>
      <c r="CQ55" t="s">
        <v>3935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0</v>
      </c>
      <c r="CY55" t="s">
        <v>4016</v>
      </c>
      <c r="CZ55" s="26" t="s">
        <v>3980</v>
      </c>
      <c r="DA55" s="27" t="s">
        <v>4192</v>
      </c>
      <c r="DJ55" t="s">
        <v>63</v>
      </c>
      <c r="DK55" s="35" t="s">
        <v>4140</v>
      </c>
      <c r="DL55" s="37" t="s">
        <v>4255</v>
      </c>
      <c r="DM55" t="s">
        <v>4118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O55" t="s">
        <v>4111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 t="s">
        <v>4105</v>
      </c>
      <c r="EZ55">
        <v>0</v>
      </c>
      <c r="FA55">
        <v>0</v>
      </c>
      <c r="FB55">
        <v>1</v>
      </c>
      <c r="FC55">
        <v>0</v>
      </c>
      <c r="FF55" t="s">
        <v>4144</v>
      </c>
      <c r="FI55" t="s">
        <v>733</v>
      </c>
      <c r="FJ55" t="s">
        <v>2609</v>
      </c>
      <c r="FK55" t="s">
        <v>733</v>
      </c>
      <c r="FL55" t="s">
        <v>2610</v>
      </c>
      <c r="FM55" t="s">
        <v>736</v>
      </c>
      <c r="FN55" t="s">
        <v>2611</v>
      </c>
      <c r="FO55" t="s">
        <v>733</v>
      </c>
      <c r="FP55" t="s">
        <v>2612</v>
      </c>
      <c r="FQ55" t="s">
        <v>733</v>
      </c>
      <c r="FR55" t="s">
        <v>2357</v>
      </c>
      <c r="FS55" t="s">
        <v>733</v>
      </c>
      <c r="FT55" t="s">
        <v>1502</v>
      </c>
      <c r="FU55" t="s">
        <v>733</v>
      </c>
      <c r="FV55" t="s">
        <v>2613</v>
      </c>
      <c r="FW55" t="s">
        <v>733</v>
      </c>
      <c r="FX55" t="s">
        <v>2496</v>
      </c>
      <c r="FY55" t="s">
        <v>736</v>
      </c>
      <c r="FZ55" t="s">
        <v>2614</v>
      </c>
      <c r="GA55" t="s">
        <v>736</v>
      </c>
      <c r="GB55" t="s">
        <v>1273</v>
      </c>
      <c r="GC55" t="s">
        <v>736</v>
      </c>
      <c r="GD55" t="s">
        <v>2615</v>
      </c>
      <c r="GE55" t="s">
        <v>736</v>
      </c>
      <c r="GF55" t="s">
        <v>2616</v>
      </c>
      <c r="GG55" t="s">
        <v>746</v>
      </c>
      <c r="GH55" t="s">
        <v>2617</v>
      </c>
      <c r="GI55" t="s">
        <v>733</v>
      </c>
      <c r="GJ55" t="s">
        <v>2618</v>
      </c>
      <c r="GL55" t="s">
        <v>938</v>
      </c>
      <c r="GN55" t="s">
        <v>938</v>
      </c>
      <c r="GO55" t="s">
        <v>733</v>
      </c>
      <c r="GP55" t="s">
        <v>2619</v>
      </c>
      <c r="GQ55" t="s">
        <v>733</v>
      </c>
      <c r="GR55" t="s">
        <v>1572</v>
      </c>
      <c r="GS55" t="s">
        <v>736</v>
      </c>
      <c r="GT55" t="s">
        <v>2620</v>
      </c>
      <c r="GU55" t="s">
        <v>736</v>
      </c>
      <c r="GV55" t="s">
        <v>2621</v>
      </c>
      <c r="GW55" t="s">
        <v>733</v>
      </c>
      <c r="GX55" t="s">
        <v>2343</v>
      </c>
      <c r="GY55" t="s">
        <v>733</v>
      </c>
      <c r="GZ55" t="s">
        <v>2618</v>
      </c>
      <c r="HA55" t="s">
        <v>733</v>
      </c>
      <c r="HB55" t="s">
        <v>2343</v>
      </c>
      <c r="HC55" t="s">
        <v>733</v>
      </c>
      <c r="HD55" t="s">
        <v>2120</v>
      </c>
      <c r="HE55" t="s">
        <v>733</v>
      </c>
      <c r="HF55" t="s">
        <v>2343</v>
      </c>
      <c r="HG55" t="s">
        <v>733</v>
      </c>
      <c r="HH55" t="s">
        <v>1502</v>
      </c>
      <c r="HI55" t="s">
        <v>733</v>
      </c>
      <c r="HJ55" t="s">
        <v>2357</v>
      </c>
      <c r="HL55" t="s">
        <v>938</v>
      </c>
      <c r="HN55" t="s">
        <v>938</v>
      </c>
      <c r="HP55" t="s">
        <v>938</v>
      </c>
      <c r="HR55" t="s">
        <v>938</v>
      </c>
      <c r="HS55" t="s">
        <v>733</v>
      </c>
      <c r="HT55" t="s">
        <v>2357</v>
      </c>
      <c r="HU55" t="s">
        <v>733</v>
      </c>
      <c r="HV55" t="s">
        <v>2343</v>
      </c>
      <c r="HW55" t="s">
        <v>733</v>
      </c>
      <c r="HX55" t="s">
        <v>1392</v>
      </c>
      <c r="HY55" t="s">
        <v>733</v>
      </c>
      <c r="HZ55" t="s">
        <v>2343</v>
      </c>
      <c r="IA55" t="s">
        <v>733</v>
      </c>
      <c r="IB55" t="s">
        <v>2343</v>
      </c>
      <c r="IC55" t="s">
        <v>733</v>
      </c>
      <c r="ID55" t="s">
        <v>1502</v>
      </c>
      <c r="IE55" t="s">
        <v>736</v>
      </c>
      <c r="IF55" t="s">
        <v>1504</v>
      </c>
      <c r="IG55" t="s">
        <v>736</v>
      </c>
      <c r="IH55" t="s">
        <v>2622</v>
      </c>
      <c r="II55" t="s">
        <v>733</v>
      </c>
      <c r="IJ55" t="s">
        <v>1502</v>
      </c>
      <c r="IK55" t="s">
        <v>736</v>
      </c>
      <c r="IL55" t="s">
        <v>2623</v>
      </c>
      <c r="IM55" t="s">
        <v>746</v>
      </c>
      <c r="IN55" t="s">
        <v>2624</v>
      </c>
      <c r="IO55" t="s">
        <v>746</v>
      </c>
      <c r="IP55" t="s">
        <v>2625</v>
      </c>
      <c r="IQ55" t="s">
        <v>746</v>
      </c>
      <c r="IR55" t="s">
        <v>2626</v>
      </c>
      <c r="IS55" t="s">
        <v>746</v>
      </c>
      <c r="IT55" t="s">
        <v>2625</v>
      </c>
      <c r="IU55" t="s">
        <v>746</v>
      </c>
      <c r="IV55" t="s">
        <v>2627</v>
      </c>
      <c r="IW55" t="s">
        <v>746</v>
      </c>
      <c r="IX55" t="s">
        <v>2627</v>
      </c>
      <c r="IY55" t="s">
        <v>746</v>
      </c>
      <c r="IZ55" t="s">
        <v>2628</v>
      </c>
      <c r="JA55" t="s">
        <v>746</v>
      </c>
      <c r="JB55" t="s">
        <v>2627</v>
      </c>
      <c r="JC55" t="s">
        <v>746</v>
      </c>
      <c r="JD55" t="s">
        <v>2629</v>
      </c>
      <c r="JE55" t="s">
        <v>746</v>
      </c>
      <c r="JF55" t="s">
        <v>2630</v>
      </c>
      <c r="JH55" t="s">
        <v>2631</v>
      </c>
      <c r="JI55" t="s">
        <v>746</v>
      </c>
      <c r="JJ55" t="s">
        <v>938</v>
      </c>
      <c r="JL55" t="s">
        <v>938</v>
      </c>
      <c r="JN55" t="s">
        <v>938</v>
      </c>
      <c r="JP55" t="s">
        <v>938</v>
      </c>
      <c r="JR55" t="s">
        <v>938</v>
      </c>
      <c r="JS55" t="s">
        <v>746</v>
      </c>
      <c r="JT55" t="s">
        <v>2627</v>
      </c>
      <c r="JU55" t="s">
        <v>746</v>
      </c>
      <c r="JV55" t="s">
        <v>2632</v>
      </c>
      <c r="JW55" t="s">
        <v>746</v>
      </c>
      <c r="JX55" t="s">
        <v>2629</v>
      </c>
      <c r="JY55" t="s">
        <v>746</v>
      </c>
      <c r="JZ55" t="s">
        <v>2627</v>
      </c>
      <c r="KB55" t="s">
        <v>938</v>
      </c>
      <c r="KD55" t="s">
        <v>938</v>
      </c>
      <c r="KE55" t="s">
        <v>746</v>
      </c>
      <c r="KF55" t="s">
        <v>2627</v>
      </c>
      <c r="KG55" t="s">
        <v>746</v>
      </c>
      <c r="KH55" t="s">
        <v>2625</v>
      </c>
      <c r="KI55" t="s">
        <v>746</v>
      </c>
      <c r="KJ55" t="s">
        <v>2627</v>
      </c>
      <c r="KK55" t="s">
        <v>746</v>
      </c>
      <c r="KL55" t="s">
        <v>2633</v>
      </c>
      <c r="KM55" t="s">
        <v>746</v>
      </c>
      <c r="KN55" t="s">
        <v>2627</v>
      </c>
      <c r="KO55" t="s">
        <v>746</v>
      </c>
      <c r="KP55" t="s">
        <v>2634</v>
      </c>
      <c r="KQ55" t="s">
        <v>746</v>
      </c>
      <c r="KR55" t="s">
        <v>2629</v>
      </c>
      <c r="KS55" t="s">
        <v>746</v>
      </c>
      <c r="KT55" t="s">
        <v>2627</v>
      </c>
      <c r="KU55" t="s">
        <v>736</v>
      </c>
      <c r="KV55" t="s">
        <v>2635</v>
      </c>
      <c r="KW55" t="s">
        <v>736</v>
      </c>
      <c r="KX55" t="s">
        <v>1512</v>
      </c>
      <c r="KY55" t="s">
        <v>746</v>
      </c>
      <c r="KZ55" t="s">
        <v>2636</v>
      </c>
      <c r="LA55" t="s">
        <v>746</v>
      </c>
      <c r="LB55" t="s">
        <v>2637</v>
      </c>
      <c r="LC55" t="s">
        <v>746</v>
      </c>
      <c r="LD55" t="s">
        <v>2638</v>
      </c>
      <c r="LE55" t="s">
        <v>746</v>
      </c>
      <c r="LF55" t="s">
        <v>2639</v>
      </c>
      <c r="LG55" t="s">
        <v>746</v>
      </c>
      <c r="LH55" t="s">
        <v>2639</v>
      </c>
      <c r="LI55" t="s">
        <v>746</v>
      </c>
      <c r="LJ55" t="s">
        <v>2640</v>
      </c>
      <c r="LK55" t="s">
        <v>746</v>
      </c>
      <c r="LL55" t="s">
        <v>2641</v>
      </c>
      <c r="LM55" t="s">
        <v>746</v>
      </c>
      <c r="LN55" t="s">
        <v>2629</v>
      </c>
      <c r="LO55" t="s">
        <v>746</v>
      </c>
      <c r="LP55" t="s">
        <v>2642</v>
      </c>
      <c r="LQ55" t="s">
        <v>746</v>
      </c>
      <c r="LR55" t="s">
        <v>2636</v>
      </c>
      <c r="LS55" t="s">
        <v>746</v>
      </c>
      <c r="LT55" t="s">
        <v>2639</v>
      </c>
      <c r="LU55" t="s">
        <v>733</v>
      </c>
      <c r="LV55" t="s">
        <v>2643</v>
      </c>
      <c r="LW55" t="s">
        <v>746</v>
      </c>
      <c r="LX55" t="s">
        <v>2644</v>
      </c>
      <c r="LY55" t="s">
        <v>733</v>
      </c>
      <c r="LZ55" t="s">
        <v>2643</v>
      </c>
      <c r="MA55" t="s">
        <v>746</v>
      </c>
      <c r="MB55" t="s">
        <v>2644</v>
      </c>
      <c r="MC55" t="s">
        <v>733</v>
      </c>
      <c r="MD55" t="s">
        <v>2643</v>
      </c>
      <c r="ME55" t="s">
        <v>733</v>
      </c>
      <c r="MF55" t="s">
        <v>1502</v>
      </c>
      <c r="MG55" t="s">
        <v>733</v>
      </c>
      <c r="MH55" t="s">
        <v>2643</v>
      </c>
      <c r="MI55" t="s">
        <v>746</v>
      </c>
      <c r="MJ55" t="s">
        <v>2645</v>
      </c>
      <c r="MK55" t="s">
        <v>746</v>
      </c>
      <c r="ML55" t="s">
        <v>2629</v>
      </c>
      <c r="MM55" t="s">
        <v>70</v>
      </c>
      <c r="MO55" t="s">
        <v>783</v>
      </c>
      <c r="MP55" t="s">
        <v>784</v>
      </c>
      <c r="MQ55" t="s">
        <v>783</v>
      </c>
      <c r="MR55" t="s">
        <v>783</v>
      </c>
      <c r="MS55" t="s">
        <v>783</v>
      </c>
      <c r="MT55" t="s">
        <v>783</v>
      </c>
      <c r="MU55" t="s">
        <v>783</v>
      </c>
      <c r="MV55" t="s">
        <v>783</v>
      </c>
      <c r="MW55" t="s">
        <v>783</v>
      </c>
      <c r="MX55" t="s">
        <v>783</v>
      </c>
      <c r="MZ55" t="s">
        <v>783</v>
      </c>
      <c r="NA55" t="s">
        <v>783</v>
      </c>
      <c r="NB55" t="s">
        <v>783</v>
      </c>
      <c r="NC55" t="s">
        <v>783</v>
      </c>
      <c r="ND55" t="s">
        <v>784</v>
      </c>
      <c r="NE55" t="s">
        <v>784</v>
      </c>
      <c r="NF55" t="s">
        <v>783</v>
      </c>
      <c r="NG55" t="s">
        <v>783</v>
      </c>
      <c r="NH55" t="s">
        <v>783</v>
      </c>
      <c r="NI55" t="s">
        <v>783</v>
      </c>
      <c r="NJ55" t="s">
        <v>783</v>
      </c>
      <c r="NK55" t="s">
        <v>783</v>
      </c>
      <c r="NL55" t="s">
        <v>783</v>
      </c>
      <c r="NM55" t="s">
        <v>783</v>
      </c>
      <c r="NN55" t="s">
        <v>784</v>
      </c>
      <c r="NO55" t="s">
        <v>784</v>
      </c>
      <c r="NP55" t="s">
        <v>783</v>
      </c>
      <c r="NQ55" t="s">
        <v>783</v>
      </c>
      <c r="NR55" t="s">
        <v>783</v>
      </c>
      <c r="NS55" t="s">
        <v>783</v>
      </c>
      <c r="NT55" t="s">
        <v>784</v>
      </c>
      <c r="NU55" t="s">
        <v>783</v>
      </c>
      <c r="NV55" t="s">
        <v>784</v>
      </c>
      <c r="NW55" t="s">
        <v>784</v>
      </c>
      <c r="NX55" t="s">
        <v>783</v>
      </c>
      <c r="NY55" t="s">
        <v>784</v>
      </c>
      <c r="NZ55" t="s">
        <v>783</v>
      </c>
      <c r="OA55" t="s">
        <v>783</v>
      </c>
      <c r="OB55" t="s">
        <v>784</v>
      </c>
      <c r="OC55" t="s">
        <v>784</v>
      </c>
      <c r="OD55" t="s">
        <v>783</v>
      </c>
      <c r="OE55" t="s">
        <v>783</v>
      </c>
      <c r="OF55" t="s">
        <v>783</v>
      </c>
      <c r="OG55" t="s">
        <v>783</v>
      </c>
      <c r="OH55" t="s">
        <v>783</v>
      </c>
      <c r="OI55" t="s">
        <v>783</v>
      </c>
      <c r="OJ55" t="s">
        <v>783</v>
      </c>
    </row>
    <row r="56" spans="1:400" x14ac:dyDescent="0.25">
      <c r="A56">
        <v>52</v>
      </c>
      <c r="B56" t="s">
        <v>301</v>
      </c>
      <c r="C56" t="s">
        <v>302</v>
      </c>
      <c r="D56" t="s">
        <v>57</v>
      </c>
      <c r="E56">
        <v>62</v>
      </c>
      <c r="F56" t="s">
        <v>58</v>
      </c>
      <c r="G56" t="s">
        <v>303</v>
      </c>
      <c r="H56" t="s">
        <v>60</v>
      </c>
      <c r="I56" t="s">
        <v>113</v>
      </c>
      <c r="J56" t="s">
        <v>62</v>
      </c>
      <c r="K56" t="s">
        <v>63</v>
      </c>
      <c r="M56" t="s">
        <v>304</v>
      </c>
      <c r="N56" t="s">
        <v>305</v>
      </c>
      <c r="O56">
        <v>3</v>
      </c>
      <c r="P56" s="1">
        <v>140000</v>
      </c>
      <c r="Q56" s="1">
        <v>12000</v>
      </c>
      <c r="R56" t="s">
        <v>140</v>
      </c>
      <c r="S56" s="7">
        <v>20000</v>
      </c>
      <c r="T56" t="s">
        <v>70</v>
      </c>
      <c r="U56" s="5">
        <v>0</v>
      </c>
      <c r="V56" s="3" t="s">
        <v>93</v>
      </c>
      <c r="W56" s="5">
        <v>120000</v>
      </c>
      <c r="X56" t="s">
        <v>94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 t="s">
        <v>63</v>
      </c>
      <c r="AR56">
        <v>1</v>
      </c>
      <c r="AS56" s="2">
        <v>1.5</v>
      </c>
      <c r="AT56" t="s">
        <v>531</v>
      </c>
      <c r="AU56">
        <v>0</v>
      </c>
      <c r="AV56">
        <v>0</v>
      </c>
      <c r="AW56">
        <v>1</v>
      </c>
      <c r="AX56">
        <v>0</v>
      </c>
      <c r="AY56">
        <v>0</v>
      </c>
      <c r="AZ56" t="s">
        <v>140</v>
      </c>
      <c r="BA56" t="s">
        <v>511</v>
      </c>
      <c r="BB56">
        <v>1</v>
      </c>
      <c r="BC56" t="s">
        <v>512</v>
      </c>
      <c r="BD56" t="s">
        <v>507</v>
      </c>
      <c r="BE56">
        <v>2000</v>
      </c>
      <c r="BF56">
        <v>23</v>
      </c>
      <c r="BG56" t="s">
        <v>508</v>
      </c>
      <c r="BH56">
        <v>1</v>
      </c>
      <c r="BI56">
        <v>0</v>
      </c>
      <c r="BJ56">
        <v>0</v>
      </c>
      <c r="BK56">
        <v>0</v>
      </c>
      <c r="BL56">
        <v>0</v>
      </c>
      <c r="BM56" t="s">
        <v>63</v>
      </c>
      <c r="BN56" t="s">
        <v>63</v>
      </c>
      <c r="BO56" t="s">
        <v>3835</v>
      </c>
      <c r="BP56" t="s">
        <v>3836</v>
      </c>
      <c r="BR56" t="s">
        <v>3901</v>
      </c>
      <c r="BS56" t="s">
        <v>3838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CA56" t="s">
        <v>3839</v>
      </c>
      <c r="CC56" t="s">
        <v>3840</v>
      </c>
      <c r="CD56" t="s">
        <v>3855</v>
      </c>
      <c r="CE56" t="s">
        <v>3867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N56" t="s">
        <v>63</v>
      </c>
      <c r="CO56" t="s">
        <v>732</v>
      </c>
      <c r="CP56" t="s">
        <v>4017</v>
      </c>
      <c r="CQ56" t="s">
        <v>2996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 t="s">
        <v>3970</v>
      </c>
      <c r="CY56" t="s">
        <v>3868</v>
      </c>
      <c r="CZ56" s="26" t="s">
        <v>4018</v>
      </c>
      <c r="DA56" s="27" t="s">
        <v>4192</v>
      </c>
      <c r="DJ56" t="s">
        <v>84</v>
      </c>
      <c r="DK56" s="35"/>
      <c r="DL56" s="37"/>
      <c r="FI56" t="s">
        <v>736</v>
      </c>
      <c r="FJ56" t="s">
        <v>2646</v>
      </c>
      <c r="FK56" t="s">
        <v>736</v>
      </c>
      <c r="FL56" t="s">
        <v>2646</v>
      </c>
      <c r="FM56" t="s">
        <v>736</v>
      </c>
      <c r="FN56" t="s">
        <v>2647</v>
      </c>
      <c r="FO56" t="s">
        <v>733</v>
      </c>
      <c r="FP56" t="s">
        <v>2648</v>
      </c>
      <c r="FQ56" t="s">
        <v>733</v>
      </c>
      <c r="FR56" t="s">
        <v>2649</v>
      </c>
      <c r="FS56" t="s">
        <v>733</v>
      </c>
      <c r="FT56" t="s">
        <v>2650</v>
      </c>
      <c r="FU56" t="s">
        <v>733</v>
      </c>
      <c r="FV56" t="s">
        <v>2651</v>
      </c>
      <c r="FW56" t="s">
        <v>733</v>
      </c>
      <c r="FX56" t="s">
        <v>2652</v>
      </c>
      <c r="FY56" t="s">
        <v>733</v>
      </c>
      <c r="FZ56" t="s">
        <v>2653</v>
      </c>
      <c r="GA56" t="s">
        <v>733</v>
      </c>
      <c r="GB56" t="s">
        <v>2653</v>
      </c>
      <c r="GC56" t="s">
        <v>733</v>
      </c>
      <c r="GD56" t="s">
        <v>1422</v>
      </c>
      <c r="GE56" t="s">
        <v>733</v>
      </c>
      <c r="GF56" t="s">
        <v>2653</v>
      </c>
      <c r="GG56" t="s">
        <v>746</v>
      </c>
      <c r="GH56" t="s">
        <v>2654</v>
      </c>
      <c r="GI56" t="s">
        <v>746</v>
      </c>
      <c r="GJ56" t="s">
        <v>2655</v>
      </c>
      <c r="GK56" t="s">
        <v>733</v>
      </c>
      <c r="GL56" t="s">
        <v>2020</v>
      </c>
      <c r="GM56" t="s">
        <v>733</v>
      </c>
      <c r="GN56" t="s">
        <v>2653</v>
      </c>
      <c r="GO56" t="s">
        <v>733</v>
      </c>
      <c r="GP56" t="s">
        <v>2656</v>
      </c>
      <c r="GQ56" t="s">
        <v>733</v>
      </c>
      <c r="GR56" t="s">
        <v>2657</v>
      </c>
      <c r="GS56" t="s">
        <v>733</v>
      </c>
      <c r="GT56" t="s">
        <v>2658</v>
      </c>
      <c r="GU56" t="s">
        <v>733</v>
      </c>
      <c r="GV56" t="s">
        <v>2659</v>
      </c>
      <c r="GW56" t="s">
        <v>736</v>
      </c>
      <c r="GX56" t="s">
        <v>2660</v>
      </c>
      <c r="GY56" t="s">
        <v>736</v>
      </c>
      <c r="GZ56" t="s">
        <v>1965</v>
      </c>
      <c r="HA56" t="s">
        <v>736</v>
      </c>
      <c r="HB56" t="s">
        <v>2661</v>
      </c>
      <c r="HC56" t="s">
        <v>736</v>
      </c>
      <c r="HD56" t="s">
        <v>2662</v>
      </c>
      <c r="HE56" t="s">
        <v>798</v>
      </c>
      <c r="HF56" t="s">
        <v>1797</v>
      </c>
      <c r="HG56" t="s">
        <v>736</v>
      </c>
      <c r="HH56" t="s">
        <v>2663</v>
      </c>
      <c r="HI56" t="s">
        <v>736</v>
      </c>
      <c r="HJ56" t="s">
        <v>2664</v>
      </c>
      <c r="HK56" t="s">
        <v>736</v>
      </c>
      <c r="HL56" t="s">
        <v>1358</v>
      </c>
      <c r="HM56" t="s">
        <v>746</v>
      </c>
      <c r="HN56" t="s">
        <v>2665</v>
      </c>
      <c r="HO56" t="s">
        <v>736</v>
      </c>
      <c r="HP56" t="s">
        <v>1358</v>
      </c>
      <c r="HQ56" t="s">
        <v>746</v>
      </c>
      <c r="HR56" t="s">
        <v>2665</v>
      </c>
      <c r="HS56" t="s">
        <v>736</v>
      </c>
      <c r="HT56" t="s">
        <v>2664</v>
      </c>
      <c r="HU56" t="s">
        <v>736</v>
      </c>
      <c r="HV56" t="s">
        <v>2666</v>
      </c>
      <c r="HW56" t="s">
        <v>733</v>
      </c>
      <c r="HX56" t="s">
        <v>2667</v>
      </c>
      <c r="HY56" t="s">
        <v>733</v>
      </c>
      <c r="HZ56" t="s">
        <v>1502</v>
      </c>
      <c r="IA56" t="s">
        <v>736</v>
      </c>
      <c r="IB56" t="s">
        <v>1966</v>
      </c>
      <c r="IC56" t="s">
        <v>736</v>
      </c>
      <c r="ID56" t="s">
        <v>1972</v>
      </c>
      <c r="IE56" t="s">
        <v>736</v>
      </c>
      <c r="IF56" t="s">
        <v>1523</v>
      </c>
      <c r="IG56" t="s">
        <v>736</v>
      </c>
      <c r="IH56" t="s">
        <v>1966</v>
      </c>
      <c r="II56" t="s">
        <v>733</v>
      </c>
      <c r="IJ56" t="s">
        <v>2668</v>
      </c>
      <c r="IK56" t="s">
        <v>733</v>
      </c>
      <c r="IL56" t="s">
        <v>2669</v>
      </c>
      <c r="IM56" t="s">
        <v>733</v>
      </c>
      <c r="IN56" t="s">
        <v>2670</v>
      </c>
      <c r="IO56" t="s">
        <v>733</v>
      </c>
      <c r="IP56" t="s">
        <v>2671</v>
      </c>
      <c r="IQ56" t="s">
        <v>733</v>
      </c>
      <c r="IR56" t="s">
        <v>2672</v>
      </c>
      <c r="IS56" t="s">
        <v>733</v>
      </c>
      <c r="IT56" t="s">
        <v>2673</v>
      </c>
      <c r="IU56" t="s">
        <v>746</v>
      </c>
      <c r="IV56" t="s">
        <v>2674</v>
      </c>
      <c r="IW56" t="s">
        <v>746</v>
      </c>
      <c r="IX56" t="s">
        <v>2675</v>
      </c>
      <c r="IY56" t="s">
        <v>746</v>
      </c>
      <c r="IZ56" t="s">
        <v>2669</v>
      </c>
      <c r="JA56" t="s">
        <v>746</v>
      </c>
      <c r="JB56" t="s">
        <v>1336</v>
      </c>
      <c r="JC56" t="s">
        <v>746</v>
      </c>
      <c r="JD56" t="s">
        <v>1336</v>
      </c>
      <c r="JE56" t="s">
        <v>746</v>
      </c>
      <c r="JF56" t="s">
        <v>2669</v>
      </c>
      <c r="JH56" t="s">
        <v>938</v>
      </c>
      <c r="JJ56" t="s">
        <v>938</v>
      </c>
      <c r="JK56" t="s">
        <v>733</v>
      </c>
      <c r="JL56" t="s">
        <v>2676</v>
      </c>
      <c r="JM56" t="s">
        <v>746</v>
      </c>
      <c r="JN56" t="s">
        <v>1336</v>
      </c>
      <c r="JP56" t="s">
        <v>938</v>
      </c>
      <c r="JR56" t="s">
        <v>938</v>
      </c>
      <c r="JS56" t="s">
        <v>746</v>
      </c>
      <c r="JT56" t="s">
        <v>2676</v>
      </c>
      <c r="JU56" t="s">
        <v>746</v>
      </c>
      <c r="JV56" t="s">
        <v>2675</v>
      </c>
      <c r="JW56" t="s">
        <v>746</v>
      </c>
      <c r="JX56" t="s">
        <v>1336</v>
      </c>
      <c r="JY56" t="s">
        <v>746</v>
      </c>
      <c r="JZ56" t="s">
        <v>2676</v>
      </c>
      <c r="KA56" t="s">
        <v>746</v>
      </c>
      <c r="KB56" t="s">
        <v>2676</v>
      </c>
      <c r="KC56" t="s">
        <v>746</v>
      </c>
      <c r="KD56" t="s">
        <v>1336</v>
      </c>
      <c r="KE56" t="s">
        <v>746</v>
      </c>
      <c r="KF56" t="s">
        <v>2675</v>
      </c>
      <c r="KG56" t="s">
        <v>746</v>
      </c>
      <c r="KH56" t="s">
        <v>2676</v>
      </c>
      <c r="KI56" t="s">
        <v>746</v>
      </c>
      <c r="KJ56" t="s">
        <v>2676</v>
      </c>
      <c r="KK56" t="s">
        <v>746</v>
      </c>
      <c r="KL56" t="s">
        <v>2676</v>
      </c>
      <c r="KM56" t="s">
        <v>746</v>
      </c>
      <c r="KN56" t="s">
        <v>1336</v>
      </c>
      <c r="KO56" t="s">
        <v>746</v>
      </c>
      <c r="KP56" t="s">
        <v>2676</v>
      </c>
      <c r="KQ56" t="s">
        <v>746</v>
      </c>
      <c r="KR56" t="s">
        <v>1994</v>
      </c>
      <c r="KS56" t="s">
        <v>746</v>
      </c>
      <c r="KT56" t="s">
        <v>2143</v>
      </c>
      <c r="KU56" t="s">
        <v>733</v>
      </c>
      <c r="KV56" t="s">
        <v>2677</v>
      </c>
      <c r="KW56" t="s">
        <v>733</v>
      </c>
      <c r="KX56" t="s">
        <v>2678</v>
      </c>
      <c r="KY56" t="s">
        <v>733</v>
      </c>
      <c r="KZ56" t="s">
        <v>1403</v>
      </c>
      <c r="LA56" t="s">
        <v>733</v>
      </c>
      <c r="LB56" t="s">
        <v>1423</v>
      </c>
      <c r="LC56" t="s">
        <v>733</v>
      </c>
      <c r="LD56" t="s">
        <v>2679</v>
      </c>
      <c r="LE56" t="s">
        <v>733</v>
      </c>
      <c r="LF56" t="s">
        <v>2680</v>
      </c>
      <c r="LG56" t="s">
        <v>733</v>
      </c>
      <c r="LH56" t="s">
        <v>2681</v>
      </c>
      <c r="LI56" t="s">
        <v>733</v>
      </c>
      <c r="LJ56" t="s">
        <v>2682</v>
      </c>
      <c r="LK56" t="s">
        <v>746</v>
      </c>
      <c r="LL56" t="s">
        <v>2683</v>
      </c>
      <c r="LM56" t="s">
        <v>746</v>
      </c>
      <c r="LN56" t="s">
        <v>2684</v>
      </c>
      <c r="LO56" t="s">
        <v>746</v>
      </c>
      <c r="LP56" t="s">
        <v>2685</v>
      </c>
      <c r="LQ56" t="s">
        <v>746</v>
      </c>
      <c r="LR56" t="s">
        <v>2686</v>
      </c>
      <c r="LS56" t="s">
        <v>733</v>
      </c>
      <c r="LT56" t="s">
        <v>1422</v>
      </c>
      <c r="LU56" t="s">
        <v>733</v>
      </c>
      <c r="LV56" t="s">
        <v>2687</v>
      </c>
      <c r="LW56" t="s">
        <v>733</v>
      </c>
      <c r="LX56" t="s">
        <v>1422</v>
      </c>
      <c r="LY56" t="s">
        <v>733</v>
      </c>
      <c r="LZ56" t="s">
        <v>2688</v>
      </c>
      <c r="MA56" t="s">
        <v>733</v>
      </c>
      <c r="MB56" t="s">
        <v>2020</v>
      </c>
      <c r="MC56" t="s">
        <v>733</v>
      </c>
      <c r="MD56" t="s">
        <v>2689</v>
      </c>
      <c r="ME56" t="s">
        <v>733</v>
      </c>
      <c r="MF56" t="s">
        <v>2690</v>
      </c>
      <c r="MG56" t="s">
        <v>733</v>
      </c>
      <c r="MH56" t="s">
        <v>2691</v>
      </c>
      <c r="MI56" t="s">
        <v>746</v>
      </c>
      <c r="MJ56" t="s">
        <v>2692</v>
      </c>
      <c r="MK56" t="s">
        <v>746</v>
      </c>
      <c r="ML56" t="s">
        <v>2693</v>
      </c>
      <c r="MM56" t="s">
        <v>70</v>
      </c>
      <c r="MO56" t="s">
        <v>783</v>
      </c>
      <c r="MP56" t="s">
        <v>784</v>
      </c>
      <c r="MQ56" t="s">
        <v>783</v>
      </c>
      <c r="MR56" t="s">
        <v>783</v>
      </c>
      <c r="MS56" t="s">
        <v>783</v>
      </c>
      <c r="MT56" t="s">
        <v>783</v>
      </c>
      <c r="MU56" t="s">
        <v>783</v>
      </c>
      <c r="MV56" t="s">
        <v>783</v>
      </c>
      <c r="MW56" t="s">
        <v>783</v>
      </c>
      <c r="MX56" t="s">
        <v>783</v>
      </c>
      <c r="MZ56" t="s">
        <v>783</v>
      </c>
      <c r="NA56" t="s">
        <v>783</v>
      </c>
      <c r="NB56" t="s">
        <v>783</v>
      </c>
      <c r="NC56" t="s">
        <v>783</v>
      </c>
      <c r="ND56" t="s">
        <v>783</v>
      </c>
      <c r="NE56" t="s">
        <v>784</v>
      </c>
      <c r="NF56" t="s">
        <v>783</v>
      </c>
      <c r="NG56" t="s">
        <v>783</v>
      </c>
      <c r="NH56" t="s">
        <v>783</v>
      </c>
      <c r="NI56" t="s">
        <v>783</v>
      </c>
      <c r="NJ56" t="s">
        <v>783</v>
      </c>
      <c r="NK56" t="s">
        <v>783</v>
      </c>
      <c r="NL56" t="s">
        <v>783</v>
      </c>
      <c r="NM56" t="s">
        <v>783</v>
      </c>
      <c r="NN56" t="s">
        <v>784</v>
      </c>
      <c r="NO56" t="s">
        <v>783</v>
      </c>
      <c r="NP56" t="s">
        <v>783</v>
      </c>
      <c r="NQ56" t="s">
        <v>783</v>
      </c>
      <c r="NR56" t="s">
        <v>783</v>
      </c>
      <c r="NS56" t="s">
        <v>783</v>
      </c>
      <c r="NT56" t="s">
        <v>784</v>
      </c>
      <c r="NU56" t="s">
        <v>783</v>
      </c>
      <c r="NV56" t="s">
        <v>784</v>
      </c>
      <c r="NW56" t="s">
        <v>784</v>
      </c>
      <c r="NX56" t="s">
        <v>783</v>
      </c>
      <c r="NY56" t="s">
        <v>784</v>
      </c>
      <c r="NZ56" t="s">
        <v>784</v>
      </c>
      <c r="OA56" t="s">
        <v>783</v>
      </c>
      <c r="OB56" t="s">
        <v>784</v>
      </c>
      <c r="OC56" t="s">
        <v>784</v>
      </c>
      <c r="OD56" t="s">
        <v>783</v>
      </c>
      <c r="OE56" t="s">
        <v>783</v>
      </c>
      <c r="OF56" t="s">
        <v>783</v>
      </c>
      <c r="OG56" t="s">
        <v>783</v>
      </c>
      <c r="OH56" t="s">
        <v>783</v>
      </c>
      <c r="OI56" t="s">
        <v>783</v>
      </c>
      <c r="OJ56" t="s">
        <v>783</v>
      </c>
    </row>
    <row r="57" spans="1:400" x14ac:dyDescent="0.25">
      <c r="A57">
        <v>53</v>
      </c>
      <c r="B57" t="s">
        <v>307</v>
      </c>
      <c r="C57" t="s">
        <v>308</v>
      </c>
      <c r="D57" t="s">
        <v>57</v>
      </c>
      <c r="E57">
        <v>31</v>
      </c>
      <c r="F57" t="s">
        <v>58</v>
      </c>
      <c r="G57" t="s">
        <v>303</v>
      </c>
      <c r="H57" t="s">
        <v>60</v>
      </c>
      <c r="I57" t="s">
        <v>113</v>
      </c>
      <c r="J57" t="s">
        <v>62</v>
      </c>
      <c r="K57" t="s">
        <v>63</v>
      </c>
      <c r="M57" t="s">
        <v>309</v>
      </c>
      <c r="N57" t="s">
        <v>70</v>
      </c>
      <c r="O57">
        <v>4</v>
      </c>
      <c r="P57" s="1">
        <v>66000</v>
      </c>
      <c r="Q57" s="1">
        <v>6000</v>
      </c>
      <c r="R57" t="s">
        <v>312</v>
      </c>
      <c r="S57" s="7">
        <v>60000</v>
      </c>
      <c r="T57" t="s">
        <v>313</v>
      </c>
      <c r="U57" s="5">
        <v>6000</v>
      </c>
      <c r="V57" s="3" t="s">
        <v>70</v>
      </c>
      <c r="W57" s="5">
        <v>0</v>
      </c>
      <c r="X57" t="s">
        <v>94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P57" t="s">
        <v>63</v>
      </c>
      <c r="AR57">
        <v>1</v>
      </c>
      <c r="AS57" s="2">
        <v>0.5</v>
      </c>
      <c r="AT57" t="s">
        <v>503</v>
      </c>
      <c r="AU57">
        <v>0</v>
      </c>
      <c r="AV57">
        <v>0</v>
      </c>
      <c r="AW57">
        <v>0</v>
      </c>
      <c r="AX57">
        <v>1</v>
      </c>
      <c r="AY57">
        <v>0</v>
      </c>
      <c r="AZ57" t="s">
        <v>529</v>
      </c>
      <c r="BA57" t="s">
        <v>511</v>
      </c>
      <c r="BB57" t="s">
        <v>567</v>
      </c>
      <c r="BC57" t="s">
        <v>567</v>
      </c>
      <c r="BD57" t="s">
        <v>507</v>
      </c>
      <c r="BE57">
        <v>2017</v>
      </c>
      <c r="BF57">
        <v>6</v>
      </c>
      <c r="BG57" t="s">
        <v>508</v>
      </c>
      <c r="BH57">
        <v>1</v>
      </c>
      <c r="BI57">
        <v>0</v>
      </c>
      <c r="BJ57">
        <v>0</v>
      </c>
      <c r="BK57">
        <v>0</v>
      </c>
      <c r="BL57">
        <v>0</v>
      </c>
      <c r="BM57" t="s">
        <v>63</v>
      </c>
      <c r="BN57" t="s">
        <v>63</v>
      </c>
      <c r="BO57" t="s">
        <v>3835</v>
      </c>
      <c r="BP57" t="s">
        <v>3836</v>
      </c>
      <c r="BR57" t="s">
        <v>3902</v>
      </c>
      <c r="BS57" t="s">
        <v>3838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CA57" t="s">
        <v>3847</v>
      </c>
      <c r="CB57" t="s">
        <v>3903</v>
      </c>
      <c r="CC57" t="s">
        <v>4186</v>
      </c>
      <c r="CD57" t="s">
        <v>3841</v>
      </c>
      <c r="CE57" t="s">
        <v>3867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N57" t="s">
        <v>63</v>
      </c>
      <c r="CO57" t="s">
        <v>732</v>
      </c>
      <c r="CP57" t="s">
        <v>3976</v>
      </c>
      <c r="CQ57" t="s">
        <v>3945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Y57" t="s">
        <v>4012</v>
      </c>
      <c r="CZ57" s="26" t="s">
        <v>4205</v>
      </c>
      <c r="DA57" s="27" t="s">
        <v>4192</v>
      </c>
      <c r="DJ57" t="s">
        <v>63</v>
      </c>
      <c r="DK57" s="35" t="s">
        <v>4143</v>
      </c>
      <c r="DL57" s="37" t="s">
        <v>4258</v>
      </c>
      <c r="DM57" t="s">
        <v>4118</v>
      </c>
      <c r="DN57">
        <v>0</v>
      </c>
      <c r="DO57">
        <v>0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O57" t="s">
        <v>4111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 t="s">
        <v>4146</v>
      </c>
      <c r="EY57" t="s">
        <v>4105</v>
      </c>
      <c r="EZ57">
        <v>0</v>
      </c>
      <c r="FA57">
        <v>0</v>
      </c>
      <c r="FB57">
        <v>1</v>
      </c>
      <c r="FC57">
        <v>0</v>
      </c>
      <c r="FF57" t="s">
        <v>4147</v>
      </c>
      <c r="FI57" t="s">
        <v>733</v>
      </c>
      <c r="FJ57" t="s">
        <v>2694</v>
      </c>
      <c r="FK57" t="s">
        <v>733</v>
      </c>
      <c r="FL57" t="s">
        <v>2695</v>
      </c>
      <c r="FM57" t="s">
        <v>736</v>
      </c>
      <c r="FN57" t="s">
        <v>1496</v>
      </c>
      <c r="FO57" t="s">
        <v>736</v>
      </c>
      <c r="FP57" t="s">
        <v>2696</v>
      </c>
      <c r="FQ57" t="s">
        <v>733</v>
      </c>
      <c r="FR57" t="s">
        <v>2670</v>
      </c>
      <c r="FS57" t="s">
        <v>733</v>
      </c>
      <c r="FT57" t="s">
        <v>2697</v>
      </c>
      <c r="FU57" t="s">
        <v>746</v>
      </c>
      <c r="FV57" t="s">
        <v>2698</v>
      </c>
      <c r="FW57" t="s">
        <v>746</v>
      </c>
      <c r="FX57" t="s">
        <v>2140</v>
      </c>
      <c r="FY57" t="s">
        <v>746</v>
      </c>
      <c r="FZ57" t="s">
        <v>2140</v>
      </c>
      <c r="GA57" t="s">
        <v>746</v>
      </c>
      <c r="GB57" t="s">
        <v>2699</v>
      </c>
      <c r="GC57" t="s">
        <v>746</v>
      </c>
      <c r="GD57" t="s">
        <v>2700</v>
      </c>
      <c r="GE57" t="s">
        <v>746</v>
      </c>
      <c r="GF57" t="s">
        <v>2701</v>
      </c>
      <c r="GG57" t="s">
        <v>746</v>
      </c>
      <c r="GH57" t="s">
        <v>1375</v>
      </c>
      <c r="GI57" t="s">
        <v>746</v>
      </c>
      <c r="GJ57" t="s">
        <v>1994</v>
      </c>
      <c r="GK57" t="s">
        <v>733</v>
      </c>
      <c r="GL57" t="s">
        <v>2670</v>
      </c>
      <c r="GM57" t="s">
        <v>733</v>
      </c>
      <c r="GN57" t="s">
        <v>2171</v>
      </c>
      <c r="GO57" t="s">
        <v>746</v>
      </c>
      <c r="GP57" t="s">
        <v>2701</v>
      </c>
      <c r="GQ57" t="s">
        <v>746</v>
      </c>
      <c r="GR57" t="s">
        <v>2702</v>
      </c>
      <c r="GS57" t="s">
        <v>733</v>
      </c>
      <c r="GT57" t="s">
        <v>2670</v>
      </c>
      <c r="GU57" t="s">
        <v>733</v>
      </c>
      <c r="GV57" t="s">
        <v>1572</v>
      </c>
      <c r="GW57" t="s">
        <v>736</v>
      </c>
      <c r="GX57" t="s">
        <v>2703</v>
      </c>
      <c r="GY57" t="s">
        <v>736</v>
      </c>
      <c r="GZ57" t="s">
        <v>2704</v>
      </c>
      <c r="HA57" t="s">
        <v>736</v>
      </c>
      <c r="HB57" t="s">
        <v>2703</v>
      </c>
      <c r="HC57" t="s">
        <v>736</v>
      </c>
      <c r="HD57" t="s">
        <v>2705</v>
      </c>
      <c r="HE57" t="s">
        <v>798</v>
      </c>
      <c r="HF57" t="s">
        <v>2703</v>
      </c>
      <c r="HG57" t="s">
        <v>736</v>
      </c>
      <c r="HH57" t="s">
        <v>2706</v>
      </c>
      <c r="HI57" t="s">
        <v>736</v>
      </c>
      <c r="HJ57" t="s">
        <v>1583</v>
      </c>
      <c r="HL57" t="s">
        <v>938</v>
      </c>
      <c r="HN57" t="s">
        <v>2707</v>
      </c>
      <c r="HP57" t="s">
        <v>938</v>
      </c>
      <c r="HR57" t="s">
        <v>938</v>
      </c>
      <c r="HS57" t="s">
        <v>736</v>
      </c>
      <c r="HT57" t="s">
        <v>2708</v>
      </c>
      <c r="HU57" t="s">
        <v>736</v>
      </c>
      <c r="HV57" t="s">
        <v>2709</v>
      </c>
      <c r="HW57" t="s">
        <v>733</v>
      </c>
      <c r="HX57" t="s">
        <v>2670</v>
      </c>
      <c r="HY57" t="s">
        <v>736</v>
      </c>
      <c r="HZ57" t="s">
        <v>1572</v>
      </c>
      <c r="IA57" t="s">
        <v>733</v>
      </c>
      <c r="IB57" t="s">
        <v>2710</v>
      </c>
      <c r="IC57" t="s">
        <v>733</v>
      </c>
      <c r="ID57" t="s">
        <v>2711</v>
      </c>
      <c r="IE57" t="s">
        <v>733</v>
      </c>
      <c r="IF57" t="s">
        <v>2712</v>
      </c>
      <c r="IG57" t="s">
        <v>733</v>
      </c>
      <c r="IH57" t="s">
        <v>2713</v>
      </c>
      <c r="II57" t="s">
        <v>736</v>
      </c>
      <c r="IJ57" t="s">
        <v>1965</v>
      </c>
      <c r="IK57" t="s">
        <v>736</v>
      </c>
      <c r="IL57" t="s">
        <v>2704</v>
      </c>
      <c r="IM57" t="s">
        <v>746</v>
      </c>
      <c r="IN57" t="s">
        <v>2714</v>
      </c>
      <c r="IO57" t="s">
        <v>746</v>
      </c>
      <c r="IP57" t="s">
        <v>1994</v>
      </c>
      <c r="IQ57" t="s">
        <v>746</v>
      </c>
      <c r="IR57" t="s">
        <v>2715</v>
      </c>
      <c r="IS57" t="s">
        <v>746</v>
      </c>
      <c r="IT57" t="s">
        <v>1375</v>
      </c>
      <c r="IU57" t="s">
        <v>746</v>
      </c>
      <c r="IV57" t="s">
        <v>2716</v>
      </c>
      <c r="IW57" t="s">
        <v>746</v>
      </c>
      <c r="IX57" t="s">
        <v>2141</v>
      </c>
      <c r="IY57" t="s">
        <v>746</v>
      </c>
      <c r="IZ57" t="s">
        <v>1994</v>
      </c>
      <c r="JA57" t="s">
        <v>746</v>
      </c>
      <c r="JB57" t="s">
        <v>2717</v>
      </c>
      <c r="JC57" t="s">
        <v>746</v>
      </c>
      <c r="JD57" t="s">
        <v>2179</v>
      </c>
      <c r="JE57" t="s">
        <v>746</v>
      </c>
      <c r="JF57" t="s">
        <v>1994</v>
      </c>
      <c r="JG57" t="s">
        <v>746</v>
      </c>
      <c r="JH57" t="s">
        <v>938</v>
      </c>
      <c r="JJ57" t="s">
        <v>938</v>
      </c>
      <c r="JL57" t="s">
        <v>938</v>
      </c>
      <c r="JN57" t="s">
        <v>938</v>
      </c>
      <c r="JP57" t="s">
        <v>938</v>
      </c>
      <c r="JR57" t="s">
        <v>938</v>
      </c>
      <c r="JS57" t="s">
        <v>746</v>
      </c>
      <c r="JT57" t="s">
        <v>2140</v>
      </c>
      <c r="JU57" t="s">
        <v>746</v>
      </c>
      <c r="JV57" t="s">
        <v>1771</v>
      </c>
      <c r="JW57" t="s">
        <v>746</v>
      </c>
      <c r="JX57" t="s">
        <v>2717</v>
      </c>
      <c r="JY57" t="s">
        <v>746</v>
      </c>
      <c r="JZ57" t="s">
        <v>2718</v>
      </c>
      <c r="KA57" t="s">
        <v>746</v>
      </c>
      <c r="KB57" t="s">
        <v>2719</v>
      </c>
      <c r="KC57" t="s">
        <v>746</v>
      </c>
      <c r="KD57" t="s">
        <v>2717</v>
      </c>
      <c r="KE57" t="s">
        <v>746</v>
      </c>
      <c r="KF57" t="s">
        <v>2717</v>
      </c>
      <c r="KG57" t="s">
        <v>746</v>
      </c>
      <c r="KH57" t="s">
        <v>2720</v>
      </c>
      <c r="KI57" t="s">
        <v>746</v>
      </c>
      <c r="KJ57" t="s">
        <v>2720</v>
      </c>
      <c r="KK57" t="s">
        <v>746</v>
      </c>
      <c r="KL57" t="s">
        <v>2721</v>
      </c>
      <c r="KM57" t="s">
        <v>746</v>
      </c>
      <c r="KN57" t="s">
        <v>2140</v>
      </c>
      <c r="KO57" t="s">
        <v>746</v>
      </c>
      <c r="KP57" t="s">
        <v>1994</v>
      </c>
      <c r="KQ57" t="s">
        <v>746</v>
      </c>
      <c r="KR57" t="s">
        <v>1338</v>
      </c>
      <c r="KS57" t="s">
        <v>746</v>
      </c>
      <c r="KT57" t="s">
        <v>1994</v>
      </c>
      <c r="KU57" t="s">
        <v>746</v>
      </c>
      <c r="KV57" t="s">
        <v>2720</v>
      </c>
      <c r="KW57" t="s">
        <v>746</v>
      </c>
      <c r="KX57" t="s">
        <v>2722</v>
      </c>
      <c r="KY57" t="s">
        <v>746</v>
      </c>
      <c r="KZ57" t="s">
        <v>1375</v>
      </c>
      <c r="LA57" t="s">
        <v>746</v>
      </c>
      <c r="LB57" t="s">
        <v>2723</v>
      </c>
      <c r="LC57" t="s">
        <v>746</v>
      </c>
      <c r="LD57" t="s">
        <v>2724</v>
      </c>
      <c r="LE57" t="s">
        <v>746</v>
      </c>
      <c r="LF57" t="s">
        <v>2725</v>
      </c>
      <c r="LG57" t="s">
        <v>746</v>
      </c>
      <c r="LH57" t="s">
        <v>2726</v>
      </c>
      <c r="LI57" t="s">
        <v>746</v>
      </c>
      <c r="LJ57" t="s">
        <v>2727</v>
      </c>
      <c r="LK57" t="s">
        <v>746</v>
      </c>
      <c r="LL57" t="s">
        <v>1994</v>
      </c>
      <c r="LM57" t="s">
        <v>746</v>
      </c>
      <c r="LN57" t="s">
        <v>2717</v>
      </c>
      <c r="LO57" t="s">
        <v>746</v>
      </c>
      <c r="LP57" t="s">
        <v>1557</v>
      </c>
      <c r="LQ57" t="s">
        <v>746</v>
      </c>
      <c r="LR57" t="s">
        <v>2150</v>
      </c>
      <c r="LS57" t="s">
        <v>746</v>
      </c>
      <c r="LT57" t="s">
        <v>2728</v>
      </c>
      <c r="LU57" t="s">
        <v>746</v>
      </c>
      <c r="LV57" t="s">
        <v>2729</v>
      </c>
      <c r="LW57" t="s">
        <v>746</v>
      </c>
      <c r="LX57" t="s">
        <v>2729</v>
      </c>
      <c r="LY57" t="s">
        <v>746</v>
      </c>
      <c r="LZ57" t="s">
        <v>1273</v>
      </c>
      <c r="MA57" t="s">
        <v>746</v>
      </c>
      <c r="MB57" t="s">
        <v>2729</v>
      </c>
      <c r="MC57" t="s">
        <v>746</v>
      </c>
      <c r="MD57" t="s">
        <v>2730</v>
      </c>
      <c r="ME57" t="s">
        <v>746</v>
      </c>
      <c r="MF57" t="s">
        <v>1644</v>
      </c>
      <c r="MG57" t="s">
        <v>746</v>
      </c>
      <c r="MH57" t="s">
        <v>2731</v>
      </c>
      <c r="MI57" t="s">
        <v>746</v>
      </c>
      <c r="MJ57" t="s">
        <v>2675</v>
      </c>
      <c r="MK57" t="s">
        <v>746</v>
      </c>
      <c r="ML57" t="s">
        <v>2719</v>
      </c>
      <c r="MM57" t="s">
        <v>70</v>
      </c>
      <c r="MO57" t="s">
        <v>783</v>
      </c>
      <c r="MP57" t="s">
        <v>783</v>
      </c>
      <c r="MQ57" t="s">
        <v>783</v>
      </c>
      <c r="MR57" t="s">
        <v>783</v>
      </c>
      <c r="MS57" t="s">
        <v>783</v>
      </c>
      <c r="MT57" t="s">
        <v>783</v>
      </c>
      <c r="MU57" t="s">
        <v>783</v>
      </c>
      <c r="MV57" t="s">
        <v>783</v>
      </c>
      <c r="MW57" t="s">
        <v>783</v>
      </c>
      <c r="MX57" t="s">
        <v>783</v>
      </c>
      <c r="MZ57" t="s">
        <v>907</v>
      </c>
      <c r="NA57" t="s">
        <v>783</v>
      </c>
      <c r="NB57" t="s">
        <v>783</v>
      </c>
      <c r="NC57" t="s">
        <v>783</v>
      </c>
      <c r="ND57" t="s">
        <v>783</v>
      </c>
      <c r="NE57" t="s">
        <v>783</v>
      </c>
      <c r="NF57" t="s">
        <v>783</v>
      </c>
      <c r="NG57" t="s">
        <v>783</v>
      </c>
      <c r="NH57" t="s">
        <v>783</v>
      </c>
      <c r="NI57" t="s">
        <v>783</v>
      </c>
      <c r="NJ57" t="s">
        <v>783</v>
      </c>
      <c r="NK57" t="s">
        <v>783</v>
      </c>
      <c r="NL57" t="s">
        <v>783</v>
      </c>
      <c r="NM57" t="s">
        <v>783</v>
      </c>
      <c r="NN57" t="s">
        <v>783</v>
      </c>
      <c r="NO57" t="s">
        <v>783</v>
      </c>
      <c r="NP57" t="s">
        <v>783</v>
      </c>
      <c r="NQ57" t="s">
        <v>783</v>
      </c>
      <c r="NR57" t="s">
        <v>783</v>
      </c>
      <c r="NS57" t="s">
        <v>784</v>
      </c>
      <c r="NT57" t="s">
        <v>784</v>
      </c>
      <c r="NU57" t="s">
        <v>783</v>
      </c>
      <c r="NV57" t="s">
        <v>784</v>
      </c>
      <c r="NW57" t="s">
        <v>784</v>
      </c>
      <c r="NX57" t="s">
        <v>783</v>
      </c>
      <c r="NY57" t="s">
        <v>784</v>
      </c>
      <c r="NZ57" t="s">
        <v>783</v>
      </c>
      <c r="OA57" t="s">
        <v>783</v>
      </c>
      <c r="OB57" t="s">
        <v>784</v>
      </c>
      <c r="OC57" t="s">
        <v>784</v>
      </c>
      <c r="OD57" t="s">
        <v>783</v>
      </c>
      <c r="OE57" t="s">
        <v>783</v>
      </c>
      <c r="OF57" t="s">
        <v>783</v>
      </c>
      <c r="OG57" t="s">
        <v>783</v>
      </c>
      <c r="OH57" t="s">
        <v>783</v>
      </c>
      <c r="OI57" t="s">
        <v>783</v>
      </c>
      <c r="OJ57" t="s">
        <v>783</v>
      </c>
    </row>
    <row r="58" spans="1:400" x14ac:dyDescent="0.25">
      <c r="A58">
        <v>54</v>
      </c>
      <c r="B58" t="s">
        <v>287</v>
      </c>
      <c r="C58" t="s">
        <v>288</v>
      </c>
      <c r="D58" t="s">
        <v>57</v>
      </c>
      <c r="E58">
        <v>30</v>
      </c>
      <c r="F58" t="s">
        <v>58</v>
      </c>
      <c r="G58" t="s">
        <v>105</v>
      </c>
      <c r="H58" t="s">
        <v>60</v>
      </c>
      <c r="I58" t="s">
        <v>113</v>
      </c>
      <c r="J58" t="s">
        <v>62</v>
      </c>
      <c r="K58" t="s">
        <v>63</v>
      </c>
      <c r="M58" t="s">
        <v>289</v>
      </c>
      <c r="N58" t="s">
        <v>70</v>
      </c>
      <c r="O58">
        <v>5</v>
      </c>
      <c r="P58" s="1">
        <v>20000</v>
      </c>
      <c r="Q58" s="1">
        <v>0</v>
      </c>
      <c r="R58" t="s">
        <v>171</v>
      </c>
      <c r="S58" s="7">
        <v>12000</v>
      </c>
      <c r="T58" t="s">
        <v>70</v>
      </c>
      <c r="U58" s="5">
        <v>0</v>
      </c>
      <c r="V58" s="3" t="s">
        <v>70</v>
      </c>
      <c r="W58" s="5">
        <v>0</v>
      </c>
      <c r="X58" t="s">
        <v>94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P58" t="s">
        <v>63</v>
      </c>
      <c r="AR58">
        <v>1</v>
      </c>
      <c r="AS58" s="2">
        <v>0.25</v>
      </c>
      <c r="AT58" t="s">
        <v>516</v>
      </c>
      <c r="AU58">
        <v>1</v>
      </c>
      <c r="AV58">
        <v>0</v>
      </c>
      <c r="AW58">
        <v>0</v>
      </c>
      <c r="AX58">
        <v>0</v>
      </c>
      <c r="AY58">
        <v>0</v>
      </c>
      <c r="AZ58" t="s">
        <v>563</v>
      </c>
      <c r="BA58" t="s">
        <v>71</v>
      </c>
      <c r="BB58" t="s">
        <v>564</v>
      </c>
      <c r="BC58" t="s">
        <v>564</v>
      </c>
      <c r="BD58" t="s">
        <v>507</v>
      </c>
      <c r="BE58">
        <v>2022</v>
      </c>
      <c r="BF58">
        <v>1</v>
      </c>
      <c r="BG58" t="s">
        <v>508</v>
      </c>
      <c r="BH58">
        <v>1</v>
      </c>
      <c r="BI58">
        <v>0</v>
      </c>
      <c r="BJ58">
        <v>0</v>
      </c>
      <c r="BK58">
        <v>0</v>
      </c>
      <c r="BL58">
        <v>0</v>
      </c>
      <c r="BM58" t="s">
        <v>63</v>
      </c>
      <c r="BN58" t="s">
        <v>84</v>
      </c>
      <c r="CM58" t="s">
        <v>785</v>
      </c>
      <c r="CN58" t="s">
        <v>63</v>
      </c>
      <c r="CO58" t="s">
        <v>732</v>
      </c>
      <c r="CP58" t="s">
        <v>4019</v>
      </c>
      <c r="CQ58" t="s">
        <v>3945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Y58" t="s">
        <v>4020</v>
      </c>
      <c r="CZ58" s="26" t="s">
        <v>4206</v>
      </c>
      <c r="DA58" s="27"/>
      <c r="DJ58" t="s">
        <v>63</v>
      </c>
      <c r="DK58" s="35" t="s">
        <v>4145</v>
      </c>
      <c r="DL58" s="37" t="s">
        <v>4255</v>
      </c>
      <c r="DM58" t="s">
        <v>4114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O58" t="s">
        <v>2996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</v>
      </c>
      <c r="EX58" t="s">
        <v>4148</v>
      </c>
      <c r="EY58" t="s">
        <v>4105</v>
      </c>
      <c r="EZ58">
        <v>0</v>
      </c>
      <c r="FA58">
        <v>0</v>
      </c>
      <c r="FB58">
        <v>1</v>
      </c>
      <c r="FC58">
        <v>0</v>
      </c>
      <c r="FF58" t="s">
        <v>4149</v>
      </c>
      <c r="FI58" t="s">
        <v>746</v>
      </c>
      <c r="FJ58" t="s">
        <v>2732</v>
      </c>
      <c r="FK58" t="s">
        <v>746</v>
      </c>
      <c r="FL58" t="s">
        <v>2732</v>
      </c>
      <c r="FM58" t="s">
        <v>733</v>
      </c>
      <c r="FN58" t="s">
        <v>817</v>
      </c>
      <c r="FO58" t="s">
        <v>746</v>
      </c>
      <c r="FP58" t="s">
        <v>2733</v>
      </c>
      <c r="FQ58" t="s">
        <v>733</v>
      </c>
      <c r="FR58" t="s">
        <v>2734</v>
      </c>
      <c r="FS58" t="s">
        <v>733</v>
      </c>
      <c r="FT58" t="s">
        <v>1489</v>
      </c>
      <c r="FU58" t="s">
        <v>736</v>
      </c>
      <c r="FV58" t="s">
        <v>2735</v>
      </c>
      <c r="FW58" t="s">
        <v>736</v>
      </c>
      <c r="FX58" t="s">
        <v>2704</v>
      </c>
      <c r="FY58" t="s">
        <v>733</v>
      </c>
      <c r="FZ58" t="s">
        <v>2736</v>
      </c>
      <c r="GA58" t="s">
        <v>733</v>
      </c>
      <c r="GB58" t="s">
        <v>2737</v>
      </c>
      <c r="GC58" t="s">
        <v>733</v>
      </c>
      <c r="GD58" t="s">
        <v>2737</v>
      </c>
      <c r="GE58" t="s">
        <v>733</v>
      </c>
      <c r="GF58" t="s">
        <v>1489</v>
      </c>
      <c r="GG58" t="s">
        <v>746</v>
      </c>
      <c r="GH58" t="s">
        <v>2481</v>
      </c>
      <c r="GI58" t="s">
        <v>746</v>
      </c>
      <c r="GJ58" t="s">
        <v>1994</v>
      </c>
      <c r="GK58" t="s">
        <v>733</v>
      </c>
      <c r="GL58" t="s">
        <v>2738</v>
      </c>
      <c r="GM58" t="s">
        <v>733</v>
      </c>
      <c r="GN58" t="s">
        <v>2739</v>
      </c>
      <c r="GO58" t="s">
        <v>733</v>
      </c>
      <c r="GP58" t="s">
        <v>2357</v>
      </c>
      <c r="GQ58" t="s">
        <v>733</v>
      </c>
      <c r="GR58" t="s">
        <v>2740</v>
      </c>
      <c r="GS58" t="s">
        <v>733</v>
      </c>
      <c r="GT58" t="s">
        <v>2741</v>
      </c>
      <c r="GU58" t="s">
        <v>733</v>
      </c>
      <c r="GV58" t="s">
        <v>817</v>
      </c>
      <c r="GW58" t="s">
        <v>733</v>
      </c>
      <c r="GX58" t="s">
        <v>2711</v>
      </c>
      <c r="GY58" t="s">
        <v>733</v>
      </c>
      <c r="GZ58" t="s">
        <v>2742</v>
      </c>
      <c r="HA58" t="s">
        <v>733</v>
      </c>
      <c r="HB58" t="s">
        <v>2743</v>
      </c>
      <c r="HC58" t="s">
        <v>733</v>
      </c>
      <c r="HD58" t="s">
        <v>1537</v>
      </c>
      <c r="HE58" t="s">
        <v>733</v>
      </c>
      <c r="HF58" t="s">
        <v>2744</v>
      </c>
      <c r="HG58" t="s">
        <v>736</v>
      </c>
      <c r="HH58" t="s">
        <v>2745</v>
      </c>
      <c r="HI58" t="s">
        <v>736</v>
      </c>
      <c r="HJ58" t="s">
        <v>1972</v>
      </c>
      <c r="HK58" t="s">
        <v>746</v>
      </c>
      <c r="HL58" t="s">
        <v>2746</v>
      </c>
      <c r="HM58" t="s">
        <v>746</v>
      </c>
      <c r="HN58" t="s">
        <v>2747</v>
      </c>
      <c r="HO58" t="s">
        <v>746</v>
      </c>
      <c r="HP58" t="s">
        <v>2748</v>
      </c>
      <c r="HQ58" t="s">
        <v>746</v>
      </c>
      <c r="HR58" t="s">
        <v>1447</v>
      </c>
      <c r="HS58" t="s">
        <v>736</v>
      </c>
      <c r="HT58" t="s">
        <v>1765</v>
      </c>
      <c r="HU58" t="s">
        <v>736</v>
      </c>
      <c r="HV58" t="s">
        <v>2704</v>
      </c>
      <c r="HW58" t="s">
        <v>746</v>
      </c>
      <c r="HX58" t="s">
        <v>1557</v>
      </c>
      <c r="HY58" t="s">
        <v>746</v>
      </c>
      <c r="HZ58" t="s">
        <v>1558</v>
      </c>
      <c r="IA58" t="s">
        <v>733</v>
      </c>
      <c r="IB58" t="s">
        <v>2749</v>
      </c>
      <c r="IC58" t="s">
        <v>733</v>
      </c>
      <c r="ID58" t="s">
        <v>2750</v>
      </c>
      <c r="IE58" t="s">
        <v>746</v>
      </c>
      <c r="IF58" t="s">
        <v>2751</v>
      </c>
      <c r="IG58" t="s">
        <v>746</v>
      </c>
      <c r="IH58" t="s">
        <v>1644</v>
      </c>
      <c r="II58" t="s">
        <v>733</v>
      </c>
      <c r="IJ58" t="s">
        <v>2752</v>
      </c>
      <c r="IK58" t="s">
        <v>733</v>
      </c>
      <c r="IL58" t="s">
        <v>1537</v>
      </c>
      <c r="IM58" t="s">
        <v>733</v>
      </c>
      <c r="IN58" t="s">
        <v>2736</v>
      </c>
      <c r="IO58" t="s">
        <v>733</v>
      </c>
      <c r="IP58" t="s">
        <v>1316</v>
      </c>
      <c r="IQ58" t="s">
        <v>746</v>
      </c>
      <c r="IR58" t="s">
        <v>1447</v>
      </c>
      <c r="IS58" t="s">
        <v>746</v>
      </c>
      <c r="IT58" t="s">
        <v>2714</v>
      </c>
      <c r="IU58" t="s">
        <v>746</v>
      </c>
      <c r="IV58" t="s">
        <v>2714</v>
      </c>
      <c r="IW58" t="s">
        <v>746</v>
      </c>
      <c r="IX58" t="s">
        <v>2717</v>
      </c>
      <c r="IY58" t="s">
        <v>746</v>
      </c>
      <c r="IZ58" t="s">
        <v>1994</v>
      </c>
      <c r="JA58" t="s">
        <v>746</v>
      </c>
      <c r="JB58" t="s">
        <v>2714</v>
      </c>
      <c r="JC58" t="s">
        <v>746</v>
      </c>
      <c r="JD58" t="s">
        <v>2141</v>
      </c>
      <c r="JE58" t="s">
        <v>746</v>
      </c>
      <c r="JF58" t="s">
        <v>2714</v>
      </c>
      <c r="JH58" t="s">
        <v>938</v>
      </c>
      <c r="JJ58" t="s">
        <v>938</v>
      </c>
      <c r="JL58" t="s">
        <v>938</v>
      </c>
      <c r="JN58" t="s">
        <v>938</v>
      </c>
      <c r="JP58" t="s">
        <v>938</v>
      </c>
      <c r="JR58" t="s">
        <v>938</v>
      </c>
      <c r="JS58" t="s">
        <v>746</v>
      </c>
      <c r="JT58" t="s">
        <v>2714</v>
      </c>
      <c r="JU58" t="s">
        <v>746</v>
      </c>
      <c r="JV58" t="s">
        <v>2717</v>
      </c>
      <c r="JW58" t="s">
        <v>746</v>
      </c>
      <c r="JX58" t="s">
        <v>1994</v>
      </c>
      <c r="JY58" t="s">
        <v>746</v>
      </c>
      <c r="JZ58" t="s">
        <v>2753</v>
      </c>
      <c r="KA58" t="s">
        <v>746</v>
      </c>
      <c r="KB58" t="s">
        <v>938</v>
      </c>
      <c r="KD58" t="s">
        <v>938</v>
      </c>
      <c r="KE58" t="s">
        <v>746</v>
      </c>
      <c r="KF58" t="s">
        <v>1994</v>
      </c>
      <c r="KG58" t="s">
        <v>746</v>
      </c>
      <c r="KH58" t="s">
        <v>2714</v>
      </c>
      <c r="KI58" t="s">
        <v>746</v>
      </c>
      <c r="KJ58" t="s">
        <v>2720</v>
      </c>
      <c r="KK58" t="s">
        <v>746</v>
      </c>
      <c r="KL58" t="s">
        <v>1994</v>
      </c>
      <c r="KM58" t="s">
        <v>746</v>
      </c>
      <c r="KN58" t="s">
        <v>2141</v>
      </c>
      <c r="KO58" t="s">
        <v>746</v>
      </c>
      <c r="KP58" t="s">
        <v>1994</v>
      </c>
      <c r="KQ58" t="s">
        <v>746</v>
      </c>
      <c r="KR58" t="s">
        <v>2714</v>
      </c>
      <c r="KS58" t="s">
        <v>746</v>
      </c>
      <c r="KT58" t="s">
        <v>1994</v>
      </c>
      <c r="KU58" t="s">
        <v>746</v>
      </c>
      <c r="KV58" t="s">
        <v>2754</v>
      </c>
      <c r="KW58" t="s">
        <v>746</v>
      </c>
      <c r="KX58" t="s">
        <v>1994</v>
      </c>
      <c r="KY58" t="s">
        <v>746</v>
      </c>
      <c r="KZ58" t="s">
        <v>2179</v>
      </c>
      <c r="LA58" t="s">
        <v>746</v>
      </c>
      <c r="LB58" t="s">
        <v>2714</v>
      </c>
      <c r="LC58" t="s">
        <v>746</v>
      </c>
      <c r="LD58" t="s">
        <v>2755</v>
      </c>
      <c r="LE58" t="s">
        <v>746</v>
      </c>
      <c r="LF58" t="s">
        <v>2720</v>
      </c>
      <c r="LG58" t="s">
        <v>746</v>
      </c>
      <c r="LH58" t="s">
        <v>2726</v>
      </c>
      <c r="LI58" t="s">
        <v>746</v>
      </c>
      <c r="LJ58" t="s">
        <v>2720</v>
      </c>
      <c r="LK58" t="s">
        <v>746</v>
      </c>
      <c r="LL58" t="s">
        <v>2756</v>
      </c>
      <c r="LM58" t="s">
        <v>746</v>
      </c>
      <c r="LN58" t="s">
        <v>2757</v>
      </c>
      <c r="LO58" t="s">
        <v>746</v>
      </c>
      <c r="LP58" t="s">
        <v>1557</v>
      </c>
      <c r="LQ58" t="s">
        <v>746</v>
      </c>
      <c r="LR58" t="s">
        <v>2150</v>
      </c>
      <c r="LS58" t="s">
        <v>733</v>
      </c>
      <c r="LT58" t="s">
        <v>2670</v>
      </c>
      <c r="LU58" t="s">
        <v>733</v>
      </c>
      <c r="LV58" t="s">
        <v>2758</v>
      </c>
      <c r="LW58" t="s">
        <v>746</v>
      </c>
      <c r="LX58" t="s">
        <v>2675</v>
      </c>
      <c r="LY58" t="s">
        <v>746</v>
      </c>
      <c r="LZ58" t="s">
        <v>1994</v>
      </c>
      <c r="MA58" t="s">
        <v>746</v>
      </c>
      <c r="MB58" t="s">
        <v>2729</v>
      </c>
      <c r="MC58" t="s">
        <v>746</v>
      </c>
      <c r="MD58" t="s">
        <v>2759</v>
      </c>
      <c r="ME58" t="s">
        <v>746</v>
      </c>
      <c r="MF58" t="s">
        <v>2760</v>
      </c>
      <c r="MG58" t="s">
        <v>746</v>
      </c>
      <c r="MH58" t="s">
        <v>1644</v>
      </c>
      <c r="MI58" t="s">
        <v>746</v>
      </c>
      <c r="MJ58" t="s">
        <v>1994</v>
      </c>
      <c r="MK58" t="s">
        <v>746</v>
      </c>
      <c r="ML58" t="s">
        <v>2141</v>
      </c>
      <c r="MM58" t="s">
        <v>70</v>
      </c>
      <c r="MO58" t="s">
        <v>783</v>
      </c>
      <c r="MP58" t="s">
        <v>783</v>
      </c>
      <c r="MQ58" t="s">
        <v>783</v>
      </c>
      <c r="MR58" t="s">
        <v>783</v>
      </c>
      <c r="MS58" t="s">
        <v>784</v>
      </c>
      <c r="MT58" t="s">
        <v>783</v>
      </c>
      <c r="MU58" t="s">
        <v>783</v>
      </c>
      <c r="MV58" t="s">
        <v>783</v>
      </c>
      <c r="MW58" t="s">
        <v>783</v>
      </c>
      <c r="MX58" t="s">
        <v>783</v>
      </c>
      <c r="MZ58" t="s">
        <v>783</v>
      </c>
      <c r="NA58" t="s">
        <v>783</v>
      </c>
      <c r="NB58" t="s">
        <v>783</v>
      </c>
      <c r="NC58" t="s">
        <v>783</v>
      </c>
      <c r="ND58" t="s">
        <v>784</v>
      </c>
      <c r="NE58" t="s">
        <v>783</v>
      </c>
      <c r="NF58" t="s">
        <v>783</v>
      </c>
      <c r="NG58" t="s">
        <v>783</v>
      </c>
      <c r="NH58" t="s">
        <v>783</v>
      </c>
      <c r="NI58" t="s">
        <v>783</v>
      </c>
      <c r="NJ58" t="s">
        <v>783</v>
      </c>
      <c r="NK58" t="s">
        <v>783</v>
      </c>
      <c r="NL58" t="s">
        <v>783</v>
      </c>
      <c r="NM58" t="s">
        <v>783</v>
      </c>
      <c r="NN58" t="s">
        <v>783</v>
      </c>
      <c r="NO58" t="s">
        <v>783</v>
      </c>
      <c r="NP58" t="s">
        <v>783</v>
      </c>
      <c r="NQ58" t="s">
        <v>783</v>
      </c>
      <c r="NR58" t="s">
        <v>783</v>
      </c>
      <c r="NS58" t="s">
        <v>784</v>
      </c>
      <c r="NT58" t="s">
        <v>784</v>
      </c>
      <c r="NU58" t="s">
        <v>783</v>
      </c>
      <c r="NV58" t="s">
        <v>784</v>
      </c>
      <c r="NW58" t="s">
        <v>784</v>
      </c>
      <c r="NX58" t="s">
        <v>783</v>
      </c>
      <c r="NY58" t="s">
        <v>784</v>
      </c>
      <c r="NZ58" t="s">
        <v>784</v>
      </c>
      <c r="OA58" t="s">
        <v>783</v>
      </c>
      <c r="OB58" t="s">
        <v>783</v>
      </c>
      <c r="OC58" t="s">
        <v>784</v>
      </c>
      <c r="OD58" t="s">
        <v>783</v>
      </c>
      <c r="OE58" t="s">
        <v>783</v>
      </c>
      <c r="OF58" t="s">
        <v>783</v>
      </c>
      <c r="OG58" t="s">
        <v>783</v>
      </c>
      <c r="OH58" t="s">
        <v>783</v>
      </c>
      <c r="OI58" t="s">
        <v>783</v>
      </c>
      <c r="OJ58" t="s">
        <v>783</v>
      </c>
    </row>
    <row r="59" spans="1:400" x14ac:dyDescent="0.25">
      <c r="A59">
        <v>54</v>
      </c>
      <c r="B59" t="s">
        <v>287</v>
      </c>
      <c r="CZ59" s="26"/>
      <c r="DA59" s="27"/>
      <c r="DK59" s="35" t="s">
        <v>4140</v>
      </c>
      <c r="DL59" s="37" t="s">
        <v>4255</v>
      </c>
      <c r="DM59" t="s">
        <v>4114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O59" t="s">
        <v>2996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Y59" t="s">
        <v>4105</v>
      </c>
      <c r="EZ59">
        <v>0</v>
      </c>
      <c r="FA59">
        <v>0</v>
      </c>
      <c r="FB59">
        <v>1</v>
      </c>
      <c r="FC59">
        <v>0</v>
      </c>
      <c r="FF59" t="s">
        <v>4150</v>
      </c>
    </row>
    <row r="60" spans="1:400" x14ac:dyDescent="0.25">
      <c r="A60">
        <v>55</v>
      </c>
      <c r="B60" t="s">
        <v>290</v>
      </c>
      <c r="C60" t="s">
        <v>291</v>
      </c>
      <c r="D60" t="s">
        <v>57</v>
      </c>
      <c r="E60">
        <v>29</v>
      </c>
      <c r="F60" t="s">
        <v>58</v>
      </c>
      <c r="G60" t="s">
        <v>105</v>
      </c>
      <c r="H60" t="s">
        <v>60</v>
      </c>
      <c r="I60" t="s">
        <v>61</v>
      </c>
      <c r="J60" t="s">
        <v>62</v>
      </c>
      <c r="K60" t="s">
        <v>63</v>
      </c>
      <c r="M60" t="s">
        <v>64</v>
      </c>
      <c r="N60" t="s">
        <v>70</v>
      </c>
      <c r="O60">
        <v>3</v>
      </c>
      <c r="P60" s="1">
        <v>100000</v>
      </c>
      <c r="Q60" s="1">
        <v>0</v>
      </c>
      <c r="R60" t="s">
        <v>292</v>
      </c>
      <c r="S60" s="7">
        <v>100000</v>
      </c>
      <c r="T60" t="s">
        <v>70</v>
      </c>
      <c r="U60" s="5">
        <v>0</v>
      </c>
      <c r="V60" s="3" t="s">
        <v>70</v>
      </c>
      <c r="W60" s="5">
        <v>0</v>
      </c>
      <c r="X60" t="s">
        <v>83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P60" t="s">
        <v>63</v>
      </c>
      <c r="AR60">
        <v>1</v>
      </c>
      <c r="AS60" s="2">
        <v>0.25</v>
      </c>
      <c r="AT60" t="s">
        <v>509</v>
      </c>
      <c r="AU60">
        <v>0</v>
      </c>
      <c r="AV60">
        <v>1</v>
      </c>
      <c r="AW60">
        <v>0</v>
      </c>
      <c r="AX60">
        <v>0</v>
      </c>
      <c r="AY60">
        <v>0</v>
      </c>
      <c r="AZ60" t="s">
        <v>565</v>
      </c>
      <c r="BA60" t="s">
        <v>511</v>
      </c>
      <c r="BC60" t="s">
        <v>515</v>
      </c>
      <c r="BD60" t="s">
        <v>507</v>
      </c>
      <c r="BE60">
        <v>2019</v>
      </c>
      <c r="BF60">
        <v>4</v>
      </c>
      <c r="BG60" t="s">
        <v>508</v>
      </c>
      <c r="BH60">
        <v>1</v>
      </c>
      <c r="BI60">
        <v>0</v>
      </c>
      <c r="BJ60">
        <v>0</v>
      </c>
      <c r="BK60">
        <v>0</v>
      </c>
      <c r="BL60">
        <v>0</v>
      </c>
      <c r="BM60" t="s">
        <v>63</v>
      </c>
      <c r="BN60" t="s">
        <v>63</v>
      </c>
      <c r="BO60" t="s">
        <v>3856</v>
      </c>
      <c r="BP60" t="s">
        <v>3845</v>
      </c>
      <c r="BR60" t="s">
        <v>3860</v>
      </c>
      <c r="BS60" t="s">
        <v>3838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CA60" t="s">
        <v>3847</v>
      </c>
      <c r="CB60" t="s">
        <v>3861</v>
      </c>
      <c r="CC60" t="s">
        <v>3840</v>
      </c>
      <c r="CD60" t="s">
        <v>3841</v>
      </c>
      <c r="CE60" t="s">
        <v>3867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N60" t="s">
        <v>84</v>
      </c>
      <c r="CO60" t="s">
        <v>84</v>
      </c>
      <c r="CZ60" s="26"/>
      <c r="DA60" s="27"/>
      <c r="DB60" t="s">
        <v>2157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J60" t="s">
        <v>84</v>
      </c>
      <c r="DK60" s="35"/>
      <c r="DL60" s="37"/>
      <c r="FI60" t="s">
        <v>736</v>
      </c>
      <c r="FJ60" t="s">
        <v>1891</v>
      </c>
      <c r="FK60" t="s">
        <v>736</v>
      </c>
      <c r="FL60" t="s">
        <v>1914</v>
      </c>
      <c r="FM60" t="s">
        <v>733</v>
      </c>
      <c r="FN60" t="s">
        <v>2761</v>
      </c>
      <c r="FO60" t="s">
        <v>733</v>
      </c>
      <c r="FP60" t="s">
        <v>912</v>
      </c>
      <c r="FQ60" t="s">
        <v>733</v>
      </c>
      <c r="FR60" t="s">
        <v>961</v>
      </c>
      <c r="FS60" t="s">
        <v>746</v>
      </c>
      <c r="FT60" t="s">
        <v>2762</v>
      </c>
      <c r="FV60" t="s">
        <v>938</v>
      </c>
      <c r="FX60" t="s">
        <v>938</v>
      </c>
      <c r="FY60" t="s">
        <v>733</v>
      </c>
      <c r="FZ60" t="s">
        <v>2763</v>
      </c>
      <c r="GA60" t="s">
        <v>733</v>
      </c>
      <c r="GB60" t="s">
        <v>2764</v>
      </c>
      <c r="GC60" t="s">
        <v>733</v>
      </c>
      <c r="GD60" t="s">
        <v>2765</v>
      </c>
      <c r="GE60" t="s">
        <v>733</v>
      </c>
      <c r="GF60" t="s">
        <v>2766</v>
      </c>
      <c r="GG60" t="s">
        <v>746</v>
      </c>
      <c r="GH60" t="s">
        <v>1657</v>
      </c>
      <c r="GI60" t="s">
        <v>746</v>
      </c>
      <c r="GJ60" t="s">
        <v>2767</v>
      </c>
      <c r="GK60" t="s">
        <v>746</v>
      </c>
      <c r="GL60" t="s">
        <v>2768</v>
      </c>
      <c r="GM60" t="s">
        <v>736</v>
      </c>
      <c r="GN60" t="s">
        <v>2769</v>
      </c>
      <c r="GO60" t="s">
        <v>733</v>
      </c>
      <c r="GP60" t="s">
        <v>734</v>
      </c>
      <c r="GQ60" t="s">
        <v>733</v>
      </c>
      <c r="GR60" t="s">
        <v>2766</v>
      </c>
      <c r="GS60" t="s">
        <v>733</v>
      </c>
      <c r="GT60" t="s">
        <v>2770</v>
      </c>
      <c r="GU60" t="s">
        <v>733</v>
      </c>
      <c r="GV60" t="s">
        <v>923</v>
      </c>
      <c r="GW60" t="s">
        <v>736</v>
      </c>
      <c r="GX60" t="s">
        <v>2771</v>
      </c>
      <c r="GY60" t="s">
        <v>736</v>
      </c>
      <c r="GZ60" t="s">
        <v>2772</v>
      </c>
      <c r="HA60" t="s">
        <v>736</v>
      </c>
      <c r="HB60" t="s">
        <v>2773</v>
      </c>
      <c r="HC60" t="s">
        <v>736</v>
      </c>
      <c r="HD60" t="s">
        <v>2774</v>
      </c>
      <c r="HE60" t="s">
        <v>798</v>
      </c>
      <c r="HF60" t="s">
        <v>2775</v>
      </c>
      <c r="HG60" t="s">
        <v>736</v>
      </c>
      <c r="HH60" t="s">
        <v>2776</v>
      </c>
      <c r="HI60" t="s">
        <v>736</v>
      </c>
      <c r="HJ60" t="s">
        <v>956</v>
      </c>
      <c r="HL60" t="s">
        <v>1104</v>
      </c>
      <c r="HN60" t="s">
        <v>1104</v>
      </c>
      <c r="HO60" t="s">
        <v>746</v>
      </c>
      <c r="HP60" t="s">
        <v>958</v>
      </c>
      <c r="HQ60" t="s">
        <v>746</v>
      </c>
      <c r="HR60" t="s">
        <v>2777</v>
      </c>
      <c r="HT60" t="s">
        <v>938</v>
      </c>
      <c r="HV60" t="s">
        <v>938</v>
      </c>
      <c r="HW60" t="s">
        <v>733</v>
      </c>
      <c r="HX60" t="s">
        <v>868</v>
      </c>
      <c r="HY60" t="s">
        <v>736</v>
      </c>
      <c r="HZ60" t="s">
        <v>1117</v>
      </c>
      <c r="IA60" t="s">
        <v>736</v>
      </c>
      <c r="IB60" t="s">
        <v>1263</v>
      </c>
      <c r="IC60" t="s">
        <v>736</v>
      </c>
      <c r="ID60" t="s">
        <v>2778</v>
      </c>
      <c r="IE60" t="s">
        <v>746</v>
      </c>
      <c r="IF60" t="s">
        <v>2779</v>
      </c>
      <c r="IG60" t="s">
        <v>746</v>
      </c>
      <c r="IH60" t="s">
        <v>2779</v>
      </c>
      <c r="IJ60" t="s">
        <v>938</v>
      </c>
      <c r="IL60" t="s">
        <v>938</v>
      </c>
      <c r="IM60" t="s">
        <v>746</v>
      </c>
      <c r="IN60" t="s">
        <v>1269</v>
      </c>
      <c r="IO60" t="s">
        <v>746</v>
      </c>
      <c r="IP60" t="s">
        <v>1703</v>
      </c>
      <c r="IQ60" t="s">
        <v>746</v>
      </c>
      <c r="IR60" t="s">
        <v>2780</v>
      </c>
      <c r="IS60" t="s">
        <v>746</v>
      </c>
      <c r="IT60" t="s">
        <v>2781</v>
      </c>
      <c r="IU60" t="s">
        <v>746</v>
      </c>
      <c r="IV60" t="s">
        <v>1269</v>
      </c>
      <c r="IW60" t="s">
        <v>746</v>
      </c>
      <c r="IX60" t="s">
        <v>956</v>
      </c>
      <c r="IY60" t="s">
        <v>746</v>
      </c>
      <c r="IZ60" t="s">
        <v>1269</v>
      </c>
      <c r="JA60" t="s">
        <v>746</v>
      </c>
      <c r="JB60" t="s">
        <v>958</v>
      </c>
      <c r="JC60" t="s">
        <v>746</v>
      </c>
      <c r="JD60" t="s">
        <v>1657</v>
      </c>
      <c r="JE60" t="s">
        <v>746</v>
      </c>
      <c r="JF60" t="s">
        <v>2782</v>
      </c>
      <c r="JG60" t="s">
        <v>746</v>
      </c>
      <c r="JH60" t="s">
        <v>959</v>
      </c>
      <c r="JI60" t="s">
        <v>746</v>
      </c>
      <c r="JJ60" t="s">
        <v>2783</v>
      </c>
      <c r="JL60" t="s">
        <v>1104</v>
      </c>
      <c r="JN60" t="s">
        <v>1104</v>
      </c>
      <c r="JP60" t="s">
        <v>1104</v>
      </c>
      <c r="JR60" t="s">
        <v>1104</v>
      </c>
      <c r="JS60" t="s">
        <v>746</v>
      </c>
      <c r="JT60" t="s">
        <v>1220</v>
      </c>
      <c r="JU60" t="s">
        <v>746</v>
      </c>
      <c r="JV60" t="s">
        <v>950</v>
      </c>
      <c r="JW60" t="s">
        <v>746</v>
      </c>
      <c r="JX60" t="s">
        <v>1269</v>
      </c>
      <c r="JY60" t="s">
        <v>746</v>
      </c>
      <c r="JZ60" t="s">
        <v>2784</v>
      </c>
      <c r="KA60" t="s">
        <v>746</v>
      </c>
      <c r="KB60" t="s">
        <v>1269</v>
      </c>
      <c r="KC60" t="s">
        <v>746</v>
      </c>
      <c r="KD60" t="s">
        <v>2785</v>
      </c>
      <c r="KE60" t="s">
        <v>746</v>
      </c>
      <c r="KF60" t="s">
        <v>1269</v>
      </c>
      <c r="KG60" t="s">
        <v>746</v>
      </c>
      <c r="KH60" t="s">
        <v>956</v>
      </c>
      <c r="KI60" t="s">
        <v>746</v>
      </c>
      <c r="KJ60" t="s">
        <v>1269</v>
      </c>
      <c r="KK60" t="s">
        <v>746</v>
      </c>
      <c r="KL60" t="s">
        <v>2786</v>
      </c>
      <c r="KM60" t="s">
        <v>746</v>
      </c>
      <c r="KN60" t="s">
        <v>1269</v>
      </c>
      <c r="KO60" t="s">
        <v>733</v>
      </c>
      <c r="KP60" t="s">
        <v>928</v>
      </c>
      <c r="KQ60" t="s">
        <v>746</v>
      </c>
      <c r="KR60" t="s">
        <v>1269</v>
      </c>
      <c r="KS60" t="s">
        <v>746</v>
      </c>
      <c r="KT60" t="s">
        <v>956</v>
      </c>
      <c r="KU60" t="s">
        <v>733</v>
      </c>
      <c r="KV60" t="s">
        <v>961</v>
      </c>
      <c r="KW60" t="s">
        <v>746</v>
      </c>
      <c r="KX60" t="s">
        <v>1672</v>
      </c>
      <c r="KY60" t="s">
        <v>746</v>
      </c>
      <c r="KZ60" t="s">
        <v>956</v>
      </c>
      <c r="LA60" t="s">
        <v>746</v>
      </c>
      <c r="LB60" t="s">
        <v>2787</v>
      </c>
      <c r="LC60" t="s">
        <v>733</v>
      </c>
      <c r="LD60" t="s">
        <v>2788</v>
      </c>
      <c r="LE60" t="s">
        <v>736</v>
      </c>
      <c r="LF60" t="s">
        <v>1263</v>
      </c>
      <c r="LG60" t="s">
        <v>733</v>
      </c>
      <c r="LH60" t="s">
        <v>2789</v>
      </c>
      <c r="LI60" t="s">
        <v>736</v>
      </c>
      <c r="LJ60" t="s">
        <v>1200</v>
      </c>
      <c r="LL60" t="s">
        <v>938</v>
      </c>
      <c r="LN60" t="s">
        <v>938</v>
      </c>
      <c r="LO60" t="s">
        <v>733</v>
      </c>
      <c r="LP60" t="s">
        <v>2790</v>
      </c>
      <c r="LQ60" t="s">
        <v>736</v>
      </c>
      <c r="LR60" t="s">
        <v>2791</v>
      </c>
      <c r="LS60" t="s">
        <v>746</v>
      </c>
      <c r="LT60" t="s">
        <v>974</v>
      </c>
      <c r="LU60" t="s">
        <v>746</v>
      </c>
      <c r="LV60" t="s">
        <v>2792</v>
      </c>
      <c r="LW60" t="s">
        <v>746</v>
      </c>
      <c r="LX60" t="s">
        <v>2581</v>
      </c>
      <c r="LY60" t="s">
        <v>746</v>
      </c>
      <c r="LZ60" t="s">
        <v>2425</v>
      </c>
      <c r="MA60" t="s">
        <v>746</v>
      </c>
      <c r="MB60" t="s">
        <v>2793</v>
      </c>
      <c r="MC60" t="s">
        <v>746</v>
      </c>
      <c r="MD60" t="s">
        <v>2425</v>
      </c>
      <c r="ME60" t="s">
        <v>733</v>
      </c>
      <c r="MF60" t="s">
        <v>1115</v>
      </c>
      <c r="MG60" t="s">
        <v>733</v>
      </c>
      <c r="MH60" t="s">
        <v>1120</v>
      </c>
      <c r="MI60" t="s">
        <v>746</v>
      </c>
      <c r="MJ60" t="s">
        <v>2794</v>
      </c>
      <c r="MK60" t="s">
        <v>746</v>
      </c>
      <c r="ML60" t="s">
        <v>2794</v>
      </c>
      <c r="MO60" t="s">
        <v>783</v>
      </c>
      <c r="MP60" t="s">
        <v>783</v>
      </c>
      <c r="MQ60" t="s">
        <v>783</v>
      </c>
      <c r="MR60" t="s">
        <v>783</v>
      </c>
      <c r="MS60" t="s">
        <v>783</v>
      </c>
      <c r="MT60" t="s">
        <v>783</v>
      </c>
      <c r="MU60" t="s">
        <v>783</v>
      </c>
      <c r="MV60" t="s">
        <v>783</v>
      </c>
      <c r="MW60" t="s">
        <v>783</v>
      </c>
      <c r="MX60" t="s">
        <v>783</v>
      </c>
      <c r="MZ60" t="s">
        <v>783</v>
      </c>
      <c r="NA60" t="s">
        <v>784</v>
      </c>
      <c r="NB60" t="s">
        <v>783</v>
      </c>
      <c r="NC60" t="s">
        <v>783</v>
      </c>
      <c r="ND60" t="s">
        <v>783</v>
      </c>
      <c r="NE60" t="s">
        <v>784</v>
      </c>
      <c r="NF60" t="s">
        <v>783</v>
      </c>
      <c r="NG60" t="s">
        <v>781</v>
      </c>
      <c r="NH60" t="s">
        <v>783</v>
      </c>
      <c r="NI60" t="s">
        <v>907</v>
      </c>
      <c r="NJ60" t="s">
        <v>907</v>
      </c>
      <c r="NK60" t="s">
        <v>783</v>
      </c>
      <c r="NL60" t="s">
        <v>783</v>
      </c>
      <c r="NM60" t="s">
        <v>781</v>
      </c>
      <c r="NN60" t="s">
        <v>783</v>
      </c>
      <c r="NO60" t="s">
        <v>782</v>
      </c>
      <c r="NP60" t="s">
        <v>783</v>
      </c>
      <c r="NQ60" t="s">
        <v>783</v>
      </c>
      <c r="NR60" t="s">
        <v>781</v>
      </c>
      <c r="NS60" t="s">
        <v>907</v>
      </c>
      <c r="NT60" t="s">
        <v>907</v>
      </c>
      <c r="NU60" t="s">
        <v>783</v>
      </c>
      <c r="NV60" t="s">
        <v>784</v>
      </c>
      <c r="NW60" t="s">
        <v>907</v>
      </c>
      <c r="NX60" t="s">
        <v>783</v>
      </c>
      <c r="NY60" t="s">
        <v>907</v>
      </c>
      <c r="NZ60" t="s">
        <v>783</v>
      </c>
      <c r="OA60" t="s">
        <v>783</v>
      </c>
      <c r="OB60" t="s">
        <v>784</v>
      </c>
      <c r="OC60" t="s">
        <v>784</v>
      </c>
      <c r="OD60" t="s">
        <v>907</v>
      </c>
      <c r="OE60" t="s">
        <v>783</v>
      </c>
      <c r="OF60" t="s">
        <v>783</v>
      </c>
      <c r="OG60" t="s">
        <v>907</v>
      </c>
      <c r="OH60" t="s">
        <v>783</v>
      </c>
      <c r="OI60" t="s">
        <v>783</v>
      </c>
      <c r="OJ60" t="s">
        <v>783</v>
      </c>
    </row>
    <row r="61" spans="1:400" x14ac:dyDescent="0.25">
      <c r="A61">
        <v>56</v>
      </c>
      <c r="B61" t="s">
        <v>299</v>
      </c>
      <c r="C61" t="s">
        <v>70</v>
      </c>
      <c r="D61" t="s">
        <v>57</v>
      </c>
      <c r="E61">
        <v>62</v>
      </c>
      <c r="F61" t="s">
        <v>58</v>
      </c>
      <c r="G61" t="s">
        <v>76</v>
      </c>
      <c r="H61" t="s">
        <v>60</v>
      </c>
      <c r="I61" t="s">
        <v>61</v>
      </c>
      <c r="J61" t="s">
        <v>62</v>
      </c>
      <c r="K61" t="s">
        <v>63</v>
      </c>
      <c r="M61" t="s">
        <v>295</v>
      </c>
      <c r="N61" t="s">
        <v>300</v>
      </c>
      <c r="O61">
        <v>5</v>
      </c>
      <c r="P61" s="1">
        <v>200000</v>
      </c>
      <c r="Q61" s="1">
        <v>0</v>
      </c>
      <c r="R61" t="s">
        <v>115</v>
      </c>
      <c r="S61" s="7">
        <v>180000</v>
      </c>
      <c r="T61" t="s">
        <v>70</v>
      </c>
      <c r="U61" s="5">
        <v>0</v>
      </c>
      <c r="V61" s="3" t="s">
        <v>93</v>
      </c>
      <c r="W61" s="5">
        <v>20000</v>
      </c>
      <c r="X61" t="s">
        <v>94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P61" t="s">
        <v>63</v>
      </c>
      <c r="AR61">
        <v>1</v>
      </c>
      <c r="AS61" s="2">
        <v>4</v>
      </c>
      <c r="AT61" t="s">
        <v>531</v>
      </c>
      <c r="AU61">
        <v>0</v>
      </c>
      <c r="AV61">
        <v>0</v>
      </c>
      <c r="AW61">
        <v>1</v>
      </c>
      <c r="AX61">
        <v>0</v>
      </c>
      <c r="AY61">
        <v>0</v>
      </c>
      <c r="AZ61" t="s">
        <v>517</v>
      </c>
      <c r="BA61" t="s">
        <v>511</v>
      </c>
      <c r="BB61">
        <v>1</v>
      </c>
      <c r="BC61" t="s">
        <v>512</v>
      </c>
      <c r="BD61" t="s">
        <v>507</v>
      </c>
      <c r="BE61">
        <v>1983</v>
      </c>
      <c r="BF61">
        <v>40</v>
      </c>
      <c r="BG61" t="s">
        <v>508</v>
      </c>
      <c r="BH61">
        <v>1</v>
      </c>
      <c r="BI61">
        <v>0</v>
      </c>
      <c r="BJ61">
        <v>0</v>
      </c>
      <c r="BK61">
        <v>0</v>
      </c>
      <c r="BL61">
        <v>0</v>
      </c>
      <c r="BM61" t="s">
        <v>63</v>
      </c>
      <c r="BN61" t="s">
        <v>63</v>
      </c>
      <c r="BO61" t="s">
        <v>3904</v>
      </c>
      <c r="BP61" t="s">
        <v>71</v>
      </c>
      <c r="BQ61" t="s">
        <v>3905</v>
      </c>
      <c r="BR61" t="s">
        <v>3906</v>
      </c>
      <c r="BS61" t="s">
        <v>3838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CA61" t="s">
        <v>3839</v>
      </c>
      <c r="CC61" t="s">
        <v>3920</v>
      </c>
      <c r="CD61" t="s">
        <v>3841</v>
      </c>
      <c r="CE61" t="s">
        <v>3907</v>
      </c>
      <c r="CF61">
        <v>0</v>
      </c>
      <c r="CG61">
        <v>1</v>
      </c>
      <c r="CH61">
        <v>1</v>
      </c>
      <c r="CI61">
        <v>0</v>
      </c>
      <c r="CJ61">
        <v>0</v>
      </c>
      <c r="CK61">
        <v>0</v>
      </c>
      <c r="CN61" t="s">
        <v>63</v>
      </c>
      <c r="CO61" t="s">
        <v>732</v>
      </c>
      <c r="CP61" t="s">
        <v>4021</v>
      </c>
      <c r="CQ61" t="s">
        <v>3945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Y61" t="s">
        <v>4022</v>
      </c>
      <c r="CZ61" s="26" t="s">
        <v>4207</v>
      </c>
      <c r="DA61" s="27" t="s">
        <v>4192</v>
      </c>
      <c r="DJ61" t="s">
        <v>63</v>
      </c>
      <c r="DK61" s="35" t="s">
        <v>4145</v>
      </c>
      <c r="DL61" s="37" t="s">
        <v>4255</v>
      </c>
      <c r="DM61" t="s">
        <v>4118</v>
      </c>
      <c r="DN61">
        <v>0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O61" t="s">
        <v>4111</v>
      </c>
      <c r="EP61">
        <v>0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 t="s">
        <v>4151</v>
      </c>
      <c r="EZ61">
        <v>1</v>
      </c>
      <c r="FA61">
        <v>0</v>
      </c>
      <c r="FB61">
        <v>0</v>
      </c>
      <c r="FC61">
        <v>0</v>
      </c>
      <c r="FD61" t="s">
        <v>4152</v>
      </c>
      <c r="FI61" t="s">
        <v>736</v>
      </c>
      <c r="FJ61" t="s">
        <v>2795</v>
      </c>
      <c r="FK61" t="s">
        <v>736</v>
      </c>
      <c r="FL61" t="s">
        <v>2708</v>
      </c>
      <c r="FM61" t="s">
        <v>736</v>
      </c>
      <c r="FN61" t="s">
        <v>2796</v>
      </c>
      <c r="FO61" t="s">
        <v>736</v>
      </c>
      <c r="FP61" t="s">
        <v>2797</v>
      </c>
      <c r="FQ61" t="s">
        <v>736</v>
      </c>
      <c r="FR61" t="s">
        <v>1496</v>
      </c>
      <c r="FS61" t="s">
        <v>736</v>
      </c>
      <c r="FT61" t="s">
        <v>2798</v>
      </c>
      <c r="FU61" t="s">
        <v>736</v>
      </c>
      <c r="FV61" t="s">
        <v>2799</v>
      </c>
      <c r="FW61" t="s">
        <v>736</v>
      </c>
      <c r="FX61" t="s">
        <v>2800</v>
      </c>
      <c r="FY61" t="s">
        <v>736</v>
      </c>
      <c r="FZ61" t="s">
        <v>2801</v>
      </c>
      <c r="GA61" t="s">
        <v>736</v>
      </c>
      <c r="GB61" t="s">
        <v>2802</v>
      </c>
      <c r="GC61" t="s">
        <v>733</v>
      </c>
      <c r="GD61" t="s">
        <v>2803</v>
      </c>
      <c r="GE61" t="s">
        <v>733</v>
      </c>
      <c r="GF61" t="s">
        <v>2464</v>
      </c>
      <c r="GG61" t="s">
        <v>733</v>
      </c>
      <c r="GH61" t="s">
        <v>2804</v>
      </c>
      <c r="GI61" t="s">
        <v>733</v>
      </c>
      <c r="GJ61" t="s">
        <v>1572</v>
      </c>
      <c r="GK61" t="s">
        <v>733</v>
      </c>
      <c r="GL61" t="s">
        <v>2805</v>
      </c>
      <c r="GM61" t="s">
        <v>733</v>
      </c>
      <c r="GN61" t="s">
        <v>2806</v>
      </c>
      <c r="GO61" t="s">
        <v>736</v>
      </c>
      <c r="GP61" t="s">
        <v>2807</v>
      </c>
      <c r="GQ61" t="s">
        <v>736</v>
      </c>
      <c r="GR61" t="s">
        <v>1501</v>
      </c>
      <c r="GS61" t="s">
        <v>736</v>
      </c>
      <c r="GT61" t="s">
        <v>2808</v>
      </c>
      <c r="GU61" t="s">
        <v>736</v>
      </c>
      <c r="GV61" t="s">
        <v>1523</v>
      </c>
      <c r="GW61" t="s">
        <v>736</v>
      </c>
      <c r="GX61" t="s">
        <v>2809</v>
      </c>
      <c r="GY61" t="s">
        <v>733</v>
      </c>
      <c r="GZ61" t="s">
        <v>1489</v>
      </c>
      <c r="HA61" t="s">
        <v>733</v>
      </c>
      <c r="HB61" t="s">
        <v>2810</v>
      </c>
      <c r="HC61" t="s">
        <v>733</v>
      </c>
      <c r="HD61" t="s">
        <v>2811</v>
      </c>
      <c r="HE61" t="s">
        <v>733</v>
      </c>
      <c r="HF61" t="s">
        <v>2670</v>
      </c>
      <c r="HG61" t="s">
        <v>733</v>
      </c>
      <c r="HH61" t="s">
        <v>1537</v>
      </c>
      <c r="HI61" t="s">
        <v>733</v>
      </c>
      <c r="HJ61" t="s">
        <v>2189</v>
      </c>
      <c r="HK61" t="s">
        <v>736</v>
      </c>
      <c r="HL61" t="s">
        <v>1496</v>
      </c>
      <c r="HM61" t="s">
        <v>746</v>
      </c>
      <c r="HN61" t="s">
        <v>2812</v>
      </c>
      <c r="HO61" t="s">
        <v>736</v>
      </c>
      <c r="HP61" t="s">
        <v>2813</v>
      </c>
      <c r="HQ61" t="s">
        <v>746</v>
      </c>
      <c r="HR61" t="s">
        <v>2814</v>
      </c>
      <c r="HS61" t="s">
        <v>733</v>
      </c>
      <c r="HT61" t="s">
        <v>2189</v>
      </c>
      <c r="HU61" t="s">
        <v>733</v>
      </c>
      <c r="HV61" t="s">
        <v>2653</v>
      </c>
      <c r="HW61" t="s">
        <v>736</v>
      </c>
      <c r="HX61" t="s">
        <v>1501</v>
      </c>
      <c r="HY61" t="s">
        <v>733</v>
      </c>
      <c r="HZ61" t="s">
        <v>2815</v>
      </c>
      <c r="IA61" t="s">
        <v>733</v>
      </c>
      <c r="IB61" t="s">
        <v>2816</v>
      </c>
      <c r="IC61" t="s">
        <v>733</v>
      </c>
      <c r="ID61" t="s">
        <v>1537</v>
      </c>
      <c r="IE61" t="s">
        <v>746</v>
      </c>
      <c r="IF61" t="s">
        <v>1512</v>
      </c>
      <c r="IG61" t="s">
        <v>746</v>
      </c>
      <c r="IH61" t="s">
        <v>1644</v>
      </c>
      <c r="II61" t="s">
        <v>733</v>
      </c>
      <c r="IJ61" t="s">
        <v>1422</v>
      </c>
      <c r="IK61" t="s">
        <v>733</v>
      </c>
      <c r="IL61" t="s">
        <v>2817</v>
      </c>
      <c r="IM61" t="s">
        <v>736</v>
      </c>
      <c r="IN61" t="s">
        <v>2818</v>
      </c>
      <c r="IO61" t="s">
        <v>746</v>
      </c>
      <c r="IP61" t="s">
        <v>2819</v>
      </c>
      <c r="IQ61" t="s">
        <v>736</v>
      </c>
      <c r="IR61" t="s">
        <v>2820</v>
      </c>
      <c r="IS61" t="s">
        <v>736</v>
      </c>
      <c r="IT61" t="s">
        <v>2821</v>
      </c>
      <c r="IU61" t="s">
        <v>746</v>
      </c>
      <c r="IV61" t="s">
        <v>2819</v>
      </c>
      <c r="IW61" t="s">
        <v>746</v>
      </c>
      <c r="IX61" t="s">
        <v>1994</v>
      </c>
      <c r="IY61" t="s">
        <v>746</v>
      </c>
      <c r="IZ61" t="s">
        <v>2819</v>
      </c>
      <c r="JA61" t="s">
        <v>746</v>
      </c>
      <c r="JB61" t="s">
        <v>2726</v>
      </c>
      <c r="JC61" t="s">
        <v>746</v>
      </c>
      <c r="JD61" t="s">
        <v>2726</v>
      </c>
      <c r="JE61" t="s">
        <v>746</v>
      </c>
      <c r="JF61" t="s">
        <v>1994</v>
      </c>
      <c r="JH61" t="s">
        <v>938</v>
      </c>
      <c r="JJ61" t="s">
        <v>938</v>
      </c>
      <c r="JL61" t="s">
        <v>938</v>
      </c>
      <c r="JN61" t="s">
        <v>938</v>
      </c>
      <c r="JP61" t="s">
        <v>938</v>
      </c>
      <c r="JR61" t="s">
        <v>938</v>
      </c>
      <c r="JT61" t="s">
        <v>2819</v>
      </c>
      <c r="JU61" t="s">
        <v>746</v>
      </c>
      <c r="JV61" t="s">
        <v>1994</v>
      </c>
      <c r="JW61" t="s">
        <v>746</v>
      </c>
      <c r="JX61" t="s">
        <v>2726</v>
      </c>
      <c r="JY61" t="s">
        <v>746</v>
      </c>
      <c r="JZ61" t="s">
        <v>2819</v>
      </c>
      <c r="KB61" t="s">
        <v>938</v>
      </c>
      <c r="KD61" t="s">
        <v>938</v>
      </c>
      <c r="KE61" t="s">
        <v>746</v>
      </c>
      <c r="KF61" t="s">
        <v>2819</v>
      </c>
      <c r="KG61" t="s">
        <v>746</v>
      </c>
      <c r="KH61" t="s">
        <v>1994</v>
      </c>
      <c r="KI61" t="s">
        <v>746</v>
      </c>
      <c r="KJ61" t="s">
        <v>2726</v>
      </c>
      <c r="KK61" t="s">
        <v>746</v>
      </c>
      <c r="KL61" t="s">
        <v>2720</v>
      </c>
      <c r="KM61" t="s">
        <v>746</v>
      </c>
      <c r="KN61" t="s">
        <v>2720</v>
      </c>
      <c r="KO61" t="s">
        <v>746</v>
      </c>
      <c r="KP61" t="s">
        <v>2819</v>
      </c>
      <c r="KQ61" t="s">
        <v>746</v>
      </c>
      <c r="KR61" t="s">
        <v>2819</v>
      </c>
      <c r="KS61" t="s">
        <v>746</v>
      </c>
      <c r="KT61" t="s">
        <v>2720</v>
      </c>
      <c r="KU61" t="s">
        <v>746</v>
      </c>
      <c r="KV61" t="s">
        <v>2819</v>
      </c>
      <c r="KW61" t="s">
        <v>746</v>
      </c>
      <c r="KX61" t="s">
        <v>1994</v>
      </c>
      <c r="KY61" t="s">
        <v>746</v>
      </c>
      <c r="KZ61" t="s">
        <v>1603</v>
      </c>
      <c r="LA61" t="s">
        <v>746</v>
      </c>
      <c r="LB61" t="s">
        <v>2140</v>
      </c>
      <c r="LC61" t="s">
        <v>736</v>
      </c>
      <c r="LD61" t="s">
        <v>2822</v>
      </c>
      <c r="LE61" t="s">
        <v>736</v>
      </c>
      <c r="LF61" t="s">
        <v>1972</v>
      </c>
      <c r="LG61" t="s">
        <v>736</v>
      </c>
      <c r="LH61" t="s">
        <v>2823</v>
      </c>
      <c r="LI61" t="s">
        <v>736</v>
      </c>
      <c r="LJ61" t="s">
        <v>2824</v>
      </c>
      <c r="LK61" t="s">
        <v>746</v>
      </c>
      <c r="LL61" t="s">
        <v>1447</v>
      </c>
      <c r="LM61" t="s">
        <v>746</v>
      </c>
      <c r="LN61" t="s">
        <v>1994</v>
      </c>
      <c r="LO61" t="s">
        <v>736</v>
      </c>
      <c r="LP61" t="s">
        <v>1501</v>
      </c>
      <c r="LQ61" t="s">
        <v>736</v>
      </c>
      <c r="LR61" t="s">
        <v>1501</v>
      </c>
      <c r="LS61" t="s">
        <v>733</v>
      </c>
      <c r="LT61" t="s">
        <v>2670</v>
      </c>
      <c r="LU61" t="s">
        <v>733</v>
      </c>
      <c r="LV61" t="s">
        <v>1502</v>
      </c>
      <c r="LW61" t="s">
        <v>733</v>
      </c>
      <c r="LX61" t="s">
        <v>1759</v>
      </c>
      <c r="LY61" t="s">
        <v>733</v>
      </c>
      <c r="LZ61" t="s">
        <v>2120</v>
      </c>
      <c r="MA61" t="s">
        <v>733</v>
      </c>
      <c r="MB61" t="s">
        <v>2670</v>
      </c>
      <c r="MC61" t="s">
        <v>733</v>
      </c>
      <c r="MD61" t="s">
        <v>2496</v>
      </c>
      <c r="ME61" t="s">
        <v>733</v>
      </c>
      <c r="MF61" t="s">
        <v>1502</v>
      </c>
      <c r="MG61" t="s">
        <v>733</v>
      </c>
      <c r="MH61" t="s">
        <v>1537</v>
      </c>
      <c r="MI61" t="s">
        <v>733</v>
      </c>
      <c r="MJ61" t="s">
        <v>2816</v>
      </c>
      <c r="MK61" t="s">
        <v>746</v>
      </c>
      <c r="ML61" t="s">
        <v>1994</v>
      </c>
      <c r="MM61" t="s">
        <v>70</v>
      </c>
      <c r="MO61" t="s">
        <v>783</v>
      </c>
      <c r="MP61" t="s">
        <v>783</v>
      </c>
      <c r="MQ61" t="s">
        <v>783</v>
      </c>
      <c r="MR61" t="s">
        <v>783</v>
      </c>
      <c r="MS61" t="s">
        <v>783</v>
      </c>
      <c r="MT61" t="s">
        <v>783</v>
      </c>
      <c r="MU61" t="s">
        <v>783</v>
      </c>
      <c r="MV61" t="s">
        <v>783</v>
      </c>
      <c r="MW61" t="s">
        <v>783</v>
      </c>
      <c r="MX61" t="s">
        <v>783</v>
      </c>
      <c r="MZ61" t="s">
        <v>783</v>
      </c>
      <c r="NA61" t="s">
        <v>783</v>
      </c>
      <c r="NB61" t="s">
        <v>783</v>
      </c>
      <c r="NC61" t="s">
        <v>783</v>
      </c>
      <c r="ND61" t="s">
        <v>783</v>
      </c>
      <c r="NE61" t="s">
        <v>783</v>
      </c>
      <c r="NF61" t="s">
        <v>783</v>
      </c>
      <c r="NG61" t="s">
        <v>783</v>
      </c>
      <c r="NH61" t="s">
        <v>783</v>
      </c>
      <c r="NI61" t="s">
        <v>783</v>
      </c>
      <c r="NJ61" t="s">
        <v>783</v>
      </c>
      <c r="NK61" t="s">
        <v>783</v>
      </c>
      <c r="NL61" t="s">
        <v>783</v>
      </c>
      <c r="NM61" t="s">
        <v>783</v>
      </c>
      <c r="NN61" t="s">
        <v>784</v>
      </c>
      <c r="NO61" t="s">
        <v>784</v>
      </c>
      <c r="NP61" t="s">
        <v>783</v>
      </c>
      <c r="NQ61" t="s">
        <v>783</v>
      </c>
      <c r="NR61" t="s">
        <v>783</v>
      </c>
      <c r="NS61" t="s">
        <v>783</v>
      </c>
      <c r="NT61" t="s">
        <v>784</v>
      </c>
      <c r="NU61" t="s">
        <v>783</v>
      </c>
      <c r="NV61" t="s">
        <v>784</v>
      </c>
      <c r="NW61" t="s">
        <v>784</v>
      </c>
      <c r="NX61" t="s">
        <v>784</v>
      </c>
      <c r="NY61" t="s">
        <v>784</v>
      </c>
      <c r="NZ61" t="s">
        <v>783</v>
      </c>
      <c r="OA61" t="s">
        <v>783</v>
      </c>
      <c r="OB61" t="s">
        <v>784</v>
      </c>
      <c r="OC61" t="s">
        <v>783</v>
      </c>
      <c r="OD61" t="s">
        <v>783</v>
      </c>
      <c r="OE61" t="s">
        <v>783</v>
      </c>
      <c r="OF61" t="s">
        <v>783</v>
      </c>
      <c r="OG61" t="s">
        <v>783</v>
      </c>
      <c r="OH61" t="s">
        <v>783</v>
      </c>
      <c r="OI61" t="s">
        <v>783</v>
      </c>
      <c r="OJ61" t="s">
        <v>783</v>
      </c>
    </row>
    <row r="62" spans="1:400" x14ac:dyDescent="0.25">
      <c r="A62">
        <v>56</v>
      </c>
      <c r="B62" t="s">
        <v>299</v>
      </c>
      <c r="CZ62" s="26"/>
      <c r="DA62" s="27"/>
      <c r="DK62" s="35" t="s">
        <v>4140</v>
      </c>
      <c r="DL62" s="37" t="s">
        <v>4255</v>
      </c>
      <c r="DM62" t="s">
        <v>4118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O62" t="s">
        <v>4111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 t="s">
        <v>4105</v>
      </c>
      <c r="EZ62">
        <v>0</v>
      </c>
      <c r="FA62">
        <v>0</v>
      </c>
      <c r="FB62">
        <v>1</v>
      </c>
      <c r="FC62">
        <v>0</v>
      </c>
      <c r="FF62" t="s">
        <v>4154</v>
      </c>
    </row>
    <row r="63" spans="1:400" x14ac:dyDescent="0.25">
      <c r="A63">
        <v>57</v>
      </c>
      <c r="B63" t="s">
        <v>418</v>
      </c>
      <c r="C63" t="s">
        <v>419</v>
      </c>
      <c r="D63" t="s">
        <v>97</v>
      </c>
      <c r="E63">
        <v>41</v>
      </c>
      <c r="F63" t="s">
        <v>58</v>
      </c>
      <c r="G63" t="s">
        <v>76</v>
      </c>
      <c r="H63" t="s">
        <v>60</v>
      </c>
      <c r="I63" t="s">
        <v>61</v>
      </c>
      <c r="J63" t="s">
        <v>62</v>
      </c>
      <c r="K63" t="s">
        <v>63</v>
      </c>
      <c r="M63" t="s">
        <v>295</v>
      </c>
      <c r="N63" t="s">
        <v>70</v>
      </c>
      <c r="O63">
        <v>6</v>
      </c>
      <c r="P63" s="1">
        <v>70000</v>
      </c>
      <c r="Q63" s="1">
        <v>0</v>
      </c>
      <c r="R63" t="s">
        <v>420</v>
      </c>
      <c r="S63" s="7">
        <v>70000</v>
      </c>
      <c r="T63" t="s">
        <v>70</v>
      </c>
      <c r="U63" s="5">
        <v>0</v>
      </c>
      <c r="V63" s="3" t="s">
        <v>70</v>
      </c>
      <c r="W63" s="5">
        <v>0</v>
      </c>
      <c r="X63" t="s">
        <v>94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P63" t="s">
        <v>63</v>
      </c>
      <c r="AR63">
        <v>1</v>
      </c>
      <c r="AS63" s="2">
        <v>1.75</v>
      </c>
      <c r="AT63" t="s">
        <v>503</v>
      </c>
      <c r="AU63">
        <v>0</v>
      </c>
      <c r="AV63">
        <v>0</v>
      </c>
      <c r="AW63">
        <v>0</v>
      </c>
      <c r="AX63">
        <v>1</v>
      </c>
      <c r="AY63">
        <v>0</v>
      </c>
      <c r="AZ63" t="s">
        <v>586</v>
      </c>
      <c r="BA63" t="s">
        <v>505</v>
      </c>
      <c r="BC63" t="s">
        <v>512</v>
      </c>
      <c r="BD63" t="s">
        <v>507</v>
      </c>
      <c r="BE63">
        <v>2006</v>
      </c>
      <c r="BF63">
        <v>17</v>
      </c>
      <c r="BG63" t="s">
        <v>508</v>
      </c>
      <c r="BH63">
        <v>1</v>
      </c>
      <c r="BI63">
        <v>0</v>
      </c>
      <c r="BJ63">
        <v>0</v>
      </c>
      <c r="BK63">
        <v>0</v>
      </c>
      <c r="BL63">
        <v>0</v>
      </c>
      <c r="BM63" t="s">
        <v>63</v>
      </c>
      <c r="BN63" t="s">
        <v>63</v>
      </c>
      <c r="BO63" t="s">
        <v>3892</v>
      </c>
      <c r="BP63" t="s">
        <v>3845</v>
      </c>
      <c r="BR63" t="s">
        <v>3908</v>
      </c>
      <c r="BS63" t="s">
        <v>3838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CA63" t="s">
        <v>3839</v>
      </c>
      <c r="CC63" t="s">
        <v>3840</v>
      </c>
      <c r="CD63" t="s">
        <v>3882</v>
      </c>
      <c r="CE63" t="s">
        <v>3867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N63" t="s">
        <v>63</v>
      </c>
      <c r="CO63" t="s">
        <v>732</v>
      </c>
      <c r="CP63" t="s">
        <v>4023</v>
      </c>
      <c r="CQ63" t="s">
        <v>3945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Y63" t="s">
        <v>4024</v>
      </c>
      <c r="CZ63" s="26" t="s">
        <v>4025</v>
      </c>
      <c r="DA63" s="27" t="s">
        <v>4216</v>
      </c>
      <c r="DJ63" t="s">
        <v>84</v>
      </c>
      <c r="DK63" s="35"/>
      <c r="DL63" s="37"/>
      <c r="FI63" t="s">
        <v>736</v>
      </c>
      <c r="FJ63" t="s">
        <v>2825</v>
      </c>
      <c r="FK63" t="s">
        <v>736</v>
      </c>
      <c r="FL63" t="s">
        <v>2825</v>
      </c>
      <c r="FM63" t="s">
        <v>736</v>
      </c>
      <c r="FN63" t="s">
        <v>2825</v>
      </c>
      <c r="FO63" t="s">
        <v>736</v>
      </c>
      <c r="FP63" t="s">
        <v>2825</v>
      </c>
      <c r="FQ63" t="s">
        <v>736</v>
      </c>
      <c r="FR63" t="s">
        <v>2825</v>
      </c>
      <c r="FS63" t="s">
        <v>736</v>
      </c>
      <c r="FT63" t="s">
        <v>2825</v>
      </c>
      <c r="FU63" t="s">
        <v>736</v>
      </c>
      <c r="FV63" t="s">
        <v>2825</v>
      </c>
      <c r="FW63" t="s">
        <v>736</v>
      </c>
      <c r="FX63" t="s">
        <v>2825</v>
      </c>
      <c r="FY63" t="s">
        <v>736</v>
      </c>
      <c r="FZ63" t="s">
        <v>2825</v>
      </c>
      <c r="GA63" t="s">
        <v>736</v>
      </c>
      <c r="GB63" t="s">
        <v>2825</v>
      </c>
      <c r="GC63" t="s">
        <v>736</v>
      </c>
      <c r="GD63" t="s">
        <v>2825</v>
      </c>
      <c r="GE63" t="s">
        <v>736</v>
      </c>
      <c r="GF63" t="s">
        <v>2825</v>
      </c>
      <c r="GG63" t="s">
        <v>736</v>
      </c>
      <c r="GH63" t="s">
        <v>2825</v>
      </c>
      <c r="GI63" t="s">
        <v>736</v>
      </c>
      <c r="GJ63" t="s">
        <v>2825</v>
      </c>
      <c r="GK63" t="s">
        <v>736</v>
      </c>
      <c r="GL63" t="s">
        <v>2825</v>
      </c>
      <c r="GM63" t="s">
        <v>736</v>
      </c>
      <c r="GN63" t="s">
        <v>2825</v>
      </c>
      <c r="GO63" t="s">
        <v>736</v>
      </c>
      <c r="GP63" t="s">
        <v>2825</v>
      </c>
      <c r="GQ63" t="s">
        <v>736</v>
      </c>
      <c r="GR63" t="s">
        <v>2825</v>
      </c>
      <c r="GS63" t="s">
        <v>736</v>
      </c>
      <c r="GT63" t="s">
        <v>2825</v>
      </c>
      <c r="GU63" t="s">
        <v>736</v>
      </c>
      <c r="GV63" t="s">
        <v>2825</v>
      </c>
      <c r="GW63" t="s">
        <v>736</v>
      </c>
      <c r="GX63" t="s">
        <v>2825</v>
      </c>
      <c r="GY63" t="s">
        <v>736</v>
      </c>
      <c r="GZ63" t="s">
        <v>2825</v>
      </c>
      <c r="HA63" t="s">
        <v>736</v>
      </c>
      <c r="HB63" t="s">
        <v>2825</v>
      </c>
      <c r="HC63" t="s">
        <v>736</v>
      </c>
      <c r="HD63" t="s">
        <v>2825</v>
      </c>
      <c r="HE63" t="s">
        <v>798</v>
      </c>
      <c r="HF63" t="s">
        <v>2825</v>
      </c>
      <c r="HG63" t="s">
        <v>736</v>
      </c>
      <c r="HH63" t="s">
        <v>2825</v>
      </c>
      <c r="HI63" t="s">
        <v>736</v>
      </c>
      <c r="HJ63" t="s">
        <v>2825</v>
      </c>
      <c r="HL63" t="s">
        <v>938</v>
      </c>
      <c r="HN63" t="s">
        <v>938</v>
      </c>
      <c r="HP63" t="s">
        <v>938</v>
      </c>
      <c r="HR63" t="s">
        <v>938</v>
      </c>
      <c r="HS63" t="s">
        <v>736</v>
      </c>
      <c r="HT63" t="s">
        <v>2825</v>
      </c>
      <c r="HU63" t="s">
        <v>736</v>
      </c>
      <c r="HV63" t="s">
        <v>2825</v>
      </c>
      <c r="HW63" t="s">
        <v>736</v>
      </c>
      <c r="HX63" t="s">
        <v>2825</v>
      </c>
      <c r="HY63" t="s">
        <v>736</v>
      </c>
      <c r="HZ63" t="s">
        <v>2825</v>
      </c>
      <c r="IA63" t="s">
        <v>736</v>
      </c>
      <c r="IB63" t="s">
        <v>2825</v>
      </c>
      <c r="IC63" t="s">
        <v>736</v>
      </c>
      <c r="ID63" t="s">
        <v>2825</v>
      </c>
      <c r="IE63" t="s">
        <v>736</v>
      </c>
      <c r="IF63" t="s">
        <v>2825</v>
      </c>
      <c r="IG63" t="s">
        <v>736</v>
      </c>
      <c r="IH63" t="s">
        <v>2825</v>
      </c>
      <c r="II63" t="s">
        <v>736</v>
      </c>
      <c r="IJ63" t="s">
        <v>2825</v>
      </c>
      <c r="IK63" t="s">
        <v>736</v>
      </c>
      <c r="IL63" t="s">
        <v>2825</v>
      </c>
      <c r="IM63" t="s">
        <v>736</v>
      </c>
      <c r="IN63" t="s">
        <v>2825</v>
      </c>
      <c r="IO63" t="s">
        <v>736</v>
      </c>
      <c r="IP63" t="s">
        <v>2825</v>
      </c>
      <c r="IQ63" t="s">
        <v>736</v>
      </c>
      <c r="IR63" t="s">
        <v>2825</v>
      </c>
      <c r="IS63" t="s">
        <v>736</v>
      </c>
      <c r="IT63" t="s">
        <v>2825</v>
      </c>
      <c r="IU63" t="s">
        <v>736</v>
      </c>
      <c r="IV63" t="s">
        <v>2825</v>
      </c>
      <c r="IW63" t="s">
        <v>736</v>
      </c>
      <c r="IX63" t="s">
        <v>2825</v>
      </c>
      <c r="IY63" t="s">
        <v>736</v>
      </c>
      <c r="IZ63" t="s">
        <v>2825</v>
      </c>
      <c r="JA63" t="s">
        <v>736</v>
      </c>
      <c r="JB63" t="s">
        <v>2825</v>
      </c>
      <c r="JC63" t="s">
        <v>736</v>
      </c>
      <c r="JD63" t="s">
        <v>2825</v>
      </c>
      <c r="JE63" t="s">
        <v>736</v>
      </c>
      <c r="JF63" t="s">
        <v>2825</v>
      </c>
      <c r="JH63" t="s">
        <v>938</v>
      </c>
      <c r="JJ63" t="s">
        <v>938</v>
      </c>
      <c r="JL63" t="s">
        <v>938</v>
      </c>
      <c r="JN63" t="s">
        <v>938</v>
      </c>
      <c r="JP63" t="s">
        <v>938</v>
      </c>
      <c r="JR63" t="s">
        <v>938</v>
      </c>
      <c r="JS63" t="s">
        <v>736</v>
      </c>
      <c r="JT63" t="s">
        <v>2825</v>
      </c>
      <c r="JU63" t="s">
        <v>736</v>
      </c>
      <c r="JV63" t="s">
        <v>2825</v>
      </c>
      <c r="JW63" t="s">
        <v>736</v>
      </c>
      <c r="JX63" t="s">
        <v>2825</v>
      </c>
      <c r="JY63" t="s">
        <v>736</v>
      </c>
      <c r="JZ63" t="s">
        <v>2825</v>
      </c>
      <c r="KA63" t="s">
        <v>736</v>
      </c>
      <c r="KB63" t="s">
        <v>2825</v>
      </c>
      <c r="KC63" t="s">
        <v>736</v>
      </c>
      <c r="KD63" t="s">
        <v>2825</v>
      </c>
      <c r="KE63" t="s">
        <v>736</v>
      </c>
      <c r="KF63" t="s">
        <v>2825</v>
      </c>
      <c r="KG63" t="s">
        <v>736</v>
      </c>
      <c r="KH63" t="s">
        <v>2825</v>
      </c>
      <c r="KI63" t="s">
        <v>736</v>
      </c>
      <c r="KJ63" t="s">
        <v>2825</v>
      </c>
      <c r="KK63" t="s">
        <v>736</v>
      </c>
      <c r="KL63" t="s">
        <v>2825</v>
      </c>
      <c r="KM63" t="s">
        <v>736</v>
      </c>
      <c r="KN63" t="s">
        <v>2825</v>
      </c>
      <c r="KO63" t="s">
        <v>736</v>
      </c>
      <c r="KP63" t="s">
        <v>2825</v>
      </c>
      <c r="KQ63" t="s">
        <v>736</v>
      </c>
      <c r="KR63" t="s">
        <v>2825</v>
      </c>
      <c r="KS63" t="s">
        <v>736</v>
      </c>
      <c r="KT63" t="s">
        <v>2825</v>
      </c>
      <c r="KU63" t="s">
        <v>736</v>
      </c>
      <c r="KV63" t="s">
        <v>2825</v>
      </c>
      <c r="KW63" t="s">
        <v>736</v>
      </c>
      <c r="KX63" t="s">
        <v>2825</v>
      </c>
      <c r="KY63" t="s">
        <v>736</v>
      </c>
      <c r="KZ63" t="s">
        <v>2825</v>
      </c>
      <c r="LA63" t="s">
        <v>736</v>
      </c>
      <c r="LB63" t="s">
        <v>2825</v>
      </c>
      <c r="LC63" t="s">
        <v>736</v>
      </c>
      <c r="LD63" t="s">
        <v>2825</v>
      </c>
      <c r="LE63" t="s">
        <v>736</v>
      </c>
      <c r="LF63" t="s">
        <v>2825</v>
      </c>
      <c r="LG63" t="s">
        <v>736</v>
      </c>
      <c r="LH63" t="s">
        <v>2825</v>
      </c>
      <c r="LI63" t="s">
        <v>736</v>
      </c>
      <c r="LJ63" t="s">
        <v>2825</v>
      </c>
      <c r="LK63" t="s">
        <v>736</v>
      </c>
      <c r="LL63" t="s">
        <v>2825</v>
      </c>
      <c r="LM63" t="s">
        <v>736</v>
      </c>
      <c r="LN63" t="s">
        <v>2825</v>
      </c>
      <c r="LO63" t="s">
        <v>736</v>
      </c>
      <c r="LP63" t="s">
        <v>2825</v>
      </c>
      <c r="LQ63" t="s">
        <v>736</v>
      </c>
      <c r="LR63" t="s">
        <v>2825</v>
      </c>
      <c r="LS63" t="s">
        <v>736</v>
      </c>
      <c r="LT63" t="s">
        <v>2825</v>
      </c>
      <c r="LU63" t="s">
        <v>736</v>
      </c>
      <c r="LV63" t="s">
        <v>2825</v>
      </c>
      <c r="LW63" t="s">
        <v>736</v>
      </c>
      <c r="LX63" t="s">
        <v>2825</v>
      </c>
      <c r="LY63" t="s">
        <v>736</v>
      </c>
      <c r="LZ63" t="s">
        <v>2825</v>
      </c>
      <c r="MA63" t="s">
        <v>736</v>
      </c>
      <c r="MB63" t="s">
        <v>2825</v>
      </c>
      <c r="MC63" t="s">
        <v>736</v>
      </c>
      <c r="MD63" t="s">
        <v>2825</v>
      </c>
      <c r="ME63" t="s">
        <v>736</v>
      </c>
      <c r="MF63" t="s">
        <v>2825</v>
      </c>
      <c r="MG63" t="s">
        <v>736</v>
      </c>
      <c r="MH63" t="s">
        <v>2825</v>
      </c>
      <c r="MI63" t="s">
        <v>736</v>
      </c>
      <c r="MJ63" t="s">
        <v>2825</v>
      </c>
      <c r="MK63" t="s">
        <v>736</v>
      </c>
      <c r="ML63" t="s">
        <v>2825</v>
      </c>
      <c r="MM63" t="s">
        <v>70</v>
      </c>
      <c r="MO63" t="s">
        <v>783</v>
      </c>
      <c r="MP63" t="s">
        <v>784</v>
      </c>
      <c r="MQ63" t="s">
        <v>783</v>
      </c>
      <c r="MR63" t="s">
        <v>783</v>
      </c>
      <c r="MS63" t="s">
        <v>783</v>
      </c>
      <c r="MT63" t="s">
        <v>783</v>
      </c>
      <c r="MU63" t="s">
        <v>783</v>
      </c>
      <c r="MV63" t="s">
        <v>783</v>
      </c>
      <c r="MW63" t="s">
        <v>783</v>
      </c>
      <c r="MX63" t="s">
        <v>783</v>
      </c>
      <c r="MZ63" t="s">
        <v>783</v>
      </c>
      <c r="NA63" t="s">
        <v>783</v>
      </c>
      <c r="NB63" t="s">
        <v>783</v>
      </c>
      <c r="NC63" t="s">
        <v>783</v>
      </c>
      <c r="ND63" t="s">
        <v>784</v>
      </c>
      <c r="NE63" t="s">
        <v>783</v>
      </c>
      <c r="NF63" t="s">
        <v>784</v>
      </c>
      <c r="NG63" t="s">
        <v>783</v>
      </c>
      <c r="NH63" t="s">
        <v>783</v>
      </c>
      <c r="NI63" t="s">
        <v>783</v>
      </c>
      <c r="NJ63" t="s">
        <v>783</v>
      </c>
      <c r="NK63" t="s">
        <v>783</v>
      </c>
      <c r="NL63" t="s">
        <v>783</v>
      </c>
      <c r="NM63" t="s">
        <v>783</v>
      </c>
      <c r="NN63" t="s">
        <v>784</v>
      </c>
      <c r="NO63" t="s">
        <v>784</v>
      </c>
      <c r="NP63" t="s">
        <v>783</v>
      </c>
      <c r="NQ63" t="s">
        <v>783</v>
      </c>
      <c r="NR63" t="s">
        <v>783</v>
      </c>
      <c r="NS63" t="s">
        <v>783</v>
      </c>
      <c r="NT63" t="s">
        <v>784</v>
      </c>
      <c r="NU63" t="s">
        <v>783</v>
      </c>
      <c r="NV63" t="s">
        <v>784</v>
      </c>
      <c r="NW63" t="s">
        <v>784</v>
      </c>
      <c r="NX63" t="s">
        <v>783</v>
      </c>
      <c r="NY63" t="s">
        <v>784</v>
      </c>
      <c r="NZ63" t="s">
        <v>783</v>
      </c>
      <c r="OA63" t="s">
        <v>783</v>
      </c>
      <c r="OB63" t="s">
        <v>784</v>
      </c>
      <c r="OC63" t="s">
        <v>784</v>
      </c>
      <c r="OD63" t="s">
        <v>783</v>
      </c>
      <c r="OE63" t="s">
        <v>783</v>
      </c>
      <c r="OF63" t="s">
        <v>783</v>
      </c>
      <c r="OG63" t="s">
        <v>783</v>
      </c>
      <c r="OH63" t="s">
        <v>783</v>
      </c>
      <c r="OI63" t="s">
        <v>783</v>
      </c>
      <c r="OJ63" t="s">
        <v>783</v>
      </c>
    </row>
    <row r="64" spans="1:400" x14ac:dyDescent="0.25">
      <c r="A64">
        <v>58</v>
      </c>
      <c r="B64" t="s">
        <v>477</v>
      </c>
      <c r="C64" t="s">
        <v>478</v>
      </c>
      <c r="D64" t="s">
        <v>97</v>
      </c>
      <c r="E64">
        <v>39</v>
      </c>
      <c r="F64" t="s">
        <v>481</v>
      </c>
      <c r="G64" t="s">
        <v>76</v>
      </c>
      <c r="H64" t="s">
        <v>60</v>
      </c>
      <c r="I64" t="s">
        <v>88</v>
      </c>
      <c r="J64" t="s">
        <v>62</v>
      </c>
      <c r="K64" t="s">
        <v>84</v>
      </c>
      <c r="L64" t="s">
        <v>98</v>
      </c>
      <c r="M64" t="s">
        <v>309</v>
      </c>
      <c r="N64" t="s">
        <v>70</v>
      </c>
      <c r="O64">
        <v>3</v>
      </c>
      <c r="P64" s="1">
        <v>95000</v>
      </c>
      <c r="Q64" s="1">
        <v>0</v>
      </c>
      <c r="R64" t="s">
        <v>479</v>
      </c>
      <c r="S64" s="7">
        <v>95000</v>
      </c>
      <c r="T64" t="s">
        <v>70</v>
      </c>
      <c r="U64" s="5">
        <v>0</v>
      </c>
      <c r="V64" s="3" t="s">
        <v>70</v>
      </c>
      <c r="W64" s="5">
        <v>0</v>
      </c>
      <c r="X64" t="s">
        <v>94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 t="s">
        <v>63</v>
      </c>
      <c r="AR64">
        <v>1</v>
      </c>
      <c r="AS64" s="2">
        <v>0.25</v>
      </c>
      <c r="AT64" t="s">
        <v>531</v>
      </c>
      <c r="AU64">
        <v>0</v>
      </c>
      <c r="AV64">
        <v>0</v>
      </c>
      <c r="AW64">
        <v>1</v>
      </c>
      <c r="AX64">
        <v>0</v>
      </c>
      <c r="AY64">
        <v>0</v>
      </c>
      <c r="AZ64" t="s">
        <v>595</v>
      </c>
      <c r="BA64" t="s">
        <v>71</v>
      </c>
      <c r="BB64" t="s">
        <v>596</v>
      </c>
      <c r="BC64" t="s">
        <v>596</v>
      </c>
      <c r="BD64" t="s">
        <v>521</v>
      </c>
      <c r="BE64">
        <v>2018</v>
      </c>
      <c r="BF64">
        <v>5</v>
      </c>
      <c r="BG64" t="s">
        <v>508</v>
      </c>
      <c r="BH64">
        <v>1</v>
      </c>
      <c r="BI64">
        <v>0</v>
      </c>
      <c r="BJ64">
        <v>0</v>
      </c>
      <c r="BK64">
        <v>0</v>
      </c>
      <c r="BL64">
        <v>0</v>
      </c>
      <c r="BM64" t="s">
        <v>63</v>
      </c>
      <c r="BN64" t="s">
        <v>63</v>
      </c>
      <c r="BO64" t="s">
        <v>3892</v>
      </c>
      <c r="BP64" t="s">
        <v>3845</v>
      </c>
      <c r="BR64" t="s">
        <v>3909</v>
      </c>
      <c r="BS64" t="s">
        <v>3838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0</v>
      </c>
      <c r="CA64" t="s">
        <v>3839</v>
      </c>
      <c r="CC64" t="s">
        <v>3840</v>
      </c>
      <c r="CD64" t="s">
        <v>3841</v>
      </c>
      <c r="CE64" t="s">
        <v>3867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N64" t="s">
        <v>63</v>
      </c>
      <c r="CO64" t="s">
        <v>732</v>
      </c>
      <c r="CP64" t="s">
        <v>4026</v>
      </c>
      <c r="CQ64" t="s">
        <v>3945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Y64" t="s">
        <v>4027</v>
      </c>
      <c r="CZ64" s="26" t="s">
        <v>4028</v>
      </c>
      <c r="DA64" s="27" t="s">
        <v>4216</v>
      </c>
      <c r="DJ64" t="s">
        <v>84</v>
      </c>
      <c r="DK64" s="35"/>
      <c r="DL64" s="37"/>
      <c r="FI64" t="s">
        <v>736</v>
      </c>
      <c r="FJ64" t="s">
        <v>2720</v>
      </c>
      <c r="FK64" t="s">
        <v>736</v>
      </c>
      <c r="FL64" t="s">
        <v>2826</v>
      </c>
      <c r="FM64" t="s">
        <v>736</v>
      </c>
      <c r="FN64" t="s">
        <v>2827</v>
      </c>
      <c r="FO64" t="s">
        <v>733</v>
      </c>
      <c r="FP64" t="s">
        <v>2815</v>
      </c>
      <c r="FQ64" t="s">
        <v>733</v>
      </c>
      <c r="FR64" t="s">
        <v>1422</v>
      </c>
      <c r="FS64" t="s">
        <v>733</v>
      </c>
      <c r="FT64" t="s">
        <v>2464</v>
      </c>
      <c r="FU64" t="s">
        <v>733</v>
      </c>
      <c r="FV64" t="s">
        <v>1502</v>
      </c>
      <c r="FW64" t="s">
        <v>733</v>
      </c>
      <c r="FX64" t="s">
        <v>2828</v>
      </c>
      <c r="FY64" t="s">
        <v>733</v>
      </c>
      <c r="FZ64" t="s">
        <v>2653</v>
      </c>
      <c r="GA64" t="s">
        <v>733</v>
      </c>
      <c r="GB64" t="s">
        <v>2750</v>
      </c>
      <c r="GC64" t="s">
        <v>733</v>
      </c>
      <c r="GD64" t="s">
        <v>2816</v>
      </c>
      <c r="GE64" t="s">
        <v>733</v>
      </c>
      <c r="GF64" t="s">
        <v>2653</v>
      </c>
      <c r="GG64" t="s">
        <v>733</v>
      </c>
      <c r="GH64" t="s">
        <v>2349</v>
      </c>
      <c r="GI64" t="s">
        <v>733</v>
      </c>
      <c r="GJ64" t="s">
        <v>2829</v>
      </c>
      <c r="GK64" t="s">
        <v>733</v>
      </c>
      <c r="GL64" t="s">
        <v>1422</v>
      </c>
      <c r="GM64" t="s">
        <v>733</v>
      </c>
      <c r="GN64" t="s">
        <v>2653</v>
      </c>
      <c r="GO64" t="s">
        <v>736</v>
      </c>
      <c r="GP64" t="s">
        <v>1557</v>
      </c>
      <c r="GQ64" t="s">
        <v>736</v>
      </c>
      <c r="GR64" t="s">
        <v>2133</v>
      </c>
      <c r="GS64" t="s">
        <v>733</v>
      </c>
      <c r="GT64" t="s">
        <v>1422</v>
      </c>
      <c r="GU64" t="s">
        <v>733</v>
      </c>
      <c r="GV64" t="s">
        <v>2648</v>
      </c>
      <c r="GW64" t="s">
        <v>736</v>
      </c>
      <c r="GX64" t="s">
        <v>2826</v>
      </c>
      <c r="GY64" t="s">
        <v>736</v>
      </c>
      <c r="GZ64" t="s">
        <v>1512</v>
      </c>
      <c r="HA64" t="s">
        <v>736</v>
      </c>
      <c r="HB64" t="s">
        <v>1613</v>
      </c>
      <c r="HC64" t="s">
        <v>736</v>
      </c>
      <c r="HD64" t="s">
        <v>2830</v>
      </c>
      <c r="HE64" t="s">
        <v>798</v>
      </c>
      <c r="HF64" t="s">
        <v>2831</v>
      </c>
      <c r="HG64" t="s">
        <v>736</v>
      </c>
      <c r="HH64" t="s">
        <v>1549</v>
      </c>
      <c r="HI64" t="s">
        <v>736</v>
      </c>
      <c r="HJ64" t="s">
        <v>2832</v>
      </c>
      <c r="HL64" t="s">
        <v>938</v>
      </c>
      <c r="HN64" t="s">
        <v>938</v>
      </c>
      <c r="HP64" t="s">
        <v>938</v>
      </c>
      <c r="HR64" t="s">
        <v>938</v>
      </c>
      <c r="HS64" t="s">
        <v>733</v>
      </c>
      <c r="HT64" t="s">
        <v>2020</v>
      </c>
      <c r="HU64" t="s">
        <v>733</v>
      </c>
      <c r="HV64" t="s">
        <v>2833</v>
      </c>
      <c r="HW64" t="s">
        <v>733</v>
      </c>
      <c r="HX64" t="s">
        <v>2653</v>
      </c>
      <c r="HY64" t="s">
        <v>736</v>
      </c>
      <c r="HZ64" t="s">
        <v>1557</v>
      </c>
      <c r="IA64" t="s">
        <v>736</v>
      </c>
      <c r="IB64" t="s">
        <v>1557</v>
      </c>
      <c r="IC64" t="s">
        <v>736</v>
      </c>
      <c r="ID64" t="s">
        <v>2133</v>
      </c>
      <c r="IE64" t="s">
        <v>746</v>
      </c>
      <c r="IF64" t="s">
        <v>1324</v>
      </c>
      <c r="IG64" t="s">
        <v>746</v>
      </c>
      <c r="IH64" t="s">
        <v>1523</v>
      </c>
      <c r="II64" t="s">
        <v>733</v>
      </c>
      <c r="IJ64" t="s">
        <v>1422</v>
      </c>
      <c r="IK64" t="s">
        <v>733</v>
      </c>
      <c r="IL64" t="s">
        <v>2711</v>
      </c>
      <c r="IM64" t="s">
        <v>733</v>
      </c>
      <c r="IN64" t="s">
        <v>2834</v>
      </c>
      <c r="IO64" t="s">
        <v>733</v>
      </c>
      <c r="IP64" t="s">
        <v>2340</v>
      </c>
      <c r="IQ64" t="s">
        <v>733</v>
      </c>
      <c r="IR64" t="s">
        <v>2835</v>
      </c>
      <c r="IS64" t="s">
        <v>733</v>
      </c>
      <c r="IT64" t="s">
        <v>2836</v>
      </c>
      <c r="IU64" t="s">
        <v>733</v>
      </c>
      <c r="IV64" t="s">
        <v>2837</v>
      </c>
      <c r="IW64" t="s">
        <v>733</v>
      </c>
      <c r="IX64" t="s">
        <v>2838</v>
      </c>
      <c r="IY64" t="s">
        <v>733</v>
      </c>
      <c r="IZ64" t="s">
        <v>2839</v>
      </c>
      <c r="JA64" t="s">
        <v>733</v>
      </c>
      <c r="JB64" t="s">
        <v>2840</v>
      </c>
      <c r="JC64" t="s">
        <v>733</v>
      </c>
      <c r="JD64" t="s">
        <v>2349</v>
      </c>
      <c r="JE64" t="s">
        <v>733</v>
      </c>
      <c r="JF64" t="s">
        <v>2841</v>
      </c>
      <c r="JH64" t="s">
        <v>938</v>
      </c>
      <c r="JJ64" t="s">
        <v>938</v>
      </c>
      <c r="JL64" t="s">
        <v>938</v>
      </c>
      <c r="JN64" t="s">
        <v>938</v>
      </c>
      <c r="JP64" t="s">
        <v>938</v>
      </c>
      <c r="JR64" t="s">
        <v>938</v>
      </c>
      <c r="JS64" t="s">
        <v>733</v>
      </c>
      <c r="JT64" t="s">
        <v>2842</v>
      </c>
      <c r="JU64" t="s">
        <v>733</v>
      </c>
      <c r="JV64" t="s">
        <v>2840</v>
      </c>
      <c r="JW64" t="s">
        <v>733</v>
      </c>
      <c r="JX64" t="s">
        <v>2349</v>
      </c>
      <c r="JY64" t="s">
        <v>746</v>
      </c>
      <c r="JZ64" t="s">
        <v>2843</v>
      </c>
      <c r="KB64" t="s">
        <v>938</v>
      </c>
      <c r="KD64" t="s">
        <v>938</v>
      </c>
      <c r="KE64" t="s">
        <v>733</v>
      </c>
      <c r="KF64" t="s">
        <v>2844</v>
      </c>
      <c r="KG64" t="s">
        <v>746</v>
      </c>
      <c r="KH64" t="s">
        <v>2845</v>
      </c>
      <c r="KI64" t="s">
        <v>733</v>
      </c>
      <c r="KJ64" t="s">
        <v>2846</v>
      </c>
      <c r="KK64" t="s">
        <v>746</v>
      </c>
      <c r="KL64" t="s">
        <v>2847</v>
      </c>
      <c r="KM64" t="s">
        <v>733</v>
      </c>
      <c r="KN64" t="s">
        <v>2848</v>
      </c>
      <c r="KO64" t="s">
        <v>733</v>
      </c>
      <c r="KP64" t="s">
        <v>2842</v>
      </c>
      <c r="KQ64" t="s">
        <v>733</v>
      </c>
      <c r="KR64" t="s">
        <v>2484</v>
      </c>
      <c r="KS64" t="s">
        <v>733</v>
      </c>
      <c r="KT64" t="s">
        <v>2840</v>
      </c>
      <c r="KU64" t="s">
        <v>733</v>
      </c>
      <c r="KV64" t="s">
        <v>2849</v>
      </c>
      <c r="KW64" t="s">
        <v>733</v>
      </c>
      <c r="KX64" t="s">
        <v>2348</v>
      </c>
      <c r="KY64" t="s">
        <v>733</v>
      </c>
      <c r="KZ64" t="s">
        <v>2850</v>
      </c>
      <c r="LA64" t="s">
        <v>733</v>
      </c>
      <c r="LB64" t="s">
        <v>2697</v>
      </c>
      <c r="LC64" t="s">
        <v>736</v>
      </c>
      <c r="LD64" t="s">
        <v>2851</v>
      </c>
      <c r="LE64" t="s">
        <v>736</v>
      </c>
      <c r="LF64" t="s">
        <v>1646</v>
      </c>
      <c r="LG64" t="s">
        <v>736</v>
      </c>
      <c r="LH64" t="s">
        <v>2726</v>
      </c>
      <c r="LI64" t="s">
        <v>736</v>
      </c>
      <c r="LJ64" t="s">
        <v>1639</v>
      </c>
      <c r="LK64" t="s">
        <v>733</v>
      </c>
      <c r="LL64" t="s">
        <v>2852</v>
      </c>
      <c r="LM64" t="s">
        <v>733</v>
      </c>
      <c r="LN64" t="s">
        <v>2187</v>
      </c>
      <c r="LO64" t="s">
        <v>733</v>
      </c>
      <c r="LP64" t="s">
        <v>2651</v>
      </c>
      <c r="LQ64" t="s">
        <v>736</v>
      </c>
      <c r="LR64" t="s">
        <v>2853</v>
      </c>
      <c r="LS64" t="s">
        <v>733</v>
      </c>
      <c r="LT64" t="s">
        <v>1759</v>
      </c>
      <c r="LU64" t="s">
        <v>733</v>
      </c>
      <c r="LV64" t="s">
        <v>2499</v>
      </c>
      <c r="LW64" t="s">
        <v>733</v>
      </c>
      <c r="LX64" t="s">
        <v>2340</v>
      </c>
      <c r="LY64" t="s">
        <v>733</v>
      </c>
      <c r="LZ64" t="s">
        <v>2854</v>
      </c>
      <c r="MA64" t="s">
        <v>733</v>
      </c>
      <c r="MB64" t="s">
        <v>2816</v>
      </c>
      <c r="MC64" t="s">
        <v>733</v>
      </c>
      <c r="MD64" t="s">
        <v>2855</v>
      </c>
      <c r="ME64" t="s">
        <v>733</v>
      </c>
      <c r="MF64" t="s">
        <v>2856</v>
      </c>
      <c r="MG64" t="s">
        <v>733</v>
      </c>
      <c r="MH64" t="s">
        <v>2711</v>
      </c>
      <c r="MI64" t="s">
        <v>733</v>
      </c>
      <c r="MJ64" t="s">
        <v>2184</v>
      </c>
      <c r="MK64" t="s">
        <v>733</v>
      </c>
      <c r="ML64" t="s">
        <v>2840</v>
      </c>
      <c r="MM64" t="s">
        <v>70</v>
      </c>
      <c r="MO64" t="s">
        <v>783</v>
      </c>
      <c r="MP64" t="s">
        <v>784</v>
      </c>
      <c r="MQ64" t="s">
        <v>783</v>
      </c>
      <c r="MR64" t="s">
        <v>783</v>
      </c>
      <c r="MS64" t="s">
        <v>783</v>
      </c>
      <c r="MT64" t="s">
        <v>783</v>
      </c>
      <c r="MU64" t="s">
        <v>783</v>
      </c>
      <c r="MV64" t="s">
        <v>783</v>
      </c>
      <c r="MW64" t="s">
        <v>783</v>
      </c>
      <c r="MX64" t="s">
        <v>783</v>
      </c>
      <c r="MZ64" t="s">
        <v>783</v>
      </c>
      <c r="NA64" t="s">
        <v>783</v>
      </c>
      <c r="NB64" t="s">
        <v>783</v>
      </c>
      <c r="NC64" t="s">
        <v>783</v>
      </c>
      <c r="ND64" t="s">
        <v>907</v>
      </c>
      <c r="NE64" t="s">
        <v>784</v>
      </c>
      <c r="NF64" t="s">
        <v>784</v>
      </c>
      <c r="NG64" t="s">
        <v>784</v>
      </c>
      <c r="NH64" t="s">
        <v>783</v>
      </c>
      <c r="NI64" t="s">
        <v>783</v>
      </c>
      <c r="NJ64" t="s">
        <v>907</v>
      </c>
      <c r="NK64" t="s">
        <v>783</v>
      </c>
      <c r="NL64" t="s">
        <v>784</v>
      </c>
      <c r="NM64" t="s">
        <v>783</v>
      </c>
      <c r="NN64" t="s">
        <v>784</v>
      </c>
      <c r="NO64" t="s">
        <v>784</v>
      </c>
      <c r="NP64" t="s">
        <v>784</v>
      </c>
      <c r="NQ64" t="s">
        <v>783</v>
      </c>
      <c r="NR64" t="s">
        <v>783</v>
      </c>
      <c r="NS64" t="s">
        <v>784</v>
      </c>
      <c r="NT64" t="s">
        <v>784</v>
      </c>
      <c r="NU64" t="s">
        <v>783</v>
      </c>
      <c r="NV64" t="s">
        <v>784</v>
      </c>
      <c r="NW64" t="s">
        <v>784</v>
      </c>
      <c r="NX64" t="s">
        <v>783</v>
      </c>
      <c r="NY64" t="s">
        <v>784</v>
      </c>
      <c r="NZ64" t="s">
        <v>783</v>
      </c>
      <c r="OA64" t="s">
        <v>783</v>
      </c>
      <c r="OB64" t="s">
        <v>784</v>
      </c>
      <c r="OC64" t="s">
        <v>784</v>
      </c>
      <c r="OD64" t="s">
        <v>783</v>
      </c>
      <c r="OE64" t="s">
        <v>783</v>
      </c>
      <c r="OF64" t="s">
        <v>783</v>
      </c>
      <c r="OG64" t="s">
        <v>783</v>
      </c>
      <c r="OH64" t="s">
        <v>783</v>
      </c>
      <c r="OI64" t="s">
        <v>783</v>
      </c>
      <c r="OJ64" t="s">
        <v>783</v>
      </c>
    </row>
    <row r="65" spans="1:400" x14ac:dyDescent="0.25">
      <c r="A65">
        <v>59</v>
      </c>
      <c r="B65" t="s">
        <v>421</v>
      </c>
      <c r="C65" t="s">
        <v>422</v>
      </c>
      <c r="D65" t="s">
        <v>57</v>
      </c>
      <c r="E65">
        <v>49</v>
      </c>
      <c r="F65" t="s">
        <v>58</v>
      </c>
      <c r="G65" t="s">
        <v>303</v>
      </c>
      <c r="H65" t="s">
        <v>60</v>
      </c>
      <c r="I65" t="s">
        <v>113</v>
      </c>
      <c r="J65" t="s">
        <v>62</v>
      </c>
      <c r="K65" t="s">
        <v>63</v>
      </c>
      <c r="M65" t="s">
        <v>295</v>
      </c>
      <c r="N65" t="s">
        <v>300</v>
      </c>
      <c r="O65">
        <v>6</v>
      </c>
      <c r="P65" s="1">
        <v>216000</v>
      </c>
      <c r="Q65" s="1">
        <v>16000</v>
      </c>
      <c r="R65" t="s">
        <v>209</v>
      </c>
      <c r="S65" s="7">
        <v>80000</v>
      </c>
      <c r="T65" t="s">
        <v>424</v>
      </c>
      <c r="U65" s="5">
        <v>120000</v>
      </c>
      <c r="V65" s="3" t="s">
        <v>93</v>
      </c>
      <c r="W65" s="5">
        <v>16000</v>
      </c>
      <c r="X65" t="s">
        <v>94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 t="s">
        <v>63</v>
      </c>
      <c r="AR65">
        <v>1</v>
      </c>
      <c r="AS65" s="2">
        <v>0.75</v>
      </c>
      <c r="AT65" t="s">
        <v>531</v>
      </c>
      <c r="AU65">
        <v>0</v>
      </c>
      <c r="AV65">
        <v>0</v>
      </c>
      <c r="AW65">
        <v>1</v>
      </c>
      <c r="AX65">
        <v>0</v>
      </c>
      <c r="AY65">
        <v>0</v>
      </c>
      <c r="AZ65" t="s">
        <v>587</v>
      </c>
      <c r="BA65" t="s">
        <v>71</v>
      </c>
      <c r="BB65" t="s">
        <v>567</v>
      </c>
      <c r="BC65" t="s">
        <v>533</v>
      </c>
      <c r="BD65" t="s">
        <v>568</v>
      </c>
      <c r="BE65">
        <v>2017</v>
      </c>
      <c r="BF65">
        <v>6</v>
      </c>
      <c r="BG65" t="s">
        <v>508</v>
      </c>
      <c r="BH65">
        <v>1</v>
      </c>
      <c r="BI65">
        <v>0</v>
      </c>
      <c r="BJ65">
        <v>0</v>
      </c>
      <c r="BK65">
        <v>0</v>
      </c>
      <c r="BL65">
        <v>0</v>
      </c>
      <c r="BM65" t="s">
        <v>63</v>
      </c>
      <c r="BN65" t="s">
        <v>63</v>
      </c>
      <c r="BO65" t="s">
        <v>3835</v>
      </c>
      <c r="BP65" t="s">
        <v>3836</v>
      </c>
      <c r="BR65" t="s">
        <v>3866</v>
      </c>
      <c r="BS65" t="s">
        <v>3838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CA65" t="s">
        <v>3847</v>
      </c>
      <c r="CB65" t="s">
        <v>3910</v>
      </c>
      <c r="CC65" t="s">
        <v>3920</v>
      </c>
      <c r="CD65" t="s">
        <v>3841</v>
      </c>
      <c r="CE65" t="s">
        <v>3867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0</v>
      </c>
      <c r="CN65" t="s">
        <v>63</v>
      </c>
      <c r="CO65" t="s">
        <v>732</v>
      </c>
      <c r="CP65" t="s">
        <v>4021</v>
      </c>
      <c r="CQ65" t="s">
        <v>2996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 t="s">
        <v>4029</v>
      </c>
      <c r="CY65" t="s">
        <v>3909</v>
      </c>
      <c r="CZ65" s="26" t="s">
        <v>4030</v>
      </c>
      <c r="DA65" s="27" t="s">
        <v>4192</v>
      </c>
      <c r="DJ65" t="s">
        <v>63</v>
      </c>
      <c r="DK65" s="35" t="s">
        <v>4153</v>
      </c>
      <c r="DL65" s="37" t="s">
        <v>4258</v>
      </c>
      <c r="DM65" t="s">
        <v>2996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N65" t="s">
        <v>3988</v>
      </c>
      <c r="EO65" t="s">
        <v>4111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 t="s">
        <v>4102</v>
      </c>
      <c r="EZ65">
        <v>0</v>
      </c>
      <c r="FA65">
        <v>0</v>
      </c>
      <c r="FB65">
        <v>0</v>
      </c>
      <c r="FC65">
        <v>1</v>
      </c>
      <c r="FG65" t="s">
        <v>4178</v>
      </c>
      <c r="FI65" t="s">
        <v>733</v>
      </c>
      <c r="FJ65" t="s">
        <v>2857</v>
      </c>
      <c r="FK65" t="s">
        <v>736</v>
      </c>
      <c r="FL65" t="s">
        <v>2858</v>
      </c>
      <c r="FM65" t="s">
        <v>746</v>
      </c>
      <c r="FN65" t="s">
        <v>2859</v>
      </c>
      <c r="FO65" t="s">
        <v>746</v>
      </c>
      <c r="FP65" t="s">
        <v>1603</v>
      </c>
      <c r="FQ65" t="s">
        <v>733</v>
      </c>
      <c r="FR65" t="s">
        <v>2860</v>
      </c>
      <c r="FS65" t="s">
        <v>733</v>
      </c>
      <c r="FT65" t="s">
        <v>1572</v>
      </c>
      <c r="FU65" t="s">
        <v>733</v>
      </c>
      <c r="FV65" t="s">
        <v>1392</v>
      </c>
      <c r="FW65" t="s">
        <v>733</v>
      </c>
      <c r="FX65" t="s">
        <v>2861</v>
      </c>
      <c r="FY65" t="s">
        <v>733</v>
      </c>
      <c r="FZ65" t="s">
        <v>2860</v>
      </c>
      <c r="GA65" t="s">
        <v>733</v>
      </c>
      <c r="GB65" t="s">
        <v>1572</v>
      </c>
      <c r="GC65" t="s">
        <v>733</v>
      </c>
      <c r="GD65" t="s">
        <v>2860</v>
      </c>
      <c r="GE65" t="s">
        <v>733</v>
      </c>
      <c r="GF65" t="s">
        <v>1392</v>
      </c>
      <c r="GG65" t="s">
        <v>746</v>
      </c>
      <c r="GH65" t="s">
        <v>2140</v>
      </c>
      <c r="GI65" t="s">
        <v>746</v>
      </c>
      <c r="GJ65" t="s">
        <v>1633</v>
      </c>
      <c r="GK65" t="s">
        <v>736</v>
      </c>
      <c r="GL65" t="s">
        <v>2862</v>
      </c>
      <c r="GM65" t="s">
        <v>736</v>
      </c>
      <c r="GN65" t="s">
        <v>2863</v>
      </c>
      <c r="GO65" t="s">
        <v>733</v>
      </c>
      <c r="GP65" t="s">
        <v>2864</v>
      </c>
      <c r="GQ65" t="s">
        <v>733</v>
      </c>
      <c r="GR65" t="s">
        <v>1572</v>
      </c>
      <c r="GS65" t="s">
        <v>733</v>
      </c>
      <c r="GT65" t="s">
        <v>1392</v>
      </c>
      <c r="GU65" t="s">
        <v>733</v>
      </c>
      <c r="GV65" t="s">
        <v>2865</v>
      </c>
      <c r="GW65" t="s">
        <v>736</v>
      </c>
      <c r="GX65" t="s">
        <v>2708</v>
      </c>
      <c r="GY65" t="s">
        <v>736</v>
      </c>
      <c r="GZ65" t="s">
        <v>2866</v>
      </c>
      <c r="HA65" t="s">
        <v>736</v>
      </c>
      <c r="HB65" t="s">
        <v>2867</v>
      </c>
      <c r="HC65" t="s">
        <v>736</v>
      </c>
      <c r="HD65" t="s">
        <v>1797</v>
      </c>
      <c r="HE65" t="s">
        <v>798</v>
      </c>
      <c r="HF65" t="s">
        <v>1797</v>
      </c>
      <c r="HG65" t="s">
        <v>736</v>
      </c>
      <c r="HH65" t="s">
        <v>1972</v>
      </c>
      <c r="HI65" t="s">
        <v>736</v>
      </c>
      <c r="HJ65" t="s">
        <v>1797</v>
      </c>
      <c r="HL65" t="s">
        <v>938</v>
      </c>
      <c r="HN65" t="s">
        <v>938</v>
      </c>
      <c r="HP65" t="s">
        <v>938</v>
      </c>
      <c r="HR65" t="s">
        <v>938</v>
      </c>
      <c r="HS65" t="s">
        <v>733</v>
      </c>
      <c r="HT65" t="s">
        <v>2651</v>
      </c>
      <c r="HU65" t="s">
        <v>733</v>
      </c>
      <c r="HV65" t="s">
        <v>2334</v>
      </c>
      <c r="HW65" t="s">
        <v>736</v>
      </c>
      <c r="HX65" t="s">
        <v>2868</v>
      </c>
      <c r="HY65" t="s">
        <v>736</v>
      </c>
      <c r="HZ65" t="s">
        <v>2869</v>
      </c>
      <c r="IA65" t="s">
        <v>733</v>
      </c>
      <c r="IB65" t="s">
        <v>2856</v>
      </c>
      <c r="IC65" t="s">
        <v>736</v>
      </c>
      <c r="ID65" t="s">
        <v>1965</v>
      </c>
      <c r="IE65" t="s">
        <v>746</v>
      </c>
      <c r="IF65" t="s">
        <v>1273</v>
      </c>
      <c r="IG65" t="s">
        <v>746</v>
      </c>
      <c r="IH65" t="s">
        <v>2870</v>
      </c>
      <c r="II65" t="s">
        <v>736</v>
      </c>
      <c r="IJ65" t="s">
        <v>2871</v>
      </c>
      <c r="IK65" t="s">
        <v>736</v>
      </c>
      <c r="IL65" t="s">
        <v>2704</v>
      </c>
      <c r="IM65" t="s">
        <v>733</v>
      </c>
      <c r="IN65" t="s">
        <v>2872</v>
      </c>
      <c r="IO65" t="s">
        <v>733</v>
      </c>
      <c r="IP65" t="s">
        <v>2744</v>
      </c>
      <c r="IQ65" t="s">
        <v>746</v>
      </c>
      <c r="IR65" t="s">
        <v>2873</v>
      </c>
      <c r="IS65" t="s">
        <v>746</v>
      </c>
      <c r="IT65" t="s">
        <v>2726</v>
      </c>
      <c r="IU65" t="s">
        <v>746</v>
      </c>
      <c r="IV65" t="s">
        <v>2874</v>
      </c>
      <c r="IW65" t="s">
        <v>746</v>
      </c>
      <c r="IX65" t="s">
        <v>1994</v>
      </c>
      <c r="IY65" t="s">
        <v>746</v>
      </c>
      <c r="IZ65" t="s">
        <v>1613</v>
      </c>
      <c r="JA65" t="s">
        <v>746</v>
      </c>
      <c r="JB65" t="s">
        <v>2720</v>
      </c>
      <c r="JC65" t="s">
        <v>746</v>
      </c>
      <c r="JD65" t="s">
        <v>1994</v>
      </c>
      <c r="JE65" t="s">
        <v>746</v>
      </c>
      <c r="JF65" t="s">
        <v>1613</v>
      </c>
      <c r="JH65" t="s">
        <v>938</v>
      </c>
      <c r="JJ65" t="s">
        <v>938</v>
      </c>
      <c r="JL65" t="s">
        <v>938</v>
      </c>
      <c r="JN65" t="s">
        <v>938</v>
      </c>
      <c r="JP65" t="s">
        <v>938</v>
      </c>
      <c r="JR65" t="s">
        <v>938</v>
      </c>
      <c r="JS65" t="s">
        <v>746</v>
      </c>
      <c r="JT65" t="s">
        <v>1994</v>
      </c>
      <c r="JU65" t="s">
        <v>746</v>
      </c>
      <c r="JV65" t="s">
        <v>1613</v>
      </c>
      <c r="JW65" t="s">
        <v>746</v>
      </c>
      <c r="JX65" t="s">
        <v>2720</v>
      </c>
      <c r="JY65" t="s">
        <v>746</v>
      </c>
      <c r="JZ65" t="s">
        <v>2726</v>
      </c>
      <c r="KA65" t="s">
        <v>746</v>
      </c>
      <c r="KB65" t="s">
        <v>1994</v>
      </c>
      <c r="KC65" t="s">
        <v>746</v>
      </c>
      <c r="KD65" t="s">
        <v>1613</v>
      </c>
      <c r="KE65" t="s">
        <v>746</v>
      </c>
      <c r="KF65" t="s">
        <v>2720</v>
      </c>
      <c r="KG65" t="s">
        <v>746</v>
      </c>
      <c r="KH65" t="s">
        <v>2875</v>
      </c>
      <c r="KI65" t="s">
        <v>746</v>
      </c>
      <c r="KJ65" t="s">
        <v>1613</v>
      </c>
      <c r="KK65" t="s">
        <v>746</v>
      </c>
      <c r="KL65" t="s">
        <v>1994</v>
      </c>
      <c r="KM65" t="s">
        <v>746</v>
      </c>
      <c r="KN65" t="s">
        <v>2876</v>
      </c>
      <c r="KO65" t="s">
        <v>746</v>
      </c>
      <c r="KP65" t="s">
        <v>1994</v>
      </c>
      <c r="KQ65" t="s">
        <v>746</v>
      </c>
      <c r="KR65" t="s">
        <v>2726</v>
      </c>
      <c r="KS65" t="s">
        <v>746</v>
      </c>
      <c r="KT65" t="s">
        <v>2720</v>
      </c>
      <c r="KU65" t="s">
        <v>736</v>
      </c>
      <c r="KV65" t="s">
        <v>1422</v>
      </c>
      <c r="KW65" t="s">
        <v>733</v>
      </c>
      <c r="KX65" t="s">
        <v>1423</v>
      </c>
      <c r="KY65" t="s">
        <v>733</v>
      </c>
      <c r="KZ65" t="s">
        <v>2877</v>
      </c>
      <c r="LA65" t="s">
        <v>746</v>
      </c>
      <c r="LB65" t="s">
        <v>2140</v>
      </c>
      <c r="LC65" t="s">
        <v>736</v>
      </c>
      <c r="LD65" t="s">
        <v>2878</v>
      </c>
      <c r="LE65" t="s">
        <v>736</v>
      </c>
      <c r="LF65" t="s">
        <v>2824</v>
      </c>
      <c r="LG65" t="s">
        <v>736</v>
      </c>
      <c r="LH65" t="s">
        <v>2879</v>
      </c>
      <c r="LI65" t="s">
        <v>736</v>
      </c>
      <c r="LJ65" t="s">
        <v>2880</v>
      </c>
      <c r="LK65" t="s">
        <v>733</v>
      </c>
      <c r="LL65" t="s">
        <v>1422</v>
      </c>
      <c r="LM65" t="s">
        <v>733</v>
      </c>
      <c r="LN65" t="s">
        <v>2881</v>
      </c>
      <c r="LO65" t="s">
        <v>736</v>
      </c>
      <c r="LP65" t="s">
        <v>2868</v>
      </c>
      <c r="LQ65" t="s">
        <v>733</v>
      </c>
      <c r="LR65" t="s">
        <v>2744</v>
      </c>
      <c r="LS65" t="s">
        <v>733</v>
      </c>
      <c r="LT65" t="s">
        <v>2882</v>
      </c>
      <c r="LU65" t="s">
        <v>733</v>
      </c>
      <c r="LV65" t="s">
        <v>1537</v>
      </c>
      <c r="LW65" t="s">
        <v>733</v>
      </c>
      <c r="LX65" t="s">
        <v>2856</v>
      </c>
      <c r="LY65" t="s">
        <v>733</v>
      </c>
      <c r="LZ65" t="s">
        <v>2711</v>
      </c>
      <c r="MA65" t="s">
        <v>733</v>
      </c>
      <c r="MB65" t="s">
        <v>2883</v>
      </c>
      <c r="MC65" t="s">
        <v>733</v>
      </c>
      <c r="MD65" t="s">
        <v>2884</v>
      </c>
      <c r="ME65" t="s">
        <v>733</v>
      </c>
      <c r="MF65" t="s">
        <v>2885</v>
      </c>
      <c r="MG65" t="s">
        <v>733</v>
      </c>
      <c r="MH65" t="s">
        <v>2886</v>
      </c>
      <c r="MI65" t="s">
        <v>733</v>
      </c>
      <c r="MJ65" t="s">
        <v>2887</v>
      </c>
      <c r="MK65" t="s">
        <v>746</v>
      </c>
      <c r="ML65" t="s">
        <v>2675</v>
      </c>
      <c r="MM65" t="s">
        <v>70</v>
      </c>
      <c r="MO65" t="s">
        <v>783</v>
      </c>
      <c r="MP65" t="s">
        <v>784</v>
      </c>
      <c r="MQ65" t="s">
        <v>783</v>
      </c>
      <c r="MR65" t="s">
        <v>783</v>
      </c>
      <c r="MS65" t="s">
        <v>783</v>
      </c>
      <c r="MT65" t="s">
        <v>783</v>
      </c>
      <c r="MU65" t="s">
        <v>783</v>
      </c>
      <c r="MV65" t="s">
        <v>783</v>
      </c>
      <c r="MW65" t="s">
        <v>783</v>
      </c>
      <c r="MX65" t="s">
        <v>783</v>
      </c>
      <c r="MZ65" t="s">
        <v>783</v>
      </c>
      <c r="NA65" t="s">
        <v>907</v>
      </c>
      <c r="NB65" t="s">
        <v>783</v>
      </c>
      <c r="NC65" t="s">
        <v>783</v>
      </c>
      <c r="ND65" t="s">
        <v>783</v>
      </c>
      <c r="NE65" t="s">
        <v>784</v>
      </c>
      <c r="NF65" t="s">
        <v>783</v>
      </c>
      <c r="NG65" t="s">
        <v>784</v>
      </c>
      <c r="NH65" t="s">
        <v>783</v>
      </c>
      <c r="NI65" t="s">
        <v>784</v>
      </c>
      <c r="NJ65" t="s">
        <v>783</v>
      </c>
      <c r="NK65" t="s">
        <v>783</v>
      </c>
      <c r="NL65" t="s">
        <v>783</v>
      </c>
      <c r="NM65" t="s">
        <v>783</v>
      </c>
      <c r="NN65" t="s">
        <v>784</v>
      </c>
      <c r="NO65" t="s">
        <v>783</v>
      </c>
      <c r="NP65" t="s">
        <v>784</v>
      </c>
      <c r="NQ65" t="s">
        <v>784</v>
      </c>
      <c r="NR65" t="s">
        <v>783</v>
      </c>
      <c r="NS65" t="s">
        <v>783</v>
      </c>
      <c r="NT65" t="s">
        <v>784</v>
      </c>
      <c r="NU65" t="s">
        <v>783</v>
      </c>
      <c r="NV65" t="s">
        <v>784</v>
      </c>
      <c r="NW65" t="s">
        <v>784</v>
      </c>
      <c r="NX65" t="s">
        <v>783</v>
      </c>
      <c r="NY65" t="s">
        <v>784</v>
      </c>
      <c r="NZ65" t="s">
        <v>783</v>
      </c>
      <c r="OA65" t="s">
        <v>783</v>
      </c>
      <c r="OB65" t="s">
        <v>784</v>
      </c>
      <c r="OC65" t="s">
        <v>784</v>
      </c>
      <c r="OD65" t="s">
        <v>783</v>
      </c>
      <c r="OE65" t="s">
        <v>783</v>
      </c>
      <c r="OF65" t="s">
        <v>783</v>
      </c>
      <c r="OG65" t="s">
        <v>783</v>
      </c>
      <c r="OH65" t="s">
        <v>783</v>
      </c>
      <c r="OI65" t="s">
        <v>783</v>
      </c>
      <c r="OJ65" t="s">
        <v>783</v>
      </c>
    </row>
    <row r="66" spans="1:400" x14ac:dyDescent="0.25">
      <c r="A66">
        <v>60</v>
      </c>
      <c r="B66" t="s">
        <v>2888</v>
      </c>
      <c r="C66" t="s">
        <v>427</v>
      </c>
      <c r="D66" t="s">
        <v>57</v>
      </c>
      <c r="E66">
        <v>63</v>
      </c>
      <c r="F66" t="s">
        <v>58</v>
      </c>
      <c r="G66" t="s">
        <v>303</v>
      </c>
      <c r="H66" t="s">
        <v>60</v>
      </c>
      <c r="I66" t="s">
        <v>61</v>
      </c>
      <c r="J66" t="s">
        <v>62</v>
      </c>
      <c r="K66" t="s">
        <v>63</v>
      </c>
      <c r="M66" t="s">
        <v>309</v>
      </c>
      <c r="N66" t="s">
        <v>428</v>
      </c>
      <c r="O66">
        <v>2</v>
      </c>
      <c r="P66" s="1">
        <v>30000</v>
      </c>
      <c r="Q66" s="1">
        <v>6000</v>
      </c>
      <c r="R66" t="s">
        <v>81</v>
      </c>
      <c r="S66" s="7">
        <v>24000</v>
      </c>
      <c r="T66" t="s">
        <v>70</v>
      </c>
      <c r="U66" s="5">
        <v>0</v>
      </c>
      <c r="V66" s="3" t="s">
        <v>429</v>
      </c>
      <c r="W66" s="5">
        <v>6000</v>
      </c>
      <c r="X66" t="s">
        <v>94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 t="s">
        <v>63</v>
      </c>
      <c r="AR66">
        <v>1</v>
      </c>
      <c r="AS66" s="2">
        <v>0.5</v>
      </c>
      <c r="AT66" t="s">
        <v>503</v>
      </c>
      <c r="AU66">
        <v>0</v>
      </c>
      <c r="AV66">
        <v>0</v>
      </c>
      <c r="AW66">
        <v>0</v>
      </c>
      <c r="AX66">
        <v>1</v>
      </c>
      <c r="AY66">
        <v>0</v>
      </c>
      <c r="AZ66" t="s">
        <v>162</v>
      </c>
      <c r="BA66" t="s">
        <v>71</v>
      </c>
      <c r="BB66" t="s">
        <v>521</v>
      </c>
      <c r="BC66" t="s">
        <v>521</v>
      </c>
      <c r="BD66" t="s">
        <v>521</v>
      </c>
      <c r="BE66">
        <v>2018</v>
      </c>
      <c r="BF66">
        <v>5</v>
      </c>
      <c r="BG66" t="s">
        <v>508</v>
      </c>
      <c r="BH66">
        <v>1</v>
      </c>
      <c r="BI66">
        <v>0</v>
      </c>
      <c r="BJ66">
        <v>0</v>
      </c>
      <c r="BK66">
        <v>0</v>
      </c>
      <c r="BL66">
        <v>0</v>
      </c>
      <c r="BM66" t="s">
        <v>63</v>
      </c>
      <c r="BN66" t="s">
        <v>63</v>
      </c>
      <c r="BO66" t="s">
        <v>3835</v>
      </c>
      <c r="BP66" t="s">
        <v>3836</v>
      </c>
      <c r="BR66" t="s">
        <v>3911</v>
      </c>
      <c r="BS66" t="s">
        <v>3838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CA66" t="s">
        <v>3839</v>
      </c>
      <c r="CC66" t="s">
        <v>3920</v>
      </c>
      <c r="CD66" t="s">
        <v>3841</v>
      </c>
      <c r="CE66" t="s">
        <v>3867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N66" t="s">
        <v>63</v>
      </c>
      <c r="CO66" t="s">
        <v>732</v>
      </c>
      <c r="CP66" t="s">
        <v>4031</v>
      </c>
      <c r="CQ66" t="s">
        <v>3935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Y66" t="s">
        <v>3971</v>
      </c>
      <c r="CZ66" s="26" t="s">
        <v>4208</v>
      </c>
      <c r="DA66" s="27" t="s">
        <v>4192</v>
      </c>
      <c r="DJ66" t="s">
        <v>63</v>
      </c>
      <c r="DK66" s="35" t="s">
        <v>4261</v>
      </c>
      <c r="DL66" s="37" t="s">
        <v>4254</v>
      </c>
      <c r="DM66" t="s">
        <v>2996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EN66" t="s">
        <v>3970</v>
      </c>
      <c r="EO66" t="s">
        <v>4111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 t="s">
        <v>4105</v>
      </c>
      <c r="EZ66">
        <v>0</v>
      </c>
      <c r="FA66">
        <v>0</v>
      </c>
      <c r="FB66">
        <v>1</v>
      </c>
      <c r="FC66">
        <v>0</v>
      </c>
      <c r="FF66" t="s">
        <v>4155</v>
      </c>
      <c r="FI66" t="s">
        <v>733</v>
      </c>
      <c r="FJ66" t="s">
        <v>1572</v>
      </c>
      <c r="FK66" t="s">
        <v>733</v>
      </c>
      <c r="FL66" t="s">
        <v>2889</v>
      </c>
      <c r="FM66" t="s">
        <v>733</v>
      </c>
      <c r="FN66" t="s">
        <v>2890</v>
      </c>
      <c r="FO66" t="s">
        <v>733</v>
      </c>
      <c r="FP66" t="s">
        <v>2891</v>
      </c>
      <c r="FQ66" t="s">
        <v>733</v>
      </c>
      <c r="FR66" t="s">
        <v>2670</v>
      </c>
      <c r="FS66" t="s">
        <v>733</v>
      </c>
      <c r="FT66" t="s">
        <v>2189</v>
      </c>
      <c r="FV66" t="s">
        <v>938</v>
      </c>
      <c r="FX66" t="s">
        <v>938</v>
      </c>
      <c r="FY66" t="s">
        <v>746</v>
      </c>
      <c r="FZ66" t="s">
        <v>1644</v>
      </c>
      <c r="GA66" t="s">
        <v>746</v>
      </c>
      <c r="GB66" t="s">
        <v>2892</v>
      </c>
      <c r="GC66" t="s">
        <v>746</v>
      </c>
      <c r="GD66" t="s">
        <v>1494</v>
      </c>
      <c r="GE66" t="s">
        <v>746</v>
      </c>
      <c r="GF66" t="s">
        <v>1644</v>
      </c>
      <c r="GG66" t="s">
        <v>736</v>
      </c>
      <c r="GH66" t="s">
        <v>1375</v>
      </c>
      <c r="GI66" t="s">
        <v>746</v>
      </c>
      <c r="GJ66" t="s">
        <v>2726</v>
      </c>
      <c r="GK66" t="s">
        <v>733</v>
      </c>
      <c r="GL66" t="s">
        <v>2670</v>
      </c>
      <c r="GM66" t="s">
        <v>733</v>
      </c>
      <c r="GN66" t="s">
        <v>2893</v>
      </c>
      <c r="GO66" t="s">
        <v>733</v>
      </c>
      <c r="GP66" t="s">
        <v>2894</v>
      </c>
      <c r="GQ66" t="s">
        <v>733</v>
      </c>
      <c r="GR66" t="s">
        <v>1572</v>
      </c>
      <c r="GS66" t="s">
        <v>733</v>
      </c>
      <c r="GT66" t="s">
        <v>2895</v>
      </c>
      <c r="GU66" t="s">
        <v>733</v>
      </c>
      <c r="GV66" t="s">
        <v>2896</v>
      </c>
      <c r="GW66" t="s">
        <v>733</v>
      </c>
      <c r="GX66" t="s">
        <v>2897</v>
      </c>
      <c r="GY66" t="s">
        <v>733</v>
      </c>
      <c r="GZ66" t="s">
        <v>2334</v>
      </c>
      <c r="HA66" t="s">
        <v>733</v>
      </c>
      <c r="HB66" t="s">
        <v>2334</v>
      </c>
      <c r="HC66" t="s">
        <v>733</v>
      </c>
      <c r="HD66" t="s">
        <v>1537</v>
      </c>
      <c r="HE66" t="s">
        <v>733</v>
      </c>
      <c r="HF66" t="s">
        <v>2816</v>
      </c>
      <c r="HG66" t="s">
        <v>733</v>
      </c>
      <c r="HH66" t="s">
        <v>2334</v>
      </c>
      <c r="HI66" t="s">
        <v>733</v>
      </c>
      <c r="HJ66" t="s">
        <v>2358</v>
      </c>
      <c r="HL66" t="s">
        <v>938</v>
      </c>
      <c r="HN66" t="s">
        <v>938</v>
      </c>
      <c r="HP66" t="s">
        <v>938</v>
      </c>
      <c r="HR66" t="s">
        <v>938</v>
      </c>
      <c r="HT66" t="s">
        <v>938</v>
      </c>
      <c r="HV66" t="s">
        <v>938</v>
      </c>
      <c r="HW66" t="s">
        <v>733</v>
      </c>
      <c r="HX66" t="s">
        <v>2670</v>
      </c>
      <c r="HY66" t="s">
        <v>733</v>
      </c>
      <c r="HZ66" t="s">
        <v>2898</v>
      </c>
      <c r="IA66" t="s">
        <v>733</v>
      </c>
      <c r="IB66" t="s">
        <v>2653</v>
      </c>
      <c r="IC66" t="s">
        <v>733</v>
      </c>
      <c r="ID66" t="s">
        <v>2861</v>
      </c>
      <c r="IF66" t="s">
        <v>938</v>
      </c>
      <c r="IH66" t="s">
        <v>2899</v>
      </c>
      <c r="IJ66" t="s">
        <v>938</v>
      </c>
      <c r="IL66" t="s">
        <v>2900</v>
      </c>
      <c r="IM66" t="s">
        <v>733</v>
      </c>
      <c r="IN66" t="s">
        <v>2220</v>
      </c>
      <c r="IO66" t="s">
        <v>733</v>
      </c>
      <c r="IP66" t="s">
        <v>2901</v>
      </c>
      <c r="IQ66" t="s">
        <v>733</v>
      </c>
      <c r="IR66" t="s">
        <v>2836</v>
      </c>
      <c r="IS66" t="s">
        <v>733</v>
      </c>
      <c r="IT66" t="s">
        <v>1572</v>
      </c>
      <c r="IU66" t="s">
        <v>746</v>
      </c>
      <c r="IV66" t="s">
        <v>2902</v>
      </c>
      <c r="IW66" t="s">
        <v>746</v>
      </c>
      <c r="IX66" t="s">
        <v>2142</v>
      </c>
      <c r="IY66" t="s">
        <v>733</v>
      </c>
      <c r="IZ66" t="s">
        <v>2349</v>
      </c>
      <c r="JA66" t="s">
        <v>746</v>
      </c>
      <c r="JB66" t="s">
        <v>2142</v>
      </c>
      <c r="JC66" t="s">
        <v>733</v>
      </c>
      <c r="JD66" t="s">
        <v>1572</v>
      </c>
      <c r="JE66" t="s">
        <v>746</v>
      </c>
      <c r="JF66" t="s">
        <v>2903</v>
      </c>
      <c r="JH66" t="s">
        <v>938</v>
      </c>
      <c r="JJ66" t="s">
        <v>938</v>
      </c>
      <c r="JL66" t="s">
        <v>938</v>
      </c>
      <c r="JN66" t="s">
        <v>938</v>
      </c>
      <c r="JP66" t="s">
        <v>938</v>
      </c>
      <c r="JR66" t="s">
        <v>938</v>
      </c>
      <c r="JS66" t="s">
        <v>733</v>
      </c>
      <c r="JT66" t="s">
        <v>2856</v>
      </c>
      <c r="JU66" t="s">
        <v>746</v>
      </c>
      <c r="JV66" t="s">
        <v>2904</v>
      </c>
      <c r="JW66" t="s">
        <v>733</v>
      </c>
      <c r="JX66" t="s">
        <v>2815</v>
      </c>
      <c r="JY66" t="s">
        <v>746</v>
      </c>
      <c r="JZ66" t="s">
        <v>2142</v>
      </c>
      <c r="KB66" t="s">
        <v>938</v>
      </c>
      <c r="KD66" t="s">
        <v>938</v>
      </c>
      <c r="KE66" t="s">
        <v>733</v>
      </c>
      <c r="KF66" t="s">
        <v>2856</v>
      </c>
      <c r="KG66" t="s">
        <v>746</v>
      </c>
      <c r="KH66" t="s">
        <v>2142</v>
      </c>
      <c r="KI66" t="s">
        <v>733</v>
      </c>
      <c r="KJ66" t="s">
        <v>2342</v>
      </c>
      <c r="KK66" t="s">
        <v>746</v>
      </c>
      <c r="KL66" t="s">
        <v>2142</v>
      </c>
      <c r="KM66" t="s">
        <v>733</v>
      </c>
      <c r="KN66" t="s">
        <v>1635</v>
      </c>
      <c r="KO66" t="s">
        <v>746</v>
      </c>
      <c r="KP66" t="s">
        <v>2142</v>
      </c>
      <c r="KQ66" t="s">
        <v>733</v>
      </c>
      <c r="KR66" t="s">
        <v>2349</v>
      </c>
      <c r="KS66" t="s">
        <v>746</v>
      </c>
      <c r="KT66" t="s">
        <v>2142</v>
      </c>
      <c r="KU66" t="s">
        <v>733</v>
      </c>
      <c r="KV66" t="s">
        <v>2905</v>
      </c>
      <c r="KW66" t="s">
        <v>746</v>
      </c>
      <c r="KX66" t="s">
        <v>2140</v>
      </c>
      <c r="KY66" t="s">
        <v>733</v>
      </c>
      <c r="KZ66" t="s">
        <v>2856</v>
      </c>
      <c r="LA66" t="s">
        <v>746</v>
      </c>
      <c r="LB66" t="s">
        <v>2140</v>
      </c>
      <c r="LC66" t="s">
        <v>733</v>
      </c>
      <c r="LD66" t="s">
        <v>2349</v>
      </c>
      <c r="LE66" t="s">
        <v>733</v>
      </c>
      <c r="LF66" t="s">
        <v>2906</v>
      </c>
      <c r="LG66" t="s">
        <v>733</v>
      </c>
      <c r="LH66" t="s">
        <v>2841</v>
      </c>
      <c r="LI66" t="s">
        <v>733</v>
      </c>
      <c r="LJ66" t="s">
        <v>2907</v>
      </c>
      <c r="LL66" t="s">
        <v>938</v>
      </c>
      <c r="LN66" t="s">
        <v>938</v>
      </c>
      <c r="LO66" t="s">
        <v>733</v>
      </c>
      <c r="LP66" t="s">
        <v>2908</v>
      </c>
      <c r="LQ66" t="s">
        <v>733</v>
      </c>
      <c r="LR66" t="s">
        <v>2653</v>
      </c>
      <c r="LS66" t="s">
        <v>746</v>
      </c>
      <c r="LT66" t="s">
        <v>1644</v>
      </c>
      <c r="LU66" t="s">
        <v>746</v>
      </c>
      <c r="LV66" t="s">
        <v>2909</v>
      </c>
      <c r="LW66" t="s">
        <v>746</v>
      </c>
      <c r="LX66" t="s">
        <v>1644</v>
      </c>
      <c r="LY66" t="s">
        <v>746</v>
      </c>
      <c r="LZ66" t="s">
        <v>2909</v>
      </c>
      <c r="MA66" t="s">
        <v>746</v>
      </c>
      <c r="MB66" t="s">
        <v>1644</v>
      </c>
      <c r="MC66" t="s">
        <v>746</v>
      </c>
      <c r="MD66" t="s">
        <v>2909</v>
      </c>
      <c r="ME66" t="s">
        <v>746</v>
      </c>
      <c r="MF66" t="s">
        <v>2910</v>
      </c>
      <c r="MG66" t="s">
        <v>746</v>
      </c>
      <c r="MH66" t="s">
        <v>2909</v>
      </c>
      <c r="MI66" t="s">
        <v>746</v>
      </c>
      <c r="MJ66" t="s">
        <v>2720</v>
      </c>
      <c r="MK66" t="s">
        <v>746</v>
      </c>
      <c r="ML66" t="s">
        <v>2140</v>
      </c>
      <c r="MM66" t="s">
        <v>70</v>
      </c>
      <c r="MO66" t="s">
        <v>783</v>
      </c>
      <c r="MP66" t="s">
        <v>784</v>
      </c>
      <c r="MQ66" t="s">
        <v>783</v>
      </c>
      <c r="MR66" t="s">
        <v>783</v>
      </c>
      <c r="MS66" t="s">
        <v>783</v>
      </c>
      <c r="MT66" t="s">
        <v>783</v>
      </c>
      <c r="MU66" t="s">
        <v>783</v>
      </c>
      <c r="MV66" t="s">
        <v>783</v>
      </c>
      <c r="MW66" t="s">
        <v>783</v>
      </c>
      <c r="MX66" t="s">
        <v>783</v>
      </c>
      <c r="MZ66" t="s">
        <v>783</v>
      </c>
      <c r="NA66" t="s">
        <v>783</v>
      </c>
      <c r="NB66" t="s">
        <v>783</v>
      </c>
      <c r="NC66" t="s">
        <v>783</v>
      </c>
      <c r="ND66" t="s">
        <v>907</v>
      </c>
      <c r="NE66" t="s">
        <v>784</v>
      </c>
      <c r="NF66" t="s">
        <v>784</v>
      </c>
      <c r="NG66" t="s">
        <v>783</v>
      </c>
      <c r="NH66" t="s">
        <v>783</v>
      </c>
      <c r="NI66" t="s">
        <v>783</v>
      </c>
      <c r="NJ66" t="s">
        <v>783</v>
      </c>
      <c r="NK66" t="s">
        <v>907</v>
      </c>
      <c r="NL66" t="s">
        <v>907</v>
      </c>
      <c r="NM66" t="s">
        <v>783</v>
      </c>
      <c r="NN66" t="s">
        <v>784</v>
      </c>
      <c r="NO66" t="s">
        <v>784</v>
      </c>
      <c r="NP66" t="s">
        <v>783</v>
      </c>
      <c r="NQ66" t="s">
        <v>783</v>
      </c>
      <c r="NR66" t="s">
        <v>783</v>
      </c>
      <c r="NS66" t="s">
        <v>784</v>
      </c>
      <c r="NT66" t="s">
        <v>784</v>
      </c>
      <c r="NU66" t="s">
        <v>783</v>
      </c>
      <c r="NV66" t="s">
        <v>784</v>
      </c>
      <c r="NW66" t="s">
        <v>784</v>
      </c>
      <c r="NX66" t="s">
        <v>783</v>
      </c>
      <c r="NY66" t="s">
        <v>784</v>
      </c>
      <c r="NZ66" t="s">
        <v>783</v>
      </c>
      <c r="OA66" t="s">
        <v>783</v>
      </c>
      <c r="OB66" t="s">
        <v>784</v>
      </c>
      <c r="OC66" t="s">
        <v>783</v>
      </c>
      <c r="OD66" t="s">
        <v>783</v>
      </c>
      <c r="OE66" t="s">
        <v>783</v>
      </c>
      <c r="OF66" t="s">
        <v>783</v>
      </c>
      <c r="OG66" t="s">
        <v>783</v>
      </c>
      <c r="OH66" t="s">
        <v>783</v>
      </c>
      <c r="OI66" t="s">
        <v>783</v>
      </c>
      <c r="OJ66" t="s">
        <v>783</v>
      </c>
    </row>
    <row r="67" spans="1:400" x14ac:dyDescent="0.25">
      <c r="A67">
        <v>61</v>
      </c>
      <c r="B67" t="s">
        <v>2911</v>
      </c>
      <c r="C67" t="s">
        <v>415</v>
      </c>
      <c r="D67" t="s">
        <v>97</v>
      </c>
      <c r="E67">
        <v>63</v>
      </c>
      <c r="F67" t="s">
        <v>294</v>
      </c>
      <c r="G67" t="s">
        <v>76</v>
      </c>
      <c r="H67" t="s">
        <v>250</v>
      </c>
      <c r="I67" t="s">
        <v>61</v>
      </c>
      <c r="J67" t="s">
        <v>62</v>
      </c>
      <c r="K67" t="s">
        <v>63</v>
      </c>
      <c r="M67" t="s">
        <v>309</v>
      </c>
      <c r="N67" t="s">
        <v>70</v>
      </c>
      <c r="O67">
        <v>3</v>
      </c>
      <c r="P67" s="1">
        <v>8000</v>
      </c>
      <c r="Q67" s="1">
        <v>0</v>
      </c>
      <c r="R67" t="s">
        <v>416</v>
      </c>
      <c r="S67" s="7">
        <v>8000</v>
      </c>
      <c r="T67" t="s">
        <v>70</v>
      </c>
      <c r="U67" s="5">
        <v>0</v>
      </c>
      <c r="V67" s="3" t="s">
        <v>70</v>
      </c>
      <c r="W67" s="5">
        <v>0</v>
      </c>
      <c r="X67" t="s">
        <v>94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P67" t="s">
        <v>63</v>
      </c>
      <c r="AR67">
        <v>1</v>
      </c>
      <c r="AS67" s="2">
        <v>6.25E-2</v>
      </c>
      <c r="AT67" t="s">
        <v>531</v>
      </c>
      <c r="AU67">
        <v>0</v>
      </c>
      <c r="AV67">
        <v>0</v>
      </c>
      <c r="AW67">
        <v>1</v>
      </c>
      <c r="AX67">
        <v>0</v>
      </c>
      <c r="AY67">
        <v>0</v>
      </c>
      <c r="AZ67" t="s">
        <v>585</v>
      </c>
      <c r="BA67" t="s">
        <v>511</v>
      </c>
      <c r="BC67" t="s">
        <v>512</v>
      </c>
      <c r="BD67" t="s">
        <v>507</v>
      </c>
      <c r="BE67">
        <v>1983</v>
      </c>
      <c r="BF67">
        <v>40</v>
      </c>
      <c r="BG67" t="s">
        <v>508</v>
      </c>
      <c r="BH67">
        <v>1</v>
      </c>
      <c r="BI67">
        <v>0</v>
      </c>
      <c r="BJ67">
        <v>0</v>
      </c>
      <c r="BK67">
        <v>0</v>
      </c>
      <c r="BL67">
        <v>0</v>
      </c>
      <c r="BM67" t="s">
        <v>84</v>
      </c>
      <c r="BN67" t="s">
        <v>84</v>
      </c>
      <c r="CM67" t="s">
        <v>785</v>
      </c>
      <c r="CN67" t="s">
        <v>84</v>
      </c>
      <c r="CO67" t="s">
        <v>84</v>
      </c>
      <c r="CZ67" s="26"/>
      <c r="DA67" s="27"/>
      <c r="DB67" t="s">
        <v>976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J67" t="s">
        <v>84</v>
      </c>
      <c r="DK67" s="35"/>
      <c r="DL67" s="37"/>
      <c r="FI67" t="s">
        <v>736</v>
      </c>
      <c r="FJ67" t="s">
        <v>2825</v>
      </c>
      <c r="FK67" t="s">
        <v>736</v>
      </c>
      <c r="FL67" t="s">
        <v>2825</v>
      </c>
      <c r="FM67" t="s">
        <v>736</v>
      </c>
      <c r="FN67" t="s">
        <v>2825</v>
      </c>
      <c r="FO67" t="s">
        <v>736</v>
      </c>
      <c r="FP67" t="s">
        <v>2825</v>
      </c>
      <c r="FQ67" t="s">
        <v>736</v>
      </c>
      <c r="FR67" t="s">
        <v>2825</v>
      </c>
      <c r="FS67" t="s">
        <v>736</v>
      </c>
      <c r="FT67" t="s">
        <v>2825</v>
      </c>
      <c r="FU67" t="s">
        <v>736</v>
      </c>
      <c r="FV67" t="s">
        <v>2825</v>
      </c>
      <c r="FW67" t="s">
        <v>736</v>
      </c>
      <c r="FX67" t="s">
        <v>2825</v>
      </c>
      <c r="FY67" t="s">
        <v>736</v>
      </c>
      <c r="FZ67" t="s">
        <v>2825</v>
      </c>
      <c r="GA67" t="s">
        <v>736</v>
      </c>
      <c r="GB67" t="s">
        <v>2825</v>
      </c>
      <c r="GC67" t="s">
        <v>736</v>
      </c>
      <c r="GD67" t="s">
        <v>2825</v>
      </c>
      <c r="GE67" t="s">
        <v>736</v>
      </c>
      <c r="GF67" t="s">
        <v>2825</v>
      </c>
      <c r="GG67" t="s">
        <v>736</v>
      </c>
      <c r="GH67" t="s">
        <v>2825</v>
      </c>
      <c r="GI67" t="s">
        <v>736</v>
      </c>
      <c r="GJ67" t="s">
        <v>2825</v>
      </c>
      <c r="GK67" t="s">
        <v>736</v>
      </c>
      <c r="GL67" t="s">
        <v>2825</v>
      </c>
      <c r="GM67" t="s">
        <v>736</v>
      </c>
      <c r="GN67" t="s">
        <v>2825</v>
      </c>
      <c r="GO67" t="s">
        <v>736</v>
      </c>
      <c r="GP67" t="s">
        <v>2825</v>
      </c>
      <c r="GQ67" t="s">
        <v>736</v>
      </c>
      <c r="GR67" t="s">
        <v>2825</v>
      </c>
      <c r="GS67" t="s">
        <v>736</v>
      </c>
      <c r="GT67" t="s">
        <v>2825</v>
      </c>
      <c r="GU67" t="s">
        <v>736</v>
      </c>
      <c r="GV67" t="s">
        <v>2825</v>
      </c>
      <c r="GW67" t="s">
        <v>736</v>
      </c>
      <c r="GX67" t="s">
        <v>2825</v>
      </c>
      <c r="GY67" t="s">
        <v>736</v>
      </c>
      <c r="GZ67" t="s">
        <v>2825</v>
      </c>
      <c r="HA67" t="s">
        <v>736</v>
      </c>
      <c r="HB67" t="s">
        <v>2825</v>
      </c>
      <c r="HC67" t="s">
        <v>736</v>
      </c>
      <c r="HD67" t="s">
        <v>2825</v>
      </c>
      <c r="HE67" t="s">
        <v>798</v>
      </c>
      <c r="HF67" t="s">
        <v>2825</v>
      </c>
      <c r="HG67" t="s">
        <v>736</v>
      </c>
      <c r="HH67" t="s">
        <v>2825</v>
      </c>
      <c r="HI67" t="s">
        <v>736</v>
      </c>
      <c r="HJ67" t="s">
        <v>2825</v>
      </c>
      <c r="HL67" t="s">
        <v>938</v>
      </c>
      <c r="HN67" t="s">
        <v>938</v>
      </c>
      <c r="HP67" t="s">
        <v>938</v>
      </c>
      <c r="HR67" t="s">
        <v>938</v>
      </c>
      <c r="HS67" t="s">
        <v>736</v>
      </c>
      <c r="HT67" t="s">
        <v>2825</v>
      </c>
      <c r="HU67" t="s">
        <v>736</v>
      </c>
      <c r="HV67" t="s">
        <v>2825</v>
      </c>
      <c r="HW67" t="s">
        <v>736</v>
      </c>
      <c r="HX67" t="s">
        <v>2825</v>
      </c>
      <c r="HY67" t="s">
        <v>736</v>
      </c>
      <c r="HZ67" t="s">
        <v>2825</v>
      </c>
      <c r="IA67" t="s">
        <v>736</v>
      </c>
      <c r="IB67" t="s">
        <v>2825</v>
      </c>
      <c r="IC67" t="s">
        <v>736</v>
      </c>
      <c r="ID67" t="s">
        <v>2825</v>
      </c>
      <c r="IE67" t="s">
        <v>736</v>
      </c>
      <c r="IF67" t="s">
        <v>2825</v>
      </c>
      <c r="IG67" t="s">
        <v>736</v>
      </c>
      <c r="IH67" t="s">
        <v>2825</v>
      </c>
      <c r="II67" t="s">
        <v>736</v>
      </c>
      <c r="IJ67" t="s">
        <v>2825</v>
      </c>
      <c r="IK67" t="s">
        <v>736</v>
      </c>
      <c r="IL67" t="s">
        <v>2825</v>
      </c>
      <c r="IM67" t="s">
        <v>736</v>
      </c>
      <c r="IN67" t="s">
        <v>2825</v>
      </c>
      <c r="IO67" t="s">
        <v>736</v>
      </c>
      <c r="IP67" t="s">
        <v>2825</v>
      </c>
      <c r="IQ67" t="s">
        <v>736</v>
      </c>
      <c r="IR67" t="s">
        <v>2825</v>
      </c>
      <c r="IS67" t="s">
        <v>736</v>
      </c>
      <c r="IT67" t="s">
        <v>2825</v>
      </c>
      <c r="IU67" t="s">
        <v>736</v>
      </c>
      <c r="IV67" t="s">
        <v>2825</v>
      </c>
      <c r="IW67" t="s">
        <v>736</v>
      </c>
      <c r="IX67" t="s">
        <v>2825</v>
      </c>
      <c r="IY67" t="s">
        <v>736</v>
      </c>
      <c r="IZ67" t="s">
        <v>2825</v>
      </c>
      <c r="JA67" t="s">
        <v>736</v>
      </c>
      <c r="JB67" t="s">
        <v>2825</v>
      </c>
      <c r="JC67" t="s">
        <v>736</v>
      </c>
      <c r="JD67" t="s">
        <v>2825</v>
      </c>
      <c r="JE67" t="s">
        <v>736</v>
      </c>
      <c r="JF67" t="s">
        <v>2825</v>
      </c>
      <c r="JH67" t="s">
        <v>938</v>
      </c>
      <c r="JJ67" t="s">
        <v>938</v>
      </c>
      <c r="JL67" t="s">
        <v>938</v>
      </c>
      <c r="JN67" t="s">
        <v>938</v>
      </c>
      <c r="JP67" t="s">
        <v>938</v>
      </c>
      <c r="JR67" t="s">
        <v>938</v>
      </c>
      <c r="JS67" t="s">
        <v>736</v>
      </c>
      <c r="JT67" t="s">
        <v>2825</v>
      </c>
      <c r="JU67" t="s">
        <v>736</v>
      </c>
      <c r="JV67" t="s">
        <v>2825</v>
      </c>
      <c r="JW67" t="s">
        <v>736</v>
      </c>
      <c r="JX67" t="s">
        <v>2825</v>
      </c>
      <c r="JY67" t="s">
        <v>736</v>
      </c>
      <c r="JZ67" t="s">
        <v>2825</v>
      </c>
      <c r="KB67" t="s">
        <v>938</v>
      </c>
      <c r="KD67" t="s">
        <v>938</v>
      </c>
      <c r="KE67" t="s">
        <v>736</v>
      </c>
      <c r="KF67" t="s">
        <v>2825</v>
      </c>
      <c r="KG67" t="s">
        <v>736</v>
      </c>
      <c r="KH67" t="s">
        <v>2825</v>
      </c>
      <c r="KI67" t="s">
        <v>736</v>
      </c>
      <c r="KJ67" t="s">
        <v>2825</v>
      </c>
      <c r="KK67" t="s">
        <v>736</v>
      </c>
      <c r="KL67" t="s">
        <v>2825</v>
      </c>
      <c r="KM67" t="s">
        <v>736</v>
      </c>
      <c r="KN67" t="s">
        <v>2825</v>
      </c>
      <c r="KO67" t="s">
        <v>736</v>
      </c>
      <c r="KP67" t="s">
        <v>2825</v>
      </c>
      <c r="KQ67" t="s">
        <v>736</v>
      </c>
      <c r="KR67" t="s">
        <v>2825</v>
      </c>
      <c r="KS67" t="s">
        <v>736</v>
      </c>
      <c r="KT67" t="s">
        <v>2825</v>
      </c>
      <c r="KU67" t="s">
        <v>736</v>
      </c>
      <c r="KV67" t="s">
        <v>2825</v>
      </c>
      <c r="KW67" t="s">
        <v>736</v>
      </c>
      <c r="KX67" t="s">
        <v>2825</v>
      </c>
      <c r="KY67" t="s">
        <v>736</v>
      </c>
      <c r="KZ67" t="s">
        <v>2825</v>
      </c>
      <c r="LA67" t="s">
        <v>736</v>
      </c>
      <c r="LB67" t="s">
        <v>2825</v>
      </c>
      <c r="LC67" t="s">
        <v>736</v>
      </c>
      <c r="LD67" t="s">
        <v>2825</v>
      </c>
      <c r="LE67" t="s">
        <v>736</v>
      </c>
      <c r="LF67" t="s">
        <v>2825</v>
      </c>
      <c r="LG67" t="s">
        <v>736</v>
      </c>
      <c r="LH67" t="s">
        <v>2825</v>
      </c>
      <c r="LI67" t="s">
        <v>736</v>
      </c>
      <c r="LJ67" t="s">
        <v>2825</v>
      </c>
      <c r="LK67" t="s">
        <v>736</v>
      </c>
      <c r="LL67" t="s">
        <v>2825</v>
      </c>
      <c r="LM67" t="s">
        <v>736</v>
      </c>
      <c r="LN67" t="s">
        <v>2825</v>
      </c>
      <c r="LO67" t="s">
        <v>736</v>
      </c>
      <c r="LP67" t="s">
        <v>2825</v>
      </c>
      <c r="LQ67" t="s">
        <v>736</v>
      </c>
      <c r="LR67" t="s">
        <v>2825</v>
      </c>
      <c r="LS67" t="s">
        <v>736</v>
      </c>
      <c r="LT67" t="s">
        <v>2825</v>
      </c>
      <c r="LU67" t="s">
        <v>736</v>
      </c>
      <c r="LV67" t="s">
        <v>2825</v>
      </c>
      <c r="LW67" t="s">
        <v>736</v>
      </c>
      <c r="LX67" t="s">
        <v>2825</v>
      </c>
      <c r="LY67" t="s">
        <v>736</v>
      </c>
      <c r="LZ67" t="s">
        <v>2825</v>
      </c>
      <c r="MA67" t="s">
        <v>736</v>
      </c>
      <c r="MB67" t="s">
        <v>2825</v>
      </c>
      <c r="MC67" t="s">
        <v>736</v>
      </c>
      <c r="MD67" t="s">
        <v>2825</v>
      </c>
      <c r="ME67" t="s">
        <v>736</v>
      </c>
      <c r="MF67" t="s">
        <v>2825</v>
      </c>
      <c r="MG67" t="s">
        <v>736</v>
      </c>
      <c r="MH67" t="s">
        <v>2825</v>
      </c>
      <c r="MI67" t="s">
        <v>736</v>
      </c>
      <c r="MJ67" t="s">
        <v>2825</v>
      </c>
      <c r="MK67" t="s">
        <v>736</v>
      </c>
      <c r="ML67" t="s">
        <v>2825</v>
      </c>
      <c r="MM67" t="s">
        <v>70</v>
      </c>
      <c r="MO67" t="s">
        <v>783</v>
      </c>
      <c r="MP67" t="s">
        <v>784</v>
      </c>
      <c r="MQ67" t="s">
        <v>783</v>
      </c>
      <c r="MR67" t="s">
        <v>783</v>
      </c>
      <c r="MS67" t="s">
        <v>783</v>
      </c>
      <c r="MT67" t="s">
        <v>783</v>
      </c>
      <c r="MU67" t="s">
        <v>783</v>
      </c>
      <c r="MV67" t="s">
        <v>783</v>
      </c>
      <c r="MW67" t="s">
        <v>783</v>
      </c>
      <c r="MX67" t="s">
        <v>783</v>
      </c>
      <c r="MZ67" t="s">
        <v>783</v>
      </c>
      <c r="NA67" t="s">
        <v>783</v>
      </c>
      <c r="NB67" t="s">
        <v>783</v>
      </c>
      <c r="NC67" t="s">
        <v>783</v>
      </c>
      <c r="ND67" t="s">
        <v>783</v>
      </c>
      <c r="NE67" t="s">
        <v>784</v>
      </c>
      <c r="NF67" t="s">
        <v>783</v>
      </c>
      <c r="NG67" t="s">
        <v>784</v>
      </c>
      <c r="NH67" t="s">
        <v>783</v>
      </c>
      <c r="NI67" t="s">
        <v>783</v>
      </c>
      <c r="NJ67" t="s">
        <v>783</v>
      </c>
      <c r="NK67" t="s">
        <v>783</v>
      </c>
      <c r="NL67" t="s">
        <v>784</v>
      </c>
      <c r="NM67" t="s">
        <v>783</v>
      </c>
      <c r="NN67" t="s">
        <v>784</v>
      </c>
      <c r="NO67" t="s">
        <v>784</v>
      </c>
      <c r="NP67" t="s">
        <v>783</v>
      </c>
      <c r="NQ67" t="s">
        <v>783</v>
      </c>
      <c r="NR67" t="s">
        <v>783</v>
      </c>
      <c r="NS67" t="s">
        <v>783</v>
      </c>
      <c r="NT67" t="s">
        <v>784</v>
      </c>
      <c r="NU67" t="s">
        <v>783</v>
      </c>
      <c r="NV67" t="s">
        <v>784</v>
      </c>
      <c r="NW67" t="s">
        <v>784</v>
      </c>
      <c r="NX67" t="s">
        <v>783</v>
      </c>
      <c r="NY67" t="s">
        <v>784</v>
      </c>
      <c r="NZ67" t="s">
        <v>783</v>
      </c>
      <c r="OA67" t="s">
        <v>783</v>
      </c>
      <c r="OB67" t="s">
        <v>784</v>
      </c>
      <c r="OC67" t="s">
        <v>784</v>
      </c>
      <c r="OD67" t="s">
        <v>783</v>
      </c>
      <c r="OE67" t="s">
        <v>783</v>
      </c>
      <c r="OF67" t="s">
        <v>783</v>
      </c>
      <c r="OG67" t="s">
        <v>783</v>
      </c>
      <c r="OH67" t="s">
        <v>783</v>
      </c>
      <c r="OI67" t="s">
        <v>783</v>
      </c>
      <c r="OJ67" t="s">
        <v>783</v>
      </c>
    </row>
    <row r="68" spans="1:400" x14ac:dyDescent="0.25">
      <c r="A68">
        <v>62</v>
      </c>
      <c r="B68" t="s">
        <v>293</v>
      </c>
      <c r="C68" t="s">
        <v>70</v>
      </c>
      <c r="D68" t="s">
        <v>97</v>
      </c>
      <c r="E68">
        <v>67</v>
      </c>
      <c r="F68" t="s">
        <v>294</v>
      </c>
      <c r="G68" t="s">
        <v>59</v>
      </c>
      <c r="H68" t="s">
        <v>60</v>
      </c>
      <c r="I68" t="s">
        <v>61</v>
      </c>
      <c r="J68" t="s">
        <v>62</v>
      </c>
      <c r="K68" t="s">
        <v>63</v>
      </c>
      <c r="M68" t="s">
        <v>295</v>
      </c>
      <c r="N68" t="s">
        <v>70</v>
      </c>
      <c r="O68">
        <v>4</v>
      </c>
      <c r="P68" s="1">
        <v>5000</v>
      </c>
      <c r="Q68" s="1">
        <v>0</v>
      </c>
      <c r="R68" t="s">
        <v>316</v>
      </c>
      <c r="S68" s="7">
        <v>5000</v>
      </c>
      <c r="T68" t="s">
        <v>81</v>
      </c>
      <c r="U68" s="5">
        <v>5000</v>
      </c>
      <c r="V68" s="3" t="s">
        <v>70</v>
      </c>
      <c r="W68" s="5">
        <v>0</v>
      </c>
      <c r="X68" t="s">
        <v>94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 t="s">
        <v>63</v>
      </c>
      <c r="AR68">
        <v>1</v>
      </c>
      <c r="AS68" s="2">
        <v>0.125</v>
      </c>
      <c r="AT68" t="s">
        <v>531</v>
      </c>
      <c r="AU68">
        <v>0</v>
      </c>
      <c r="AV68">
        <v>0</v>
      </c>
      <c r="AW68">
        <v>1</v>
      </c>
      <c r="AX68">
        <v>0</v>
      </c>
      <c r="AY68">
        <v>0</v>
      </c>
      <c r="AZ68" t="s">
        <v>566</v>
      </c>
      <c r="BA68" t="s">
        <v>511</v>
      </c>
      <c r="BB68" t="s">
        <v>521</v>
      </c>
      <c r="BD68" t="s">
        <v>521</v>
      </c>
      <c r="BE68">
        <v>2015</v>
      </c>
      <c r="BF68">
        <v>8</v>
      </c>
      <c r="BG68" t="s">
        <v>508</v>
      </c>
      <c r="BH68">
        <v>1</v>
      </c>
      <c r="BI68">
        <v>0</v>
      </c>
      <c r="BJ68">
        <v>0</v>
      </c>
      <c r="BK68">
        <v>0</v>
      </c>
      <c r="BL68">
        <v>0</v>
      </c>
      <c r="BM68" t="s">
        <v>84</v>
      </c>
      <c r="BN68" t="s">
        <v>84</v>
      </c>
      <c r="CM68" t="s">
        <v>785</v>
      </c>
      <c r="CN68" t="s">
        <v>84</v>
      </c>
      <c r="CO68" t="s">
        <v>84</v>
      </c>
      <c r="CZ68" s="26"/>
      <c r="DA68" s="27"/>
      <c r="DB68" t="s">
        <v>976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J68" t="s">
        <v>84</v>
      </c>
      <c r="DK68" s="35"/>
      <c r="DL68" s="37"/>
      <c r="FI68" t="s">
        <v>736</v>
      </c>
      <c r="FJ68" t="s">
        <v>2825</v>
      </c>
      <c r="FK68" t="s">
        <v>736</v>
      </c>
      <c r="FL68" t="s">
        <v>2825</v>
      </c>
      <c r="FM68" t="s">
        <v>736</v>
      </c>
      <c r="FN68" t="s">
        <v>2825</v>
      </c>
      <c r="FO68" t="s">
        <v>736</v>
      </c>
      <c r="FP68" t="s">
        <v>2825</v>
      </c>
      <c r="FQ68" t="s">
        <v>736</v>
      </c>
      <c r="FR68" t="s">
        <v>2825</v>
      </c>
      <c r="FS68" t="s">
        <v>736</v>
      </c>
      <c r="FT68" t="s">
        <v>2825</v>
      </c>
      <c r="FU68" t="s">
        <v>736</v>
      </c>
      <c r="FV68" t="s">
        <v>2825</v>
      </c>
      <c r="FW68" t="s">
        <v>736</v>
      </c>
      <c r="FX68" t="s">
        <v>2825</v>
      </c>
      <c r="FY68" t="s">
        <v>736</v>
      </c>
      <c r="FZ68" t="s">
        <v>2825</v>
      </c>
      <c r="GA68" t="s">
        <v>736</v>
      </c>
      <c r="GB68" t="s">
        <v>2825</v>
      </c>
      <c r="GC68" t="s">
        <v>736</v>
      </c>
      <c r="GD68" t="s">
        <v>2825</v>
      </c>
      <c r="GE68" t="s">
        <v>736</v>
      </c>
      <c r="GF68" t="s">
        <v>2825</v>
      </c>
      <c r="GG68" t="s">
        <v>736</v>
      </c>
      <c r="GH68" t="s">
        <v>2825</v>
      </c>
      <c r="GI68" t="s">
        <v>736</v>
      </c>
      <c r="GJ68" t="s">
        <v>2825</v>
      </c>
      <c r="GL68" t="s">
        <v>938</v>
      </c>
      <c r="GN68" t="s">
        <v>938</v>
      </c>
      <c r="GO68" t="s">
        <v>736</v>
      </c>
      <c r="GP68" t="s">
        <v>2825</v>
      </c>
      <c r="GQ68" t="s">
        <v>736</v>
      </c>
      <c r="GR68" t="s">
        <v>2825</v>
      </c>
      <c r="GS68" t="s">
        <v>736</v>
      </c>
      <c r="GT68" t="s">
        <v>2825</v>
      </c>
      <c r="GU68" t="s">
        <v>736</v>
      </c>
      <c r="GV68" t="s">
        <v>2825</v>
      </c>
      <c r="GW68" t="s">
        <v>736</v>
      </c>
      <c r="GX68" t="s">
        <v>2825</v>
      </c>
      <c r="GY68" t="s">
        <v>736</v>
      </c>
      <c r="GZ68" t="s">
        <v>2825</v>
      </c>
      <c r="HA68" t="s">
        <v>736</v>
      </c>
      <c r="HB68" t="s">
        <v>2825</v>
      </c>
      <c r="HC68" t="s">
        <v>736</v>
      </c>
      <c r="HD68" t="s">
        <v>2825</v>
      </c>
      <c r="HE68" t="s">
        <v>798</v>
      </c>
      <c r="HF68" t="s">
        <v>2825</v>
      </c>
      <c r="HG68" t="s">
        <v>736</v>
      </c>
      <c r="HH68" t="s">
        <v>2825</v>
      </c>
      <c r="HI68" t="s">
        <v>736</v>
      </c>
      <c r="HJ68" t="s">
        <v>2825</v>
      </c>
      <c r="HL68" t="s">
        <v>938</v>
      </c>
      <c r="HN68" t="s">
        <v>938</v>
      </c>
      <c r="HP68" t="s">
        <v>938</v>
      </c>
      <c r="HR68" t="s">
        <v>938</v>
      </c>
      <c r="HS68" t="s">
        <v>736</v>
      </c>
      <c r="HT68" t="s">
        <v>2825</v>
      </c>
      <c r="HU68" t="s">
        <v>736</v>
      </c>
      <c r="HV68" t="s">
        <v>2825</v>
      </c>
      <c r="HW68" t="s">
        <v>736</v>
      </c>
      <c r="HX68" t="s">
        <v>2825</v>
      </c>
      <c r="HY68" t="s">
        <v>736</v>
      </c>
      <c r="HZ68" t="s">
        <v>2825</v>
      </c>
      <c r="IA68" t="s">
        <v>736</v>
      </c>
      <c r="IB68" t="s">
        <v>2825</v>
      </c>
      <c r="IC68" t="s">
        <v>736</v>
      </c>
      <c r="ID68" t="s">
        <v>2825</v>
      </c>
      <c r="IF68" t="s">
        <v>938</v>
      </c>
      <c r="IH68" t="s">
        <v>938</v>
      </c>
      <c r="II68" t="s">
        <v>736</v>
      </c>
      <c r="IJ68" t="s">
        <v>2825</v>
      </c>
      <c r="IK68" t="s">
        <v>736</v>
      </c>
      <c r="IL68" t="s">
        <v>2825</v>
      </c>
      <c r="IM68" t="s">
        <v>736</v>
      </c>
      <c r="IN68" t="s">
        <v>2825</v>
      </c>
      <c r="IO68" t="s">
        <v>736</v>
      </c>
      <c r="IP68" t="s">
        <v>2825</v>
      </c>
      <c r="IQ68" t="s">
        <v>736</v>
      </c>
      <c r="IR68" t="s">
        <v>2825</v>
      </c>
      <c r="IS68" t="s">
        <v>736</v>
      </c>
      <c r="IT68" t="s">
        <v>2825</v>
      </c>
      <c r="IU68" t="s">
        <v>736</v>
      </c>
      <c r="IV68" t="s">
        <v>2825</v>
      </c>
      <c r="IW68" t="s">
        <v>736</v>
      </c>
      <c r="IX68" t="s">
        <v>2825</v>
      </c>
      <c r="IY68" t="s">
        <v>736</v>
      </c>
      <c r="IZ68" t="s">
        <v>2825</v>
      </c>
      <c r="JA68" t="s">
        <v>736</v>
      </c>
      <c r="JB68" t="s">
        <v>2825</v>
      </c>
      <c r="JC68" t="s">
        <v>736</v>
      </c>
      <c r="JD68" t="s">
        <v>2825</v>
      </c>
      <c r="JE68" t="s">
        <v>736</v>
      </c>
      <c r="JF68" t="s">
        <v>2825</v>
      </c>
      <c r="JH68" t="s">
        <v>938</v>
      </c>
      <c r="JJ68" t="s">
        <v>938</v>
      </c>
      <c r="JL68" t="s">
        <v>938</v>
      </c>
      <c r="JN68" t="s">
        <v>938</v>
      </c>
      <c r="JP68" t="s">
        <v>938</v>
      </c>
      <c r="JR68" t="s">
        <v>938</v>
      </c>
      <c r="JS68" t="s">
        <v>736</v>
      </c>
      <c r="JT68" t="s">
        <v>2825</v>
      </c>
      <c r="JU68" t="s">
        <v>736</v>
      </c>
      <c r="JV68" t="s">
        <v>2825</v>
      </c>
      <c r="JW68" t="s">
        <v>736</v>
      </c>
      <c r="JX68" t="s">
        <v>2825</v>
      </c>
      <c r="JY68" t="s">
        <v>736</v>
      </c>
      <c r="JZ68" t="s">
        <v>2825</v>
      </c>
      <c r="KB68" t="s">
        <v>938</v>
      </c>
      <c r="KD68" t="s">
        <v>938</v>
      </c>
      <c r="KE68" t="s">
        <v>736</v>
      </c>
      <c r="KF68" t="s">
        <v>2825</v>
      </c>
      <c r="KG68" t="s">
        <v>736</v>
      </c>
      <c r="KH68" t="s">
        <v>2825</v>
      </c>
      <c r="KI68" t="s">
        <v>736</v>
      </c>
      <c r="KJ68" t="s">
        <v>2825</v>
      </c>
      <c r="KK68" t="s">
        <v>736</v>
      </c>
      <c r="KL68" t="s">
        <v>2825</v>
      </c>
      <c r="KM68" t="s">
        <v>736</v>
      </c>
      <c r="KN68" t="s">
        <v>2825</v>
      </c>
      <c r="KO68" t="s">
        <v>736</v>
      </c>
      <c r="KP68" t="s">
        <v>2825</v>
      </c>
      <c r="KQ68" t="s">
        <v>736</v>
      </c>
      <c r="KR68" t="s">
        <v>2825</v>
      </c>
      <c r="KS68" t="s">
        <v>736</v>
      </c>
      <c r="KT68" t="s">
        <v>2825</v>
      </c>
      <c r="KU68" t="s">
        <v>736</v>
      </c>
      <c r="KV68" t="s">
        <v>2825</v>
      </c>
      <c r="KW68" t="s">
        <v>736</v>
      </c>
      <c r="KX68" t="s">
        <v>2825</v>
      </c>
      <c r="KY68" t="s">
        <v>736</v>
      </c>
      <c r="KZ68" t="s">
        <v>2825</v>
      </c>
      <c r="LA68" t="s">
        <v>736</v>
      </c>
      <c r="LB68" t="s">
        <v>2825</v>
      </c>
      <c r="LC68" t="s">
        <v>736</v>
      </c>
      <c r="LD68" t="s">
        <v>2825</v>
      </c>
      <c r="LE68" t="s">
        <v>736</v>
      </c>
      <c r="LF68" t="s">
        <v>2825</v>
      </c>
      <c r="LG68" t="s">
        <v>736</v>
      </c>
      <c r="LH68" t="s">
        <v>2825</v>
      </c>
      <c r="LI68" t="s">
        <v>736</v>
      </c>
      <c r="LJ68" t="s">
        <v>2825</v>
      </c>
      <c r="LK68" t="s">
        <v>736</v>
      </c>
      <c r="LL68" t="s">
        <v>2825</v>
      </c>
      <c r="LM68" t="s">
        <v>736</v>
      </c>
      <c r="LN68" t="s">
        <v>2825</v>
      </c>
      <c r="LO68" t="s">
        <v>736</v>
      </c>
      <c r="LP68" t="s">
        <v>2825</v>
      </c>
      <c r="LQ68" t="s">
        <v>736</v>
      </c>
      <c r="LR68" t="s">
        <v>2825</v>
      </c>
      <c r="LS68" t="s">
        <v>736</v>
      </c>
      <c r="LT68" t="s">
        <v>2825</v>
      </c>
      <c r="LU68" t="s">
        <v>736</v>
      </c>
      <c r="LV68" t="s">
        <v>2825</v>
      </c>
      <c r="LW68" t="s">
        <v>736</v>
      </c>
      <c r="LX68" t="s">
        <v>2825</v>
      </c>
      <c r="LY68" t="s">
        <v>736</v>
      </c>
      <c r="LZ68" t="s">
        <v>2825</v>
      </c>
      <c r="MA68" t="s">
        <v>736</v>
      </c>
      <c r="MB68" t="s">
        <v>2825</v>
      </c>
      <c r="MC68" t="s">
        <v>736</v>
      </c>
      <c r="MD68" t="s">
        <v>2825</v>
      </c>
      <c r="ME68" t="s">
        <v>736</v>
      </c>
      <c r="MF68" t="s">
        <v>2825</v>
      </c>
      <c r="MG68" t="s">
        <v>736</v>
      </c>
      <c r="MH68" t="s">
        <v>2825</v>
      </c>
      <c r="MI68" t="s">
        <v>736</v>
      </c>
      <c r="MJ68" t="s">
        <v>2825</v>
      </c>
      <c r="MK68" t="s">
        <v>736</v>
      </c>
      <c r="ML68" t="s">
        <v>2825</v>
      </c>
      <c r="MM68" t="s">
        <v>70</v>
      </c>
      <c r="MO68" t="s">
        <v>783</v>
      </c>
      <c r="MP68" t="s">
        <v>783</v>
      </c>
      <c r="MQ68" t="s">
        <v>783</v>
      </c>
      <c r="MR68" t="s">
        <v>783</v>
      </c>
      <c r="MS68" t="s">
        <v>783</v>
      </c>
      <c r="MT68" t="s">
        <v>783</v>
      </c>
      <c r="MU68" t="s">
        <v>783</v>
      </c>
      <c r="MV68" t="s">
        <v>783</v>
      </c>
      <c r="MW68" t="s">
        <v>783</v>
      </c>
      <c r="MX68" t="s">
        <v>783</v>
      </c>
      <c r="MZ68" t="s">
        <v>783</v>
      </c>
      <c r="NA68" t="s">
        <v>783</v>
      </c>
      <c r="NB68" t="s">
        <v>783</v>
      </c>
      <c r="NC68" t="s">
        <v>783</v>
      </c>
      <c r="ND68" t="s">
        <v>784</v>
      </c>
      <c r="NE68" t="s">
        <v>784</v>
      </c>
      <c r="NF68" t="s">
        <v>784</v>
      </c>
      <c r="NG68" t="s">
        <v>783</v>
      </c>
      <c r="NH68" t="s">
        <v>783</v>
      </c>
      <c r="NI68" t="s">
        <v>783</v>
      </c>
      <c r="NJ68" t="s">
        <v>783</v>
      </c>
      <c r="NK68" t="s">
        <v>783</v>
      </c>
      <c r="NL68" t="s">
        <v>783</v>
      </c>
      <c r="NM68" t="s">
        <v>783</v>
      </c>
      <c r="NN68" t="s">
        <v>784</v>
      </c>
      <c r="NO68" t="s">
        <v>784</v>
      </c>
      <c r="NP68" t="s">
        <v>783</v>
      </c>
      <c r="NQ68" t="s">
        <v>783</v>
      </c>
      <c r="NR68" t="s">
        <v>783</v>
      </c>
      <c r="NS68" t="s">
        <v>783</v>
      </c>
      <c r="NT68" t="s">
        <v>784</v>
      </c>
      <c r="NU68" t="s">
        <v>783</v>
      </c>
      <c r="NV68" t="s">
        <v>784</v>
      </c>
      <c r="NW68" t="s">
        <v>784</v>
      </c>
      <c r="NX68" t="s">
        <v>783</v>
      </c>
      <c r="NY68" t="s">
        <v>784</v>
      </c>
      <c r="NZ68" t="s">
        <v>783</v>
      </c>
      <c r="OA68" t="s">
        <v>783</v>
      </c>
      <c r="OB68" t="s">
        <v>784</v>
      </c>
      <c r="OC68" t="s">
        <v>783</v>
      </c>
      <c r="OD68" t="s">
        <v>783</v>
      </c>
      <c r="OE68" t="s">
        <v>783</v>
      </c>
      <c r="OF68" t="s">
        <v>783</v>
      </c>
      <c r="OG68" t="s">
        <v>783</v>
      </c>
      <c r="OH68" t="s">
        <v>783</v>
      </c>
      <c r="OI68" t="s">
        <v>783</v>
      </c>
      <c r="OJ68" t="s">
        <v>783</v>
      </c>
    </row>
    <row r="69" spans="1:400" x14ac:dyDescent="0.25">
      <c r="A69">
        <v>63</v>
      </c>
      <c r="B69" t="s">
        <v>354</v>
      </c>
      <c r="C69" t="s">
        <v>355</v>
      </c>
      <c r="D69" t="s">
        <v>57</v>
      </c>
      <c r="E69">
        <v>40</v>
      </c>
      <c r="F69" t="s">
        <v>58</v>
      </c>
      <c r="G69" t="s">
        <v>76</v>
      </c>
      <c r="H69" t="s">
        <v>60</v>
      </c>
      <c r="I69" t="s">
        <v>113</v>
      </c>
      <c r="J69" t="s">
        <v>62</v>
      </c>
      <c r="K69" t="s">
        <v>63</v>
      </c>
      <c r="M69" t="s">
        <v>146</v>
      </c>
      <c r="N69" t="s">
        <v>70</v>
      </c>
      <c r="O69">
        <v>6</v>
      </c>
      <c r="P69" s="1">
        <v>520000</v>
      </c>
      <c r="Q69" s="1">
        <v>0</v>
      </c>
      <c r="R69" t="s">
        <v>357</v>
      </c>
      <c r="S69" s="7">
        <v>520000</v>
      </c>
      <c r="T69" t="s">
        <v>70</v>
      </c>
      <c r="U69" s="5">
        <v>0</v>
      </c>
      <c r="V69" s="3" t="s">
        <v>70</v>
      </c>
      <c r="W69" s="5">
        <v>0</v>
      </c>
      <c r="X69" t="s">
        <v>73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P69" t="s">
        <v>63</v>
      </c>
      <c r="AR69">
        <v>1</v>
      </c>
      <c r="AS69" s="2">
        <v>1</v>
      </c>
      <c r="AT69" t="s">
        <v>509</v>
      </c>
      <c r="AU69">
        <v>0</v>
      </c>
      <c r="AV69">
        <v>1</v>
      </c>
      <c r="AW69">
        <v>0</v>
      </c>
      <c r="AX69">
        <v>0</v>
      </c>
      <c r="AY69">
        <v>0</v>
      </c>
      <c r="AZ69" t="s">
        <v>576</v>
      </c>
      <c r="BA69" t="s">
        <v>511</v>
      </c>
      <c r="BC69" t="s">
        <v>512</v>
      </c>
      <c r="BD69" t="s">
        <v>513</v>
      </c>
      <c r="BE69">
        <v>2000</v>
      </c>
      <c r="BF69">
        <v>23</v>
      </c>
      <c r="BG69" t="s">
        <v>508</v>
      </c>
      <c r="BH69">
        <v>1</v>
      </c>
      <c r="BI69">
        <v>0</v>
      </c>
      <c r="BJ69">
        <v>0</v>
      </c>
      <c r="BK69">
        <v>0</v>
      </c>
      <c r="BL69">
        <v>0</v>
      </c>
      <c r="BM69" t="s">
        <v>63</v>
      </c>
      <c r="BN69" t="s">
        <v>84</v>
      </c>
      <c r="CM69" t="s">
        <v>785</v>
      </c>
      <c r="CN69" t="s">
        <v>63</v>
      </c>
      <c r="CO69" t="s">
        <v>84</v>
      </c>
      <c r="CZ69" s="26"/>
      <c r="DA69" s="27"/>
      <c r="DB69" t="s">
        <v>976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J69" t="s">
        <v>84</v>
      </c>
      <c r="DK69" s="35"/>
      <c r="DL69" s="37"/>
      <c r="FI69" t="s">
        <v>733</v>
      </c>
      <c r="FJ69" t="s">
        <v>2912</v>
      </c>
      <c r="FK69" t="s">
        <v>733</v>
      </c>
      <c r="FL69" t="s">
        <v>2912</v>
      </c>
      <c r="FM69" t="s">
        <v>733</v>
      </c>
      <c r="FN69" t="s">
        <v>2912</v>
      </c>
      <c r="FO69" t="s">
        <v>733</v>
      </c>
      <c r="FP69" t="s">
        <v>2912</v>
      </c>
      <c r="FQ69" t="s">
        <v>733</v>
      </c>
      <c r="FR69" t="s">
        <v>2912</v>
      </c>
      <c r="FS69" t="s">
        <v>733</v>
      </c>
      <c r="FT69" t="s">
        <v>2912</v>
      </c>
      <c r="FU69" t="s">
        <v>733</v>
      </c>
      <c r="FV69" t="s">
        <v>2912</v>
      </c>
      <c r="FW69" t="s">
        <v>733</v>
      </c>
      <c r="FX69" t="s">
        <v>2912</v>
      </c>
      <c r="FY69" t="s">
        <v>733</v>
      </c>
      <c r="FZ69" t="s">
        <v>2912</v>
      </c>
      <c r="GA69" t="s">
        <v>733</v>
      </c>
      <c r="GB69" t="s">
        <v>2912</v>
      </c>
      <c r="GC69" t="s">
        <v>733</v>
      </c>
      <c r="GD69" t="s">
        <v>2912</v>
      </c>
      <c r="GE69" t="s">
        <v>733</v>
      </c>
      <c r="GF69" t="s">
        <v>2912</v>
      </c>
      <c r="GG69" t="s">
        <v>733</v>
      </c>
      <c r="GH69" t="s">
        <v>2912</v>
      </c>
      <c r="GI69" t="s">
        <v>733</v>
      </c>
      <c r="GJ69" t="s">
        <v>2912</v>
      </c>
      <c r="GK69" t="s">
        <v>733</v>
      </c>
      <c r="GL69" t="s">
        <v>2912</v>
      </c>
      <c r="GM69" t="s">
        <v>733</v>
      </c>
      <c r="GN69" t="s">
        <v>2912</v>
      </c>
      <c r="GO69" t="s">
        <v>733</v>
      </c>
      <c r="GP69" t="s">
        <v>2912</v>
      </c>
      <c r="GQ69" t="s">
        <v>733</v>
      </c>
      <c r="GR69" t="s">
        <v>2912</v>
      </c>
      <c r="GS69" t="s">
        <v>733</v>
      </c>
      <c r="GT69" t="s">
        <v>2912</v>
      </c>
      <c r="GU69" t="s">
        <v>733</v>
      </c>
      <c r="GV69" t="s">
        <v>2912</v>
      </c>
      <c r="GW69" t="s">
        <v>733</v>
      </c>
      <c r="GX69" t="s">
        <v>2913</v>
      </c>
      <c r="GY69" t="s">
        <v>743</v>
      </c>
      <c r="GZ69" t="s">
        <v>2914</v>
      </c>
      <c r="HA69" t="s">
        <v>733</v>
      </c>
      <c r="HB69" t="s">
        <v>2915</v>
      </c>
      <c r="HC69" t="s">
        <v>743</v>
      </c>
      <c r="HD69" t="s">
        <v>2914</v>
      </c>
      <c r="HE69" t="s">
        <v>733</v>
      </c>
      <c r="HF69" t="s">
        <v>2916</v>
      </c>
      <c r="HG69" t="s">
        <v>733</v>
      </c>
      <c r="HH69" t="s">
        <v>2916</v>
      </c>
      <c r="HI69" t="s">
        <v>743</v>
      </c>
      <c r="HJ69" t="s">
        <v>2914</v>
      </c>
      <c r="HK69" t="s">
        <v>733</v>
      </c>
      <c r="HL69" t="s">
        <v>2917</v>
      </c>
      <c r="HM69" t="s">
        <v>743</v>
      </c>
      <c r="HN69" t="s">
        <v>2914</v>
      </c>
      <c r="HO69" t="s">
        <v>733</v>
      </c>
      <c r="HP69" t="s">
        <v>2918</v>
      </c>
      <c r="HQ69" t="s">
        <v>743</v>
      </c>
      <c r="HR69" t="s">
        <v>2919</v>
      </c>
      <c r="HS69" t="s">
        <v>733</v>
      </c>
      <c r="HT69" t="s">
        <v>2920</v>
      </c>
      <c r="HU69" t="s">
        <v>733</v>
      </c>
      <c r="HV69" t="s">
        <v>2921</v>
      </c>
      <c r="HW69" t="s">
        <v>733</v>
      </c>
      <c r="HX69" t="s">
        <v>2912</v>
      </c>
      <c r="HY69" t="s">
        <v>733</v>
      </c>
      <c r="HZ69" t="s">
        <v>2912</v>
      </c>
      <c r="IA69" t="s">
        <v>733</v>
      </c>
      <c r="IB69" t="s">
        <v>2922</v>
      </c>
      <c r="IC69" t="s">
        <v>743</v>
      </c>
      <c r="ID69" t="s">
        <v>2923</v>
      </c>
      <c r="IE69" t="s">
        <v>733</v>
      </c>
      <c r="IF69" t="s">
        <v>2924</v>
      </c>
      <c r="IG69" t="s">
        <v>743</v>
      </c>
      <c r="IH69" t="s">
        <v>2914</v>
      </c>
      <c r="II69" t="s">
        <v>733</v>
      </c>
      <c r="IJ69" t="s">
        <v>2925</v>
      </c>
      <c r="IK69" t="s">
        <v>733</v>
      </c>
      <c r="IL69" t="s">
        <v>2926</v>
      </c>
      <c r="IM69" t="s">
        <v>733</v>
      </c>
      <c r="IN69" t="s">
        <v>2927</v>
      </c>
      <c r="IO69" t="s">
        <v>733</v>
      </c>
      <c r="IP69" t="s">
        <v>1392</v>
      </c>
      <c r="IQ69" t="s">
        <v>733</v>
      </c>
      <c r="IR69" t="s">
        <v>2928</v>
      </c>
      <c r="IS69" t="s">
        <v>733</v>
      </c>
      <c r="IT69" t="s">
        <v>1392</v>
      </c>
      <c r="IU69" t="s">
        <v>733</v>
      </c>
      <c r="IV69" t="s">
        <v>2929</v>
      </c>
      <c r="IW69" t="s">
        <v>743</v>
      </c>
      <c r="IX69" t="s">
        <v>2930</v>
      </c>
      <c r="IY69" t="s">
        <v>733</v>
      </c>
      <c r="IZ69" t="s">
        <v>1422</v>
      </c>
      <c r="JA69" t="s">
        <v>743</v>
      </c>
      <c r="JB69" t="s">
        <v>1392</v>
      </c>
      <c r="JC69" t="s">
        <v>733</v>
      </c>
      <c r="JD69" t="s">
        <v>1422</v>
      </c>
      <c r="JE69" t="s">
        <v>733</v>
      </c>
      <c r="JF69" t="s">
        <v>2931</v>
      </c>
      <c r="JG69" t="s">
        <v>733</v>
      </c>
      <c r="JH69" t="s">
        <v>1997</v>
      </c>
      <c r="JI69" t="s">
        <v>743</v>
      </c>
      <c r="JJ69" t="s">
        <v>2930</v>
      </c>
      <c r="JS69" t="s">
        <v>733</v>
      </c>
      <c r="JT69" t="s">
        <v>2932</v>
      </c>
      <c r="JU69" t="s">
        <v>733</v>
      </c>
      <c r="JV69" t="s">
        <v>2933</v>
      </c>
      <c r="JW69" t="s">
        <v>733</v>
      </c>
      <c r="JX69" t="s">
        <v>1422</v>
      </c>
      <c r="JY69" t="s">
        <v>743</v>
      </c>
      <c r="JZ69" t="s">
        <v>2514</v>
      </c>
      <c r="KA69" t="s">
        <v>733</v>
      </c>
      <c r="KB69" t="s">
        <v>1422</v>
      </c>
      <c r="KC69" t="s">
        <v>743</v>
      </c>
      <c r="KD69" t="s">
        <v>2934</v>
      </c>
      <c r="KE69" t="s">
        <v>733</v>
      </c>
      <c r="KF69" t="s">
        <v>1422</v>
      </c>
      <c r="KG69" t="s">
        <v>743</v>
      </c>
      <c r="KH69" t="s">
        <v>2935</v>
      </c>
      <c r="KI69" t="s">
        <v>733</v>
      </c>
      <c r="KJ69" t="s">
        <v>1422</v>
      </c>
      <c r="KK69" t="s">
        <v>743</v>
      </c>
      <c r="KL69" t="s">
        <v>2935</v>
      </c>
      <c r="KM69" t="s">
        <v>733</v>
      </c>
      <c r="KN69" t="s">
        <v>2936</v>
      </c>
      <c r="KO69" t="s">
        <v>733</v>
      </c>
      <c r="KP69" t="s">
        <v>2937</v>
      </c>
      <c r="KQ69" t="s">
        <v>733</v>
      </c>
      <c r="KR69" t="s">
        <v>1422</v>
      </c>
      <c r="KS69" t="s">
        <v>733</v>
      </c>
      <c r="KT69" t="s">
        <v>2938</v>
      </c>
      <c r="KU69" t="s">
        <v>733</v>
      </c>
      <c r="KV69" t="s">
        <v>2939</v>
      </c>
      <c r="KW69" t="s">
        <v>733</v>
      </c>
      <c r="KX69" t="s">
        <v>1392</v>
      </c>
      <c r="KY69" t="s">
        <v>733</v>
      </c>
      <c r="KZ69" t="s">
        <v>2940</v>
      </c>
      <c r="LA69" t="s">
        <v>733</v>
      </c>
      <c r="LB69" t="s">
        <v>2940</v>
      </c>
      <c r="LC69" t="s">
        <v>733</v>
      </c>
      <c r="LD69" t="s">
        <v>2941</v>
      </c>
      <c r="LE69" t="s">
        <v>733</v>
      </c>
      <c r="LF69" t="s">
        <v>2942</v>
      </c>
      <c r="LG69" t="s">
        <v>733</v>
      </c>
      <c r="LH69" t="s">
        <v>2942</v>
      </c>
      <c r="LI69" t="s">
        <v>733</v>
      </c>
      <c r="LJ69" t="s">
        <v>2943</v>
      </c>
      <c r="LK69" t="s">
        <v>733</v>
      </c>
      <c r="LL69" t="s">
        <v>2944</v>
      </c>
      <c r="LM69" t="s">
        <v>733</v>
      </c>
      <c r="LN69" t="s">
        <v>2945</v>
      </c>
      <c r="LO69" t="s">
        <v>733</v>
      </c>
      <c r="LP69" t="s">
        <v>2940</v>
      </c>
      <c r="LQ69" t="s">
        <v>733</v>
      </c>
      <c r="LR69" t="s">
        <v>2940</v>
      </c>
      <c r="LS69" t="s">
        <v>733</v>
      </c>
      <c r="LT69" t="s">
        <v>2940</v>
      </c>
      <c r="LU69" t="s">
        <v>733</v>
      </c>
      <c r="LV69" t="s">
        <v>2946</v>
      </c>
      <c r="LW69" t="s">
        <v>733</v>
      </c>
      <c r="LX69" t="s">
        <v>1422</v>
      </c>
      <c r="LY69" t="s">
        <v>733</v>
      </c>
      <c r="LZ69" t="s">
        <v>2947</v>
      </c>
      <c r="MA69" t="s">
        <v>733</v>
      </c>
      <c r="MB69" t="s">
        <v>1422</v>
      </c>
      <c r="MC69" t="s">
        <v>733</v>
      </c>
      <c r="MD69" t="s">
        <v>2948</v>
      </c>
      <c r="ME69" t="s">
        <v>733</v>
      </c>
      <c r="MF69" t="s">
        <v>1422</v>
      </c>
      <c r="MG69" t="s">
        <v>733</v>
      </c>
      <c r="MH69" t="s">
        <v>2949</v>
      </c>
      <c r="MI69" t="s">
        <v>733</v>
      </c>
      <c r="MJ69" t="s">
        <v>2950</v>
      </c>
      <c r="MK69" t="s">
        <v>733</v>
      </c>
      <c r="ML69" t="s">
        <v>2940</v>
      </c>
      <c r="MO69" t="s">
        <v>783</v>
      </c>
      <c r="MP69" t="s">
        <v>784</v>
      </c>
      <c r="MQ69" t="s">
        <v>907</v>
      </c>
      <c r="MR69" t="s">
        <v>783</v>
      </c>
      <c r="MS69" t="s">
        <v>783</v>
      </c>
      <c r="MT69" t="s">
        <v>783</v>
      </c>
      <c r="MU69" t="s">
        <v>783</v>
      </c>
      <c r="MV69" t="s">
        <v>907</v>
      </c>
      <c r="MW69" t="s">
        <v>783</v>
      </c>
      <c r="MX69" t="s">
        <v>783</v>
      </c>
      <c r="MZ69" t="s">
        <v>783</v>
      </c>
      <c r="NA69" t="s">
        <v>783</v>
      </c>
      <c r="NB69" t="s">
        <v>784</v>
      </c>
      <c r="NC69" t="s">
        <v>783</v>
      </c>
      <c r="ND69" t="s">
        <v>783</v>
      </c>
      <c r="NE69" t="s">
        <v>784</v>
      </c>
      <c r="NF69" t="s">
        <v>783</v>
      </c>
      <c r="NG69" t="s">
        <v>783</v>
      </c>
      <c r="NH69" t="s">
        <v>907</v>
      </c>
      <c r="NI69" t="s">
        <v>783</v>
      </c>
      <c r="NJ69" t="s">
        <v>783</v>
      </c>
      <c r="NK69" t="s">
        <v>783</v>
      </c>
      <c r="NL69" t="s">
        <v>783</v>
      </c>
      <c r="NM69" t="s">
        <v>783</v>
      </c>
      <c r="NN69" t="s">
        <v>784</v>
      </c>
      <c r="NO69" t="s">
        <v>784</v>
      </c>
      <c r="NP69" t="s">
        <v>907</v>
      </c>
      <c r="NQ69" t="s">
        <v>783</v>
      </c>
      <c r="NR69" t="s">
        <v>783</v>
      </c>
      <c r="NS69" t="s">
        <v>783</v>
      </c>
      <c r="NT69" t="s">
        <v>784</v>
      </c>
      <c r="NU69" t="s">
        <v>783</v>
      </c>
      <c r="NV69" t="s">
        <v>784</v>
      </c>
      <c r="NW69" t="s">
        <v>784</v>
      </c>
      <c r="NX69" t="s">
        <v>783</v>
      </c>
      <c r="NY69" t="s">
        <v>784</v>
      </c>
      <c r="NZ69" t="s">
        <v>784</v>
      </c>
      <c r="OA69" t="s">
        <v>783</v>
      </c>
      <c r="OB69" t="s">
        <v>783</v>
      </c>
      <c r="OC69" t="s">
        <v>784</v>
      </c>
      <c r="OD69" t="s">
        <v>783</v>
      </c>
      <c r="OE69" t="s">
        <v>783</v>
      </c>
      <c r="OF69" t="s">
        <v>783</v>
      </c>
      <c r="OG69" t="s">
        <v>783</v>
      </c>
      <c r="OH69" t="s">
        <v>783</v>
      </c>
      <c r="OI69" t="s">
        <v>783</v>
      </c>
      <c r="OJ69" t="s">
        <v>783</v>
      </c>
    </row>
    <row r="70" spans="1:400" x14ac:dyDescent="0.25">
      <c r="A70">
        <v>64</v>
      </c>
      <c r="B70" t="s">
        <v>344</v>
      </c>
      <c r="C70" t="s">
        <v>345</v>
      </c>
      <c r="D70" t="s">
        <v>57</v>
      </c>
      <c r="E70">
        <v>47</v>
      </c>
      <c r="F70" t="s">
        <v>87</v>
      </c>
      <c r="G70" t="s">
        <v>59</v>
      </c>
      <c r="H70" t="s">
        <v>60</v>
      </c>
      <c r="I70" t="s">
        <v>61</v>
      </c>
      <c r="J70" t="s">
        <v>62</v>
      </c>
      <c r="K70" t="s">
        <v>63</v>
      </c>
      <c r="M70" t="s">
        <v>146</v>
      </c>
      <c r="N70" t="s">
        <v>316</v>
      </c>
      <c r="O70">
        <v>2</v>
      </c>
      <c r="P70" s="1">
        <v>46000</v>
      </c>
      <c r="Q70" s="1">
        <v>0</v>
      </c>
      <c r="R70" t="s">
        <v>347</v>
      </c>
      <c r="S70" s="7">
        <v>40000</v>
      </c>
      <c r="T70" t="s">
        <v>349</v>
      </c>
      <c r="U70" s="5">
        <v>6000</v>
      </c>
      <c r="V70" s="3" t="s">
        <v>70</v>
      </c>
      <c r="W70" s="5">
        <v>0</v>
      </c>
      <c r="X70" t="s">
        <v>94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 t="s">
        <v>84</v>
      </c>
      <c r="AQ70" t="s">
        <v>350</v>
      </c>
      <c r="AR70">
        <v>1</v>
      </c>
      <c r="AS70" s="2">
        <v>0.125</v>
      </c>
      <c r="AT70" t="s">
        <v>503</v>
      </c>
      <c r="AU70">
        <v>0</v>
      </c>
      <c r="AV70">
        <v>0</v>
      </c>
      <c r="AW70">
        <v>0</v>
      </c>
      <c r="AX70">
        <v>1</v>
      </c>
      <c r="AY70">
        <v>0</v>
      </c>
      <c r="AZ70" t="s">
        <v>574</v>
      </c>
      <c r="BA70" t="s">
        <v>511</v>
      </c>
      <c r="BC70" t="s">
        <v>512</v>
      </c>
      <c r="BD70" t="s">
        <v>513</v>
      </c>
      <c r="BE70">
        <v>1991</v>
      </c>
      <c r="BF70">
        <v>32</v>
      </c>
      <c r="BG70" t="s">
        <v>508</v>
      </c>
      <c r="BH70">
        <v>1</v>
      </c>
      <c r="BI70">
        <v>0</v>
      </c>
      <c r="BJ70">
        <v>0</v>
      </c>
      <c r="BK70">
        <v>0</v>
      </c>
      <c r="BL70">
        <v>0</v>
      </c>
      <c r="BM70" t="s">
        <v>84</v>
      </c>
      <c r="BN70" t="s">
        <v>84</v>
      </c>
      <c r="CM70" t="s">
        <v>785</v>
      </c>
      <c r="CN70" t="s">
        <v>63</v>
      </c>
      <c r="CO70" t="s">
        <v>732</v>
      </c>
      <c r="CP70" t="s">
        <v>4032</v>
      </c>
      <c r="CQ70" t="s">
        <v>2996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 t="s">
        <v>4033</v>
      </c>
      <c r="CY70" t="s">
        <v>4034</v>
      </c>
      <c r="CZ70" s="26" t="s">
        <v>4035</v>
      </c>
      <c r="DA70" s="27" t="s">
        <v>4192</v>
      </c>
      <c r="DJ70" t="s">
        <v>84</v>
      </c>
      <c r="DK70" s="35"/>
      <c r="DL70" s="37"/>
      <c r="FI70" t="s">
        <v>733</v>
      </c>
      <c r="FJ70" t="s">
        <v>2948</v>
      </c>
      <c r="FK70" t="s">
        <v>733</v>
      </c>
      <c r="FL70" t="s">
        <v>2948</v>
      </c>
      <c r="FM70" t="s">
        <v>733</v>
      </c>
      <c r="FN70" t="s">
        <v>2948</v>
      </c>
      <c r="FO70" t="s">
        <v>733</v>
      </c>
      <c r="FP70" t="s">
        <v>2948</v>
      </c>
      <c r="FQ70" t="s">
        <v>733</v>
      </c>
      <c r="FR70" t="s">
        <v>2948</v>
      </c>
      <c r="FS70" t="s">
        <v>733</v>
      </c>
      <c r="FT70" t="s">
        <v>2948</v>
      </c>
      <c r="FU70" t="s">
        <v>733</v>
      </c>
      <c r="FV70" t="s">
        <v>2948</v>
      </c>
      <c r="FW70" t="s">
        <v>733</v>
      </c>
      <c r="FX70" t="s">
        <v>2948</v>
      </c>
      <c r="FY70" t="s">
        <v>733</v>
      </c>
      <c r="FZ70" t="s">
        <v>2948</v>
      </c>
      <c r="GA70" t="s">
        <v>733</v>
      </c>
      <c r="GB70" t="s">
        <v>2948</v>
      </c>
      <c r="GC70" t="s">
        <v>733</v>
      </c>
      <c r="GD70" t="s">
        <v>2948</v>
      </c>
      <c r="GE70" t="s">
        <v>733</v>
      </c>
      <c r="GF70" t="s">
        <v>2948</v>
      </c>
      <c r="GG70" t="s">
        <v>733</v>
      </c>
      <c r="GH70" t="s">
        <v>2948</v>
      </c>
      <c r="GI70" t="s">
        <v>733</v>
      </c>
      <c r="GJ70" t="s">
        <v>2948</v>
      </c>
      <c r="GK70" t="s">
        <v>733</v>
      </c>
      <c r="GL70" t="s">
        <v>2948</v>
      </c>
      <c r="GM70" t="s">
        <v>733</v>
      </c>
      <c r="GN70" t="s">
        <v>2948</v>
      </c>
      <c r="GO70" t="s">
        <v>733</v>
      </c>
      <c r="GP70" t="s">
        <v>2948</v>
      </c>
      <c r="GQ70" t="s">
        <v>733</v>
      </c>
      <c r="GR70" t="s">
        <v>2948</v>
      </c>
      <c r="GS70" t="s">
        <v>733</v>
      </c>
      <c r="GT70" t="s">
        <v>2948</v>
      </c>
      <c r="GU70" t="s">
        <v>733</v>
      </c>
      <c r="GV70" t="s">
        <v>2948</v>
      </c>
      <c r="GW70" t="s">
        <v>736</v>
      </c>
      <c r="GX70" t="s">
        <v>2951</v>
      </c>
      <c r="GY70" t="s">
        <v>736</v>
      </c>
      <c r="GZ70" t="s">
        <v>2951</v>
      </c>
      <c r="HA70" t="s">
        <v>736</v>
      </c>
      <c r="HB70" t="s">
        <v>2951</v>
      </c>
      <c r="HC70" t="s">
        <v>736</v>
      </c>
      <c r="HD70" t="s">
        <v>2951</v>
      </c>
      <c r="HE70" t="s">
        <v>798</v>
      </c>
      <c r="HF70" t="s">
        <v>2951</v>
      </c>
      <c r="HG70" t="s">
        <v>736</v>
      </c>
      <c r="HH70" t="s">
        <v>2951</v>
      </c>
      <c r="HI70" t="s">
        <v>736</v>
      </c>
      <c r="HJ70" t="s">
        <v>2951</v>
      </c>
      <c r="HK70" t="s">
        <v>736</v>
      </c>
      <c r="HL70" t="s">
        <v>2951</v>
      </c>
      <c r="HM70" t="s">
        <v>736</v>
      </c>
      <c r="HN70" t="s">
        <v>1289</v>
      </c>
      <c r="HO70" t="s">
        <v>746</v>
      </c>
      <c r="HP70" t="s">
        <v>2952</v>
      </c>
      <c r="HQ70" t="s">
        <v>746</v>
      </c>
      <c r="HR70" t="s">
        <v>2952</v>
      </c>
      <c r="HW70" t="s">
        <v>733</v>
      </c>
      <c r="HX70" t="s">
        <v>2948</v>
      </c>
      <c r="HY70" t="s">
        <v>733</v>
      </c>
      <c r="HZ70" t="s">
        <v>2948</v>
      </c>
      <c r="IA70" t="s">
        <v>736</v>
      </c>
      <c r="IB70" t="s">
        <v>2951</v>
      </c>
      <c r="IC70" t="s">
        <v>736</v>
      </c>
      <c r="ID70" t="s">
        <v>2951</v>
      </c>
      <c r="IE70" t="s">
        <v>746</v>
      </c>
      <c r="IF70" t="s">
        <v>2952</v>
      </c>
      <c r="IG70" t="s">
        <v>746</v>
      </c>
      <c r="IH70" t="s">
        <v>2953</v>
      </c>
      <c r="IM70" t="s">
        <v>746</v>
      </c>
      <c r="IN70" t="s">
        <v>1307</v>
      </c>
      <c r="IO70" t="s">
        <v>746</v>
      </c>
      <c r="IP70" t="s">
        <v>1307</v>
      </c>
      <c r="IQ70" t="s">
        <v>746</v>
      </c>
      <c r="IR70" t="s">
        <v>2954</v>
      </c>
      <c r="IS70" t="s">
        <v>746</v>
      </c>
      <c r="IT70" t="s">
        <v>2954</v>
      </c>
      <c r="IU70" t="s">
        <v>746</v>
      </c>
      <c r="IV70" t="s">
        <v>1307</v>
      </c>
      <c r="IW70" t="s">
        <v>746</v>
      </c>
      <c r="IX70" t="s">
        <v>1307</v>
      </c>
      <c r="IY70" t="s">
        <v>746</v>
      </c>
      <c r="IZ70" t="s">
        <v>1307</v>
      </c>
      <c r="JA70" t="s">
        <v>746</v>
      </c>
      <c r="JB70" t="s">
        <v>1307</v>
      </c>
      <c r="JC70" t="s">
        <v>746</v>
      </c>
      <c r="JD70" t="s">
        <v>1307</v>
      </c>
      <c r="JE70" t="s">
        <v>746</v>
      </c>
      <c r="JF70" t="s">
        <v>1307</v>
      </c>
      <c r="JS70" t="s">
        <v>746</v>
      </c>
      <c r="JT70" t="s">
        <v>1307</v>
      </c>
      <c r="JU70" t="s">
        <v>746</v>
      </c>
      <c r="JV70" t="s">
        <v>1307</v>
      </c>
      <c r="JW70" t="s">
        <v>746</v>
      </c>
      <c r="JX70" t="s">
        <v>1307</v>
      </c>
      <c r="JY70" t="s">
        <v>746</v>
      </c>
      <c r="JZ70" t="s">
        <v>1307</v>
      </c>
      <c r="KE70" t="s">
        <v>746</v>
      </c>
      <c r="KF70" t="s">
        <v>1307</v>
      </c>
      <c r="KG70" t="s">
        <v>746</v>
      </c>
      <c r="KH70" t="s">
        <v>1307</v>
      </c>
      <c r="KI70" t="s">
        <v>746</v>
      </c>
      <c r="KJ70" t="s">
        <v>1307</v>
      </c>
      <c r="KK70" t="s">
        <v>746</v>
      </c>
      <c r="KL70" t="s">
        <v>1307</v>
      </c>
      <c r="KM70" t="s">
        <v>746</v>
      </c>
      <c r="KN70" t="s">
        <v>1307</v>
      </c>
      <c r="KO70" t="s">
        <v>746</v>
      </c>
      <c r="KP70" t="s">
        <v>2955</v>
      </c>
      <c r="KQ70" t="s">
        <v>746</v>
      </c>
      <c r="KR70" t="s">
        <v>1307</v>
      </c>
      <c r="KS70" t="s">
        <v>746</v>
      </c>
      <c r="KT70" t="s">
        <v>2956</v>
      </c>
      <c r="KU70" t="s">
        <v>746</v>
      </c>
      <c r="KV70" t="s">
        <v>2957</v>
      </c>
      <c r="KW70" t="s">
        <v>746</v>
      </c>
      <c r="KX70" t="s">
        <v>2957</v>
      </c>
      <c r="KY70" t="s">
        <v>746</v>
      </c>
      <c r="KZ70" t="s">
        <v>2958</v>
      </c>
      <c r="LA70" t="s">
        <v>746</v>
      </c>
      <c r="LB70" t="s">
        <v>2958</v>
      </c>
      <c r="LC70" t="s">
        <v>746</v>
      </c>
      <c r="LD70" t="s">
        <v>2959</v>
      </c>
      <c r="LE70" t="s">
        <v>746</v>
      </c>
      <c r="LF70" t="s">
        <v>2959</v>
      </c>
      <c r="LG70" t="s">
        <v>746</v>
      </c>
      <c r="LH70" t="s">
        <v>1307</v>
      </c>
      <c r="LI70" t="s">
        <v>746</v>
      </c>
      <c r="LJ70" t="s">
        <v>1307</v>
      </c>
      <c r="LO70" t="s">
        <v>746</v>
      </c>
      <c r="LP70" t="s">
        <v>2954</v>
      </c>
      <c r="LQ70" t="s">
        <v>746</v>
      </c>
      <c r="LR70" t="s">
        <v>2954</v>
      </c>
      <c r="LS70" t="s">
        <v>746</v>
      </c>
      <c r="LT70" t="s">
        <v>2960</v>
      </c>
      <c r="LU70" t="s">
        <v>746</v>
      </c>
      <c r="LV70" t="s">
        <v>2960</v>
      </c>
      <c r="LW70" t="s">
        <v>746</v>
      </c>
      <c r="LX70" t="s">
        <v>2961</v>
      </c>
      <c r="LY70" t="s">
        <v>746</v>
      </c>
      <c r="LZ70" t="s">
        <v>2962</v>
      </c>
      <c r="MA70" t="s">
        <v>746</v>
      </c>
      <c r="MB70" t="s">
        <v>2962</v>
      </c>
      <c r="MC70" t="s">
        <v>746</v>
      </c>
      <c r="MD70" t="s">
        <v>2962</v>
      </c>
      <c r="ME70" t="s">
        <v>746</v>
      </c>
      <c r="MF70" t="s">
        <v>2963</v>
      </c>
      <c r="MG70" t="s">
        <v>746</v>
      </c>
      <c r="MH70" t="s">
        <v>2964</v>
      </c>
      <c r="MI70" t="s">
        <v>746</v>
      </c>
      <c r="MJ70" t="s">
        <v>1307</v>
      </c>
      <c r="MK70" t="s">
        <v>746</v>
      </c>
      <c r="ML70" t="s">
        <v>1307</v>
      </c>
      <c r="MO70" t="s">
        <v>783</v>
      </c>
      <c r="MP70" t="s">
        <v>783</v>
      </c>
      <c r="MQ70" t="s">
        <v>783</v>
      </c>
      <c r="MR70" t="s">
        <v>783</v>
      </c>
      <c r="MS70" t="s">
        <v>783</v>
      </c>
      <c r="MT70" t="s">
        <v>783</v>
      </c>
      <c r="MU70" t="s">
        <v>783</v>
      </c>
      <c r="MV70" t="s">
        <v>783</v>
      </c>
      <c r="MW70" t="s">
        <v>783</v>
      </c>
      <c r="MX70" t="s">
        <v>783</v>
      </c>
      <c r="MZ70" t="s">
        <v>783</v>
      </c>
      <c r="NA70" t="s">
        <v>783</v>
      </c>
      <c r="NB70" t="s">
        <v>783</v>
      </c>
      <c r="NC70" t="s">
        <v>783</v>
      </c>
      <c r="ND70" t="s">
        <v>783</v>
      </c>
      <c r="NE70" t="s">
        <v>784</v>
      </c>
      <c r="NF70" t="s">
        <v>783</v>
      </c>
      <c r="NG70" t="s">
        <v>784</v>
      </c>
      <c r="NH70" t="s">
        <v>783</v>
      </c>
      <c r="NI70" t="s">
        <v>783</v>
      </c>
      <c r="NJ70" t="s">
        <v>783</v>
      </c>
      <c r="NK70" t="s">
        <v>783</v>
      </c>
      <c r="NL70" t="s">
        <v>783</v>
      </c>
      <c r="NM70" t="s">
        <v>783</v>
      </c>
      <c r="NN70" t="s">
        <v>784</v>
      </c>
      <c r="NO70" t="s">
        <v>783</v>
      </c>
      <c r="NP70" t="s">
        <v>783</v>
      </c>
      <c r="NQ70" t="s">
        <v>783</v>
      </c>
      <c r="NR70" t="s">
        <v>783</v>
      </c>
      <c r="NS70" t="s">
        <v>784</v>
      </c>
      <c r="NT70" t="s">
        <v>784</v>
      </c>
      <c r="NU70" t="s">
        <v>783</v>
      </c>
      <c r="NV70" t="s">
        <v>784</v>
      </c>
      <c r="NW70" t="s">
        <v>784</v>
      </c>
      <c r="NX70" t="s">
        <v>783</v>
      </c>
      <c r="NY70" t="s">
        <v>784</v>
      </c>
      <c r="NZ70" t="s">
        <v>783</v>
      </c>
      <c r="OA70" t="s">
        <v>783</v>
      </c>
      <c r="OB70" t="s">
        <v>783</v>
      </c>
      <c r="OC70" t="s">
        <v>784</v>
      </c>
      <c r="OD70" t="s">
        <v>783</v>
      </c>
      <c r="OE70" t="s">
        <v>783</v>
      </c>
      <c r="OF70" t="s">
        <v>783</v>
      </c>
      <c r="OG70" t="s">
        <v>783</v>
      </c>
      <c r="OH70" t="s">
        <v>783</v>
      </c>
      <c r="OI70" t="s">
        <v>783</v>
      </c>
      <c r="OJ70" t="s">
        <v>783</v>
      </c>
    </row>
    <row r="71" spans="1:400" x14ac:dyDescent="0.25">
      <c r="A71">
        <v>65</v>
      </c>
      <c r="B71" t="s">
        <v>358</v>
      </c>
      <c r="C71" t="s">
        <v>359</v>
      </c>
      <c r="D71" t="s">
        <v>57</v>
      </c>
      <c r="E71">
        <v>47</v>
      </c>
      <c r="F71" t="s">
        <v>58</v>
      </c>
      <c r="G71" t="s">
        <v>360</v>
      </c>
      <c r="H71" t="s">
        <v>60</v>
      </c>
      <c r="I71" t="s">
        <v>61</v>
      </c>
      <c r="J71" t="s">
        <v>62</v>
      </c>
      <c r="K71" t="s">
        <v>63</v>
      </c>
      <c r="M71" t="s">
        <v>146</v>
      </c>
      <c r="N71" t="s">
        <v>269</v>
      </c>
      <c r="O71">
        <v>6</v>
      </c>
      <c r="P71" s="1">
        <v>150000</v>
      </c>
      <c r="Q71" s="1">
        <v>36000</v>
      </c>
      <c r="R71" t="s">
        <v>115</v>
      </c>
      <c r="S71" s="7">
        <v>114000</v>
      </c>
      <c r="T71" t="s">
        <v>70</v>
      </c>
      <c r="U71" s="5">
        <v>0</v>
      </c>
      <c r="V71" s="3" t="s">
        <v>269</v>
      </c>
      <c r="W71" s="5">
        <v>36000</v>
      </c>
      <c r="X71" t="s">
        <v>343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 t="s">
        <v>63</v>
      </c>
      <c r="AR71">
        <v>1</v>
      </c>
      <c r="AS71" s="2">
        <v>1.125</v>
      </c>
      <c r="AT71" t="s">
        <v>509</v>
      </c>
      <c r="AU71">
        <v>0</v>
      </c>
      <c r="AV71">
        <v>1</v>
      </c>
      <c r="AW71">
        <v>0</v>
      </c>
      <c r="AX71">
        <v>0</v>
      </c>
      <c r="AY71">
        <v>0</v>
      </c>
      <c r="AZ71" t="s">
        <v>527</v>
      </c>
      <c r="BA71" t="s">
        <v>511</v>
      </c>
      <c r="BC71" t="s">
        <v>506</v>
      </c>
      <c r="BD71" t="s">
        <v>513</v>
      </c>
      <c r="BE71">
        <v>2007</v>
      </c>
      <c r="BF71">
        <v>16</v>
      </c>
      <c r="BG71" t="s">
        <v>508</v>
      </c>
      <c r="BH71">
        <v>1</v>
      </c>
      <c r="BI71">
        <v>0</v>
      </c>
      <c r="BJ71">
        <v>0</v>
      </c>
      <c r="BK71">
        <v>0</v>
      </c>
      <c r="BL71">
        <v>0</v>
      </c>
      <c r="BM71" t="s">
        <v>63</v>
      </c>
      <c r="BN71" t="s">
        <v>84</v>
      </c>
      <c r="CM71" t="s">
        <v>785</v>
      </c>
      <c r="CN71" t="s">
        <v>63</v>
      </c>
      <c r="CO71" t="s">
        <v>732</v>
      </c>
      <c r="CP71" t="s">
        <v>4036</v>
      </c>
      <c r="CQ71" t="s">
        <v>2996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 t="s">
        <v>4037</v>
      </c>
      <c r="CY71" t="s">
        <v>4038</v>
      </c>
      <c r="CZ71" s="26" t="s">
        <v>4209</v>
      </c>
      <c r="DA71" s="27" t="s">
        <v>4215</v>
      </c>
      <c r="DJ71" t="s">
        <v>84</v>
      </c>
      <c r="DK71" s="35"/>
      <c r="DL71" s="37"/>
      <c r="FI71" t="s">
        <v>733</v>
      </c>
      <c r="FJ71" t="s">
        <v>2965</v>
      </c>
      <c r="FK71" t="s">
        <v>743</v>
      </c>
      <c r="FL71" t="s">
        <v>2966</v>
      </c>
      <c r="FM71" t="s">
        <v>736</v>
      </c>
      <c r="FN71" t="s">
        <v>2967</v>
      </c>
      <c r="FO71" t="s">
        <v>736</v>
      </c>
      <c r="FP71" t="s">
        <v>2967</v>
      </c>
      <c r="FQ71" t="s">
        <v>736</v>
      </c>
      <c r="FR71" t="s">
        <v>2968</v>
      </c>
      <c r="FS71" t="s">
        <v>736</v>
      </c>
      <c r="FT71" t="s">
        <v>2969</v>
      </c>
      <c r="FU71" t="s">
        <v>733</v>
      </c>
      <c r="FV71" t="s">
        <v>2970</v>
      </c>
      <c r="FW71" t="s">
        <v>733</v>
      </c>
      <c r="FX71" t="s">
        <v>2970</v>
      </c>
      <c r="FY71" t="s">
        <v>733</v>
      </c>
      <c r="FZ71" t="s">
        <v>2970</v>
      </c>
      <c r="GA71" t="s">
        <v>733</v>
      </c>
      <c r="GB71" t="s">
        <v>2970</v>
      </c>
      <c r="GC71" t="s">
        <v>733</v>
      </c>
      <c r="GD71" t="s">
        <v>2970</v>
      </c>
      <c r="GE71" t="s">
        <v>733</v>
      </c>
      <c r="GF71" t="s">
        <v>2970</v>
      </c>
      <c r="GG71" t="s">
        <v>746</v>
      </c>
      <c r="GH71" t="s">
        <v>2961</v>
      </c>
      <c r="GI71" t="s">
        <v>746</v>
      </c>
      <c r="GJ71" t="s">
        <v>2961</v>
      </c>
      <c r="GK71" t="s">
        <v>733</v>
      </c>
      <c r="GL71" t="s">
        <v>2971</v>
      </c>
      <c r="GM71" t="s">
        <v>736</v>
      </c>
      <c r="GN71" t="s">
        <v>2972</v>
      </c>
      <c r="GO71" t="s">
        <v>733</v>
      </c>
      <c r="GP71" t="s">
        <v>2971</v>
      </c>
      <c r="GQ71" t="s">
        <v>736</v>
      </c>
      <c r="GR71" t="s">
        <v>2973</v>
      </c>
      <c r="GS71" t="s">
        <v>736</v>
      </c>
      <c r="GT71" t="s">
        <v>2974</v>
      </c>
      <c r="GU71" t="s">
        <v>736</v>
      </c>
      <c r="GV71" t="s">
        <v>2974</v>
      </c>
      <c r="GW71" t="s">
        <v>733</v>
      </c>
      <c r="GX71" t="s">
        <v>2975</v>
      </c>
      <c r="GY71" t="s">
        <v>746</v>
      </c>
      <c r="GZ71" t="s">
        <v>2976</v>
      </c>
      <c r="HA71" t="s">
        <v>736</v>
      </c>
      <c r="HB71" t="s">
        <v>2977</v>
      </c>
      <c r="HC71" t="s">
        <v>736</v>
      </c>
      <c r="HD71" t="s">
        <v>2978</v>
      </c>
      <c r="HE71" t="s">
        <v>798</v>
      </c>
      <c r="HF71" t="s">
        <v>2977</v>
      </c>
      <c r="HG71" t="s">
        <v>736</v>
      </c>
      <c r="HH71" t="s">
        <v>2978</v>
      </c>
      <c r="HI71" t="s">
        <v>736</v>
      </c>
      <c r="HJ71" t="s">
        <v>2978</v>
      </c>
      <c r="HK71" t="s">
        <v>746</v>
      </c>
      <c r="HL71" t="s">
        <v>2979</v>
      </c>
      <c r="HM71" t="s">
        <v>746</v>
      </c>
      <c r="HN71" t="s">
        <v>2979</v>
      </c>
      <c r="HO71" t="s">
        <v>746</v>
      </c>
      <c r="HP71" t="s">
        <v>2979</v>
      </c>
      <c r="HQ71" t="s">
        <v>746</v>
      </c>
      <c r="HR71" t="s">
        <v>2979</v>
      </c>
      <c r="HS71" t="s">
        <v>736</v>
      </c>
      <c r="HT71" t="s">
        <v>2980</v>
      </c>
      <c r="HU71" t="s">
        <v>733</v>
      </c>
      <c r="HV71" t="s">
        <v>2981</v>
      </c>
      <c r="HW71" t="s">
        <v>733</v>
      </c>
      <c r="HX71" t="s">
        <v>2982</v>
      </c>
      <c r="HY71" t="s">
        <v>733</v>
      </c>
      <c r="HZ71" t="s">
        <v>2982</v>
      </c>
      <c r="IA71" t="s">
        <v>736</v>
      </c>
      <c r="IB71" t="s">
        <v>2983</v>
      </c>
      <c r="IC71" t="s">
        <v>736</v>
      </c>
      <c r="ID71" t="s">
        <v>2983</v>
      </c>
      <c r="IE71" t="s">
        <v>733</v>
      </c>
      <c r="IF71" t="s">
        <v>2984</v>
      </c>
      <c r="IG71" t="s">
        <v>733</v>
      </c>
      <c r="IH71" t="s">
        <v>2985</v>
      </c>
      <c r="II71" t="s">
        <v>736</v>
      </c>
      <c r="IJ71" t="s">
        <v>2986</v>
      </c>
      <c r="IK71" t="s">
        <v>736</v>
      </c>
      <c r="IL71" t="s">
        <v>2986</v>
      </c>
      <c r="IM71" t="s">
        <v>746</v>
      </c>
      <c r="IN71" t="s">
        <v>2954</v>
      </c>
      <c r="IO71" t="s">
        <v>746</v>
      </c>
      <c r="IP71" t="s">
        <v>2954</v>
      </c>
      <c r="IQ71" t="s">
        <v>746</v>
      </c>
      <c r="IR71" t="s">
        <v>2954</v>
      </c>
      <c r="IS71" t="s">
        <v>746</v>
      </c>
      <c r="IT71" t="s">
        <v>2954</v>
      </c>
      <c r="IU71" t="s">
        <v>746</v>
      </c>
      <c r="IV71" t="s">
        <v>2954</v>
      </c>
      <c r="IW71" t="s">
        <v>746</v>
      </c>
      <c r="IX71" t="s">
        <v>2954</v>
      </c>
      <c r="IY71" t="s">
        <v>746</v>
      </c>
      <c r="IZ71" t="s">
        <v>2954</v>
      </c>
      <c r="JA71" t="s">
        <v>746</v>
      </c>
      <c r="JB71" t="s">
        <v>2954</v>
      </c>
      <c r="JC71" t="s">
        <v>746</v>
      </c>
      <c r="JD71" t="s">
        <v>2954</v>
      </c>
      <c r="JE71" t="s">
        <v>746</v>
      </c>
      <c r="JF71" t="s">
        <v>2954</v>
      </c>
      <c r="JS71" t="s">
        <v>746</v>
      </c>
      <c r="JT71" t="s">
        <v>2954</v>
      </c>
      <c r="JU71" t="s">
        <v>746</v>
      </c>
      <c r="JV71" t="s">
        <v>2954</v>
      </c>
      <c r="JW71" t="s">
        <v>746</v>
      </c>
      <c r="JX71" t="s">
        <v>2954</v>
      </c>
      <c r="JY71" t="s">
        <v>746</v>
      </c>
      <c r="JZ71" t="s">
        <v>2954</v>
      </c>
      <c r="KE71" t="s">
        <v>746</v>
      </c>
      <c r="KF71" t="s">
        <v>2954</v>
      </c>
      <c r="KG71" t="s">
        <v>746</v>
      </c>
      <c r="KH71" t="s">
        <v>2954</v>
      </c>
      <c r="KI71" t="s">
        <v>746</v>
      </c>
      <c r="KJ71" t="s">
        <v>2954</v>
      </c>
      <c r="KK71" t="s">
        <v>746</v>
      </c>
      <c r="KL71" t="s">
        <v>2954</v>
      </c>
      <c r="KM71" t="s">
        <v>746</v>
      </c>
      <c r="KN71" t="s">
        <v>2954</v>
      </c>
      <c r="KO71" t="s">
        <v>746</v>
      </c>
      <c r="KP71" t="s">
        <v>2954</v>
      </c>
      <c r="KQ71" t="s">
        <v>746</v>
      </c>
      <c r="KR71" t="s">
        <v>2954</v>
      </c>
      <c r="KS71" t="s">
        <v>746</v>
      </c>
      <c r="KT71" t="s">
        <v>2954</v>
      </c>
      <c r="KU71" t="s">
        <v>746</v>
      </c>
      <c r="KV71" t="s">
        <v>2987</v>
      </c>
      <c r="KW71" t="s">
        <v>746</v>
      </c>
      <c r="KX71" t="s">
        <v>2987</v>
      </c>
      <c r="KY71" t="s">
        <v>746</v>
      </c>
      <c r="KZ71" t="s">
        <v>2954</v>
      </c>
      <c r="LA71" t="s">
        <v>746</v>
      </c>
      <c r="LB71" t="s">
        <v>2954</v>
      </c>
      <c r="LC71" t="s">
        <v>736</v>
      </c>
      <c r="LD71" t="s">
        <v>2988</v>
      </c>
      <c r="LE71" t="s">
        <v>736</v>
      </c>
      <c r="LF71" t="s">
        <v>2989</v>
      </c>
      <c r="LG71" t="s">
        <v>736</v>
      </c>
      <c r="LH71" t="s">
        <v>2989</v>
      </c>
      <c r="LI71" t="s">
        <v>736</v>
      </c>
      <c r="LJ71" t="s">
        <v>2989</v>
      </c>
      <c r="LK71" t="s">
        <v>746</v>
      </c>
      <c r="LL71" t="s">
        <v>2990</v>
      </c>
      <c r="LM71" t="s">
        <v>746</v>
      </c>
      <c r="LN71" t="s">
        <v>2990</v>
      </c>
      <c r="LO71" t="s">
        <v>736</v>
      </c>
      <c r="LP71" t="s">
        <v>2991</v>
      </c>
      <c r="LQ71" t="s">
        <v>736</v>
      </c>
      <c r="LR71" t="s">
        <v>2991</v>
      </c>
      <c r="LS71" t="s">
        <v>746</v>
      </c>
      <c r="LT71" t="s">
        <v>2992</v>
      </c>
      <c r="LU71" t="s">
        <v>746</v>
      </c>
      <c r="LV71" t="s">
        <v>2993</v>
      </c>
      <c r="LW71" t="s">
        <v>746</v>
      </c>
      <c r="LX71" t="s">
        <v>2994</v>
      </c>
      <c r="LY71" t="s">
        <v>746</v>
      </c>
      <c r="LZ71" t="s">
        <v>2994</v>
      </c>
      <c r="MA71" t="s">
        <v>746</v>
      </c>
      <c r="MB71" t="s">
        <v>2994</v>
      </c>
      <c r="MC71" t="s">
        <v>746</v>
      </c>
      <c r="MD71" t="s">
        <v>2994</v>
      </c>
      <c r="ME71" t="s">
        <v>733</v>
      </c>
      <c r="MF71" t="s">
        <v>2995</v>
      </c>
      <c r="MG71" t="s">
        <v>733</v>
      </c>
      <c r="MH71" t="s">
        <v>2995</v>
      </c>
      <c r="MI71" t="s">
        <v>746</v>
      </c>
      <c r="MJ71" t="s">
        <v>2990</v>
      </c>
      <c r="MK71" t="s">
        <v>746</v>
      </c>
      <c r="ML71" t="s">
        <v>2990</v>
      </c>
      <c r="MO71" t="s">
        <v>783</v>
      </c>
      <c r="MP71" t="s">
        <v>783</v>
      </c>
      <c r="MQ71" t="s">
        <v>783</v>
      </c>
      <c r="MR71" t="s">
        <v>783</v>
      </c>
      <c r="MS71" t="s">
        <v>783</v>
      </c>
      <c r="MT71" t="s">
        <v>783</v>
      </c>
      <c r="MU71" t="s">
        <v>783</v>
      </c>
      <c r="MV71" t="s">
        <v>783</v>
      </c>
      <c r="MW71" t="s">
        <v>783</v>
      </c>
      <c r="MX71" t="s">
        <v>783</v>
      </c>
      <c r="MZ71" t="s">
        <v>783</v>
      </c>
      <c r="NA71" t="s">
        <v>783</v>
      </c>
      <c r="NB71" t="s">
        <v>783</v>
      </c>
      <c r="NC71" t="s">
        <v>783</v>
      </c>
      <c r="ND71" t="s">
        <v>783</v>
      </c>
      <c r="NE71" t="s">
        <v>784</v>
      </c>
      <c r="NF71" t="s">
        <v>783</v>
      </c>
      <c r="NG71" t="s">
        <v>783</v>
      </c>
      <c r="NH71" t="s">
        <v>783</v>
      </c>
      <c r="NI71" t="s">
        <v>783</v>
      </c>
      <c r="NJ71" t="s">
        <v>783</v>
      </c>
      <c r="NK71" t="s">
        <v>783</v>
      </c>
      <c r="NL71" t="s">
        <v>783</v>
      </c>
      <c r="NM71" t="s">
        <v>783</v>
      </c>
      <c r="NN71" t="s">
        <v>784</v>
      </c>
      <c r="NO71" t="s">
        <v>784</v>
      </c>
      <c r="NP71" t="s">
        <v>784</v>
      </c>
      <c r="NQ71" t="s">
        <v>783</v>
      </c>
      <c r="NR71" t="s">
        <v>783</v>
      </c>
      <c r="NS71" t="s">
        <v>783</v>
      </c>
      <c r="NT71" t="s">
        <v>784</v>
      </c>
      <c r="NU71" t="s">
        <v>783</v>
      </c>
      <c r="NV71" t="s">
        <v>784</v>
      </c>
      <c r="NW71" t="s">
        <v>784</v>
      </c>
      <c r="NX71" t="s">
        <v>783</v>
      </c>
      <c r="NY71" t="s">
        <v>783</v>
      </c>
      <c r="NZ71" t="s">
        <v>783</v>
      </c>
      <c r="OA71" t="s">
        <v>783</v>
      </c>
      <c r="OB71" t="s">
        <v>784</v>
      </c>
      <c r="OC71" t="s">
        <v>784</v>
      </c>
      <c r="OD71" t="s">
        <v>783</v>
      </c>
      <c r="OE71" t="s">
        <v>783</v>
      </c>
      <c r="OF71" t="s">
        <v>783</v>
      </c>
      <c r="OG71" t="s">
        <v>783</v>
      </c>
      <c r="OH71" t="s">
        <v>783</v>
      </c>
      <c r="OI71" t="s">
        <v>783</v>
      </c>
      <c r="OJ71" t="s">
        <v>783</v>
      </c>
    </row>
    <row r="72" spans="1:400" x14ac:dyDescent="0.25">
      <c r="A72">
        <v>66</v>
      </c>
      <c r="B72" t="s">
        <v>351</v>
      </c>
      <c r="C72" t="s">
        <v>352</v>
      </c>
      <c r="D72" t="s">
        <v>57</v>
      </c>
      <c r="E72">
        <v>49</v>
      </c>
      <c r="F72" t="s">
        <v>58</v>
      </c>
      <c r="G72" t="s">
        <v>76</v>
      </c>
      <c r="H72" t="s">
        <v>60</v>
      </c>
      <c r="I72" t="s">
        <v>61</v>
      </c>
      <c r="J72" t="s">
        <v>62</v>
      </c>
      <c r="K72" t="s">
        <v>63</v>
      </c>
      <c r="M72" t="s">
        <v>146</v>
      </c>
      <c r="N72" t="s">
        <v>70</v>
      </c>
      <c r="O72">
        <v>4</v>
      </c>
      <c r="P72" s="1">
        <v>35000</v>
      </c>
      <c r="Q72" s="1">
        <v>0</v>
      </c>
      <c r="R72" t="s">
        <v>81</v>
      </c>
      <c r="S72" s="7">
        <v>35000</v>
      </c>
      <c r="T72" t="s">
        <v>70</v>
      </c>
      <c r="U72" s="5">
        <v>0</v>
      </c>
      <c r="V72" s="3" t="s">
        <v>70</v>
      </c>
      <c r="W72" s="5">
        <v>0</v>
      </c>
      <c r="X72" t="s">
        <v>73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P72" t="s">
        <v>63</v>
      </c>
      <c r="AR72">
        <v>1</v>
      </c>
      <c r="AS72" s="2">
        <v>0.25</v>
      </c>
      <c r="AT72" t="s">
        <v>509</v>
      </c>
      <c r="AU72">
        <v>0</v>
      </c>
      <c r="AV72">
        <v>1</v>
      </c>
      <c r="AW72">
        <v>0</v>
      </c>
      <c r="AX72">
        <v>0</v>
      </c>
      <c r="AY72">
        <v>0</v>
      </c>
      <c r="AZ72" t="s">
        <v>575</v>
      </c>
      <c r="BA72" t="s">
        <v>511</v>
      </c>
      <c r="BC72" t="s">
        <v>512</v>
      </c>
      <c r="BD72" t="s">
        <v>513</v>
      </c>
      <c r="BE72">
        <v>2007</v>
      </c>
      <c r="BF72">
        <v>16</v>
      </c>
      <c r="BG72" t="s">
        <v>561</v>
      </c>
      <c r="BH72">
        <v>1</v>
      </c>
      <c r="BI72">
        <v>0</v>
      </c>
      <c r="BJ72">
        <v>0</v>
      </c>
      <c r="BK72">
        <v>0</v>
      </c>
      <c r="BL72">
        <v>1</v>
      </c>
      <c r="BM72" t="s">
        <v>63</v>
      </c>
      <c r="BN72" t="s">
        <v>84</v>
      </c>
      <c r="CM72" t="s">
        <v>785</v>
      </c>
      <c r="CN72" t="s">
        <v>63</v>
      </c>
      <c r="CO72" t="s">
        <v>84</v>
      </c>
      <c r="CZ72" s="26"/>
      <c r="DA72" s="27"/>
      <c r="DB72" t="s">
        <v>2996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 t="s">
        <v>2997</v>
      </c>
      <c r="DJ72" t="s">
        <v>84</v>
      </c>
      <c r="DK72" s="35"/>
      <c r="DL72" s="37"/>
      <c r="FI72" t="s">
        <v>733</v>
      </c>
      <c r="FJ72" t="s">
        <v>2998</v>
      </c>
      <c r="FK72" t="s">
        <v>733</v>
      </c>
      <c r="FL72" t="s">
        <v>2998</v>
      </c>
      <c r="FM72" t="s">
        <v>733</v>
      </c>
      <c r="FN72" t="s">
        <v>2999</v>
      </c>
      <c r="FO72" t="s">
        <v>733</v>
      </c>
      <c r="FP72" t="s">
        <v>2999</v>
      </c>
      <c r="FQ72" t="s">
        <v>733</v>
      </c>
      <c r="FR72" t="s">
        <v>1422</v>
      </c>
      <c r="FS72" t="s">
        <v>733</v>
      </c>
      <c r="FT72" t="s">
        <v>3000</v>
      </c>
      <c r="FU72" t="s">
        <v>733</v>
      </c>
      <c r="FV72" t="s">
        <v>3001</v>
      </c>
      <c r="FW72" t="s">
        <v>733</v>
      </c>
      <c r="FX72" t="s">
        <v>3002</v>
      </c>
      <c r="FY72" t="s">
        <v>733</v>
      </c>
      <c r="FZ72" t="s">
        <v>2217</v>
      </c>
      <c r="GA72" t="s">
        <v>733</v>
      </c>
      <c r="GB72" t="s">
        <v>2217</v>
      </c>
      <c r="GC72" t="s">
        <v>733</v>
      </c>
      <c r="GD72" t="s">
        <v>2217</v>
      </c>
      <c r="GE72" t="s">
        <v>733</v>
      </c>
      <c r="GF72" t="s">
        <v>2217</v>
      </c>
      <c r="GG72" t="s">
        <v>746</v>
      </c>
      <c r="GH72" t="s">
        <v>1307</v>
      </c>
      <c r="GI72" t="s">
        <v>746</v>
      </c>
      <c r="GJ72" t="s">
        <v>1307</v>
      </c>
      <c r="GK72" t="s">
        <v>733</v>
      </c>
      <c r="GL72" t="s">
        <v>3000</v>
      </c>
      <c r="GM72" t="s">
        <v>733</v>
      </c>
      <c r="GN72" t="s">
        <v>3000</v>
      </c>
      <c r="GO72" t="s">
        <v>733</v>
      </c>
      <c r="GP72" t="s">
        <v>3003</v>
      </c>
      <c r="GQ72" t="s">
        <v>733</v>
      </c>
      <c r="GR72" t="s">
        <v>3003</v>
      </c>
      <c r="GS72" t="s">
        <v>733</v>
      </c>
      <c r="GT72" t="s">
        <v>3004</v>
      </c>
      <c r="GU72" t="s">
        <v>733</v>
      </c>
      <c r="GV72" t="s">
        <v>3004</v>
      </c>
      <c r="GW72" t="s">
        <v>736</v>
      </c>
      <c r="GX72" t="s">
        <v>3005</v>
      </c>
      <c r="GY72" t="s">
        <v>736</v>
      </c>
      <c r="GZ72" t="s">
        <v>3005</v>
      </c>
      <c r="HA72" t="s">
        <v>736</v>
      </c>
      <c r="HB72" t="s">
        <v>3005</v>
      </c>
      <c r="HC72" t="s">
        <v>736</v>
      </c>
      <c r="HD72" t="s">
        <v>3005</v>
      </c>
      <c r="HE72" t="s">
        <v>798</v>
      </c>
      <c r="HF72" t="s">
        <v>3005</v>
      </c>
      <c r="HG72" t="s">
        <v>736</v>
      </c>
      <c r="HH72" t="s">
        <v>3005</v>
      </c>
      <c r="HI72" t="s">
        <v>736</v>
      </c>
      <c r="HJ72" t="s">
        <v>3005</v>
      </c>
      <c r="HK72" t="s">
        <v>736</v>
      </c>
      <c r="HL72" t="s">
        <v>3005</v>
      </c>
      <c r="HM72" t="s">
        <v>736</v>
      </c>
      <c r="HN72" t="s">
        <v>1289</v>
      </c>
      <c r="HO72" t="s">
        <v>746</v>
      </c>
      <c r="HP72" t="s">
        <v>2986</v>
      </c>
      <c r="HQ72" t="s">
        <v>746</v>
      </c>
      <c r="HR72" t="s">
        <v>3006</v>
      </c>
      <c r="HS72" t="s">
        <v>733</v>
      </c>
      <c r="HT72" t="s">
        <v>3007</v>
      </c>
      <c r="HU72" t="s">
        <v>736</v>
      </c>
      <c r="HV72" t="s">
        <v>3008</v>
      </c>
      <c r="HW72" t="s">
        <v>733</v>
      </c>
      <c r="HX72" t="s">
        <v>3009</v>
      </c>
      <c r="HY72" t="s">
        <v>733</v>
      </c>
      <c r="HZ72" t="s">
        <v>3003</v>
      </c>
      <c r="IA72" t="s">
        <v>736</v>
      </c>
      <c r="IB72" t="s">
        <v>3010</v>
      </c>
      <c r="IC72" t="s">
        <v>736</v>
      </c>
      <c r="ID72" t="s">
        <v>3011</v>
      </c>
      <c r="IE72" t="s">
        <v>733</v>
      </c>
      <c r="IF72" t="s">
        <v>3012</v>
      </c>
      <c r="IG72" t="s">
        <v>733</v>
      </c>
      <c r="IH72" t="s">
        <v>3012</v>
      </c>
      <c r="II72" t="s">
        <v>736</v>
      </c>
      <c r="IJ72" t="s">
        <v>1311</v>
      </c>
      <c r="IK72" t="s">
        <v>736</v>
      </c>
      <c r="IL72" t="s">
        <v>1311</v>
      </c>
      <c r="IM72" t="s">
        <v>746</v>
      </c>
      <c r="IN72" t="s">
        <v>3013</v>
      </c>
      <c r="IO72" t="s">
        <v>746</v>
      </c>
      <c r="IP72" t="s">
        <v>3013</v>
      </c>
      <c r="IQ72" t="s">
        <v>746</v>
      </c>
      <c r="IR72" t="s">
        <v>3013</v>
      </c>
      <c r="IS72" t="s">
        <v>746</v>
      </c>
      <c r="IT72" t="s">
        <v>3013</v>
      </c>
      <c r="IU72" t="s">
        <v>746</v>
      </c>
      <c r="IV72" t="s">
        <v>3013</v>
      </c>
      <c r="IW72" t="s">
        <v>746</v>
      </c>
      <c r="IX72" t="s">
        <v>3013</v>
      </c>
      <c r="IY72" t="s">
        <v>746</v>
      </c>
      <c r="IZ72" t="s">
        <v>3013</v>
      </c>
      <c r="JA72" t="s">
        <v>746</v>
      </c>
      <c r="JB72" t="s">
        <v>3013</v>
      </c>
      <c r="JC72" t="s">
        <v>746</v>
      </c>
      <c r="JD72" t="s">
        <v>3013</v>
      </c>
      <c r="JE72" t="s">
        <v>746</v>
      </c>
      <c r="JF72" t="s">
        <v>3013</v>
      </c>
      <c r="JS72" t="s">
        <v>746</v>
      </c>
      <c r="JT72" t="s">
        <v>3013</v>
      </c>
      <c r="JU72" t="s">
        <v>746</v>
      </c>
      <c r="JV72" t="s">
        <v>3013</v>
      </c>
      <c r="JW72" t="s">
        <v>746</v>
      </c>
      <c r="JX72" t="s">
        <v>3013</v>
      </c>
      <c r="JY72" t="s">
        <v>746</v>
      </c>
      <c r="JZ72" t="s">
        <v>3013</v>
      </c>
      <c r="KE72" t="s">
        <v>746</v>
      </c>
      <c r="KF72" t="s">
        <v>3013</v>
      </c>
      <c r="KG72" t="s">
        <v>746</v>
      </c>
      <c r="KH72" t="s">
        <v>3013</v>
      </c>
      <c r="KI72" t="s">
        <v>746</v>
      </c>
      <c r="KJ72" t="s">
        <v>3013</v>
      </c>
      <c r="KK72" t="s">
        <v>746</v>
      </c>
      <c r="KL72" t="s">
        <v>3013</v>
      </c>
      <c r="KM72" t="s">
        <v>746</v>
      </c>
      <c r="KN72" t="s">
        <v>3013</v>
      </c>
      <c r="KO72" t="s">
        <v>746</v>
      </c>
      <c r="KP72" t="s">
        <v>3013</v>
      </c>
      <c r="KQ72" t="s">
        <v>746</v>
      </c>
      <c r="KR72" t="s">
        <v>3013</v>
      </c>
      <c r="KS72" t="s">
        <v>746</v>
      </c>
      <c r="KT72" t="s">
        <v>3013</v>
      </c>
      <c r="KU72" t="s">
        <v>733</v>
      </c>
      <c r="KV72" t="s">
        <v>3014</v>
      </c>
      <c r="KW72" t="s">
        <v>733</v>
      </c>
      <c r="KX72" t="s">
        <v>3015</v>
      </c>
      <c r="KY72" t="s">
        <v>733</v>
      </c>
      <c r="KZ72" t="s">
        <v>3016</v>
      </c>
      <c r="LA72" t="s">
        <v>733</v>
      </c>
      <c r="LB72" t="s">
        <v>3016</v>
      </c>
      <c r="LC72" t="s">
        <v>736</v>
      </c>
      <c r="LD72" t="s">
        <v>3017</v>
      </c>
      <c r="LE72" t="s">
        <v>736</v>
      </c>
      <c r="LF72" t="s">
        <v>3017</v>
      </c>
      <c r="LG72" t="s">
        <v>736</v>
      </c>
      <c r="LH72" t="s">
        <v>3017</v>
      </c>
      <c r="LI72" t="s">
        <v>736</v>
      </c>
      <c r="LJ72" t="s">
        <v>3017</v>
      </c>
      <c r="LK72" t="s">
        <v>746</v>
      </c>
      <c r="LL72" t="s">
        <v>2990</v>
      </c>
      <c r="LM72" t="s">
        <v>746</v>
      </c>
      <c r="LN72" t="s">
        <v>2990</v>
      </c>
      <c r="LO72" t="s">
        <v>736</v>
      </c>
      <c r="LP72" t="s">
        <v>3018</v>
      </c>
      <c r="LQ72" t="s">
        <v>736</v>
      </c>
      <c r="LR72" t="s">
        <v>3018</v>
      </c>
      <c r="LS72" t="s">
        <v>736</v>
      </c>
      <c r="LT72" t="s">
        <v>1311</v>
      </c>
      <c r="LU72" t="s">
        <v>736</v>
      </c>
      <c r="LV72" t="s">
        <v>1311</v>
      </c>
      <c r="LW72" t="s">
        <v>733</v>
      </c>
      <c r="LX72" t="s">
        <v>3019</v>
      </c>
      <c r="LY72" t="s">
        <v>733</v>
      </c>
      <c r="LZ72" t="s">
        <v>3020</v>
      </c>
      <c r="MA72" t="s">
        <v>733</v>
      </c>
      <c r="MB72" t="s">
        <v>3020</v>
      </c>
      <c r="MC72" t="s">
        <v>733</v>
      </c>
      <c r="MD72" t="s">
        <v>3020</v>
      </c>
      <c r="ME72" t="s">
        <v>733</v>
      </c>
      <c r="MF72" t="s">
        <v>3020</v>
      </c>
      <c r="MG72" t="s">
        <v>733</v>
      </c>
      <c r="MH72" t="s">
        <v>3020</v>
      </c>
      <c r="MI72" t="s">
        <v>746</v>
      </c>
      <c r="MJ72" t="s">
        <v>2990</v>
      </c>
      <c r="MK72" t="s">
        <v>746</v>
      </c>
      <c r="ML72" t="s">
        <v>2990</v>
      </c>
      <c r="MO72" t="s">
        <v>783</v>
      </c>
      <c r="MP72" t="s">
        <v>784</v>
      </c>
      <c r="MQ72" t="s">
        <v>783</v>
      </c>
      <c r="MR72" t="s">
        <v>783</v>
      </c>
      <c r="MS72" t="s">
        <v>783</v>
      </c>
      <c r="MT72" t="s">
        <v>783</v>
      </c>
      <c r="MU72" t="s">
        <v>783</v>
      </c>
      <c r="MV72" t="s">
        <v>783</v>
      </c>
      <c r="MW72" t="s">
        <v>783</v>
      </c>
      <c r="MX72" t="s">
        <v>783</v>
      </c>
      <c r="MZ72" t="s">
        <v>783</v>
      </c>
      <c r="NA72" t="s">
        <v>783</v>
      </c>
      <c r="NB72" t="s">
        <v>783</v>
      </c>
      <c r="NC72" t="s">
        <v>783</v>
      </c>
      <c r="ND72" t="s">
        <v>783</v>
      </c>
      <c r="NE72" t="s">
        <v>784</v>
      </c>
      <c r="NF72" t="s">
        <v>783</v>
      </c>
      <c r="NG72" t="s">
        <v>783</v>
      </c>
      <c r="NH72" t="s">
        <v>783</v>
      </c>
      <c r="NI72" t="s">
        <v>783</v>
      </c>
      <c r="NJ72" t="s">
        <v>783</v>
      </c>
      <c r="NK72" t="s">
        <v>783</v>
      </c>
      <c r="NL72" t="s">
        <v>783</v>
      </c>
      <c r="NM72" t="s">
        <v>783</v>
      </c>
      <c r="NN72" t="s">
        <v>784</v>
      </c>
      <c r="NO72" t="s">
        <v>783</v>
      </c>
      <c r="NP72" t="s">
        <v>783</v>
      </c>
      <c r="NQ72" t="s">
        <v>783</v>
      </c>
      <c r="NR72" t="s">
        <v>783</v>
      </c>
      <c r="NS72" t="s">
        <v>784</v>
      </c>
      <c r="NT72" t="s">
        <v>784</v>
      </c>
      <c r="NU72" t="s">
        <v>783</v>
      </c>
      <c r="NV72" t="s">
        <v>784</v>
      </c>
      <c r="NW72" t="s">
        <v>784</v>
      </c>
      <c r="NX72" t="s">
        <v>783</v>
      </c>
      <c r="NY72" t="s">
        <v>784</v>
      </c>
      <c r="NZ72" t="s">
        <v>784</v>
      </c>
      <c r="OA72" t="s">
        <v>783</v>
      </c>
      <c r="OB72" t="s">
        <v>783</v>
      </c>
      <c r="OC72" t="s">
        <v>783</v>
      </c>
      <c r="OD72" t="s">
        <v>783</v>
      </c>
      <c r="OE72" t="s">
        <v>783</v>
      </c>
      <c r="OF72" t="s">
        <v>783</v>
      </c>
      <c r="OG72" t="s">
        <v>783</v>
      </c>
      <c r="OH72" t="s">
        <v>783</v>
      </c>
      <c r="OI72" t="s">
        <v>783</v>
      </c>
      <c r="OJ72" t="s">
        <v>783</v>
      </c>
    </row>
    <row r="73" spans="1:400" x14ac:dyDescent="0.25">
      <c r="A73">
        <v>67</v>
      </c>
      <c r="B73" t="s">
        <v>339</v>
      </c>
      <c r="C73" t="s">
        <v>340</v>
      </c>
      <c r="D73" t="s">
        <v>57</v>
      </c>
      <c r="E73">
        <v>39</v>
      </c>
      <c r="F73" t="s">
        <v>58</v>
      </c>
      <c r="G73" t="s">
        <v>76</v>
      </c>
      <c r="H73" t="s">
        <v>60</v>
      </c>
      <c r="I73" t="s">
        <v>61</v>
      </c>
      <c r="J73" t="s">
        <v>62</v>
      </c>
      <c r="K73" t="s">
        <v>63</v>
      </c>
      <c r="M73" t="s">
        <v>146</v>
      </c>
      <c r="N73" t="s">
        <v>316</v>
      </c>
      <c r="O73">
        <v>6</v>
      </c>
      <c r="P73" s="1">
        <v>70000</v>
      </c>
      <c r="Q73" s="1">
        <v>0</v>
      </c>
      <c r="R73" t="s">
        <v>148</v>
      </c>
      <c r="S73" s="7">
        <v>66000</v>
      </c>
      <c r="T73" t="s">
        <v>341</v>
      </c>
      <c r="U73" s="5">
        <v>4000</v>
      </c>
      <c r="V73" s="3" t="s">
        <v>70</v>
      </c>
      <c r="W73" s="5">
        <v>0</v>
      </c>
      <c r="X73" t="s">
        <v>343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P73" t="s">
        <v>63</v>
      </c>
      <c r="AR73">
        <v>1</v>
      </c>
      <c r="AS73" s="2">
        <v>0.75</v>
      </c>
      <c r="AT73" t="s">
        <v>503</v>
      </c>
      <c r="AU73">
        <v>0</v>
      </c>
      <c r="AV73">
        <v>0</v>
      </c>
      <c r="AW73">
        <v>0</v>
      </c>
      <c r="AX73">
        <v>1</v>
      </c>
      <c r="AY73">
        <v>0</v>
      </c>
      <c r="AZ73" t="s">
        <v>573</v>
      </c>
      <c r="BA73" t="s">
        <v>71</v>
      </c>
      <c r="BB73" t="s">
        <v>506</v>
      </c>
      <c r="BC73" t="s">
        <v>515</v>
      </c>
      <c r="BD73" t="s">
        <v>507</v>
      </c>
      <c r="BE73">
        <v>2016</v>
      </c>
      <c r="BF73">
        <v>7</v>
      </c>
      <c r="BG73" t="s">
        <v>508</v>
      </c>
      <c r="BH73">
        <v>1</v>
      </c>
      <c r="BI73">
        <v>0</v>
      </c>
      <c r="BJ73">
        <v>0</v>
      </c>
      <c r="BK73">
        <v>0</v>
      </c>
      <c r="BL73">
        <v>0</v>
      </c>
      <c r="BM73" t="s">
        <v>63</v>
      </c>
      <c r="BN73" t="s">
        <v>84</v>
      </c>
      <c r="CM73" t="s">
        <v>785</v>
      </c>
      <c r="CN73" t="s">
        <v>63</v>
      </c>
      <c r="CO73" t="s">
        <v>84</v>
      </c>
      <c r="CZ73" s="26"/>
      <c r="DA73" s="27"/>
      <c r="DB73" t="s">
        <v>976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J73" t="s">
        <v>84</v>
      </c>
      <c r="DK73" s="35"/>
      <c r="DL73" s="37"/>
      <c r="FI73" t="s">
        <v>746</v>
      </c>
      <c r="FJ73" t="s">
        <v>3021</v>
      </c>
      <c r="FK73" t="s">
        <v>746</v>
      </c>
      <c r="FL73" t="s">
        <v>3022</v>
      </c>
      <c r="FM73" t="s">
        <v>736</v>
      </c>
      <c r="FN73" t="s">
        <v>3023</v>
      </c>
      <c r="FO73" t="s">
        <v>736</v>
      </c>
      <c r="FP73" t="s">
        <v>3023</v>
      </c>
      <c r="FQ73" t="s">
        <v>746</v>
      </c>
      <c r="FR73" t="s">
        <v>3021</v>
      </c>
      <c r="FS73" t="s">
        <v>746</v>
      </c>
      <c r="FT73" t="s">
        <v>3021</v>
      </c>
      <c r="FU73" t="s">
        <v>733</v>
      </c>
      <c r="FV73" t="s">
        <v>1422</v>
      </c>
      <c r="FW73" t="s">
        <v>733</v>
      </c>
      <c r="FX73" t="s">
        <v>1422</v>
      </c>
      <c r="FY73" t="s">
        <v>746</v>
      </c>
      <c r="FZ73" t="s">
        <v>3021</v>
      </c>
      <c r="GA73" t="s">
        <v>746</v>
      </c>
      <c r="GB73" t="s">
        <v>3021</v>
      </c>
      <c r="GC73" t="s">
        <v>746</v>
      </c>
      <c r="GD73" t="s">
        <v>3021</v>
      </c>
      <c r="GE73" t="s">
        <v>746</v>
      </c>
      <c r="GF73" t="s">
        <v>3021</v>
      </c>
      <c r="GG73" t="s">
        <v>746</v>
      </c>
      <c r="GH73" t="s">
        <v>3021</v>
      </c>
      <c r="GI73" t="s">
        <v>746</v>
      </c>
      <c r="GJ73" t="s">
        <v>3021</v>
      </c>
      <c r="GK73" t="s">
        <v>746</v>
      </c>
      <c r="GL73" t="s">
        <v>3021</v>
      </c>
      <c r="GM73" t="s">
        <v>746</v>
      </c>
      <c r="GN73" t="s">
        <v>3021</v>
      </c>
      <c r="GO73" t="s">
        <v>736</v>
      </c>
      <c r="GP73" t="s">
        <v>3023</v>
      </c>
      <c r="GQ73" t="s">
        <v>736</v>
      </c>
      <c r="GR73" t="s">
        <v>3023</v>
      </c>
      <c r="GS73" t="s">
        <v>746</v>
      </c>
      <c r="GT73" t="s">
        <v>3024</v>
      </c>
      <c r="GU73" t="s">
        <v>746</v>
      </c>
      <c r="GV73" t="s">
        <v>3021</v>
      </c>
      <c r="GW73" t="s">
        <v>733</v>
      </c>
      <c r="GX73" t="s">
        <v>3025</v>
      </c>
      <c r="GY73" t="s">
        <v>733</v>
      </c>
      <c r="GZ73" t="s">
        <v>3025</v>
      </c>
      <c r="HA73" t="s">
        <v>733</v>
      </c>
      <c r="HB73" t="s">
        <v>3025</v>
      </c>
      <c r="HC73" t="s">
        <v>733</v>
      </c>
      <c r="HD73" t="s">
        <v>3025</v>
      </c>
      <c r="HE73" t="s">
        <v>798</v>
      </c>
      <c r="HF73" t="s">
        <v>3026</v>
      </c>
      <c r="HG73" t="s">
        <v>736</v>
      </c>
      <c r="HH73" t="s">
        <v>3023</v>
      </c>
      <c r="HI73" t="s">
        <v>736</v>
      </c>
      <c r="HJ73" t="s">
        <v>3023</v>
      </c>
      <c r="HK73" t="s">
        <v>746</v>
      </c>
      <c r="HL73" t="s">
        <v>3006</v>
      </c>
      <c r="HM73" t="s">
        <v>746</v>
      </c>
      <c r="HN73" t="s">
        <v>3006</v>
      </c>
      <c r="HO73" t="s">
        <v>746</v>
      </c>
      <c r="HP73" t="s">
        <v>3006</v>
      </c>
      <c r="HQ73" t="s">
        <v>746</v>
      </c>
      <c r="HR73" t="s">
        <v>3006</v>
      </c>
      <c r="HS73" t="s">
        <v>736</v>
      </c>
      <c r="HT73" t="s">
        <v>3027</v>
      </c>
      <c r="HU73" t="s">
        <v>736</v>
      </c>
      <c r="HV73" t="s">
        <v>3027</v>
      </c>
      <c r="HW73" t="s">
        <v>746</v>
      </c>
      <c r="HX73" t="s">
        <v>3028</v>
      </c>
      <c r="HY73" t="s">
        <v>746</v>
      </c>
      <c r="HZ73" t="s">
        <v>3029</v>
      </c>
      <c r="IA73" t="s">
        <v>746</v>
      </c>
      <c r="IB73" t="s">
        <v>3029</v>
      </c>
      <c r="IC73" t="s">
        <v>746</v>
      </c>
      <c r="ID73" t="s">
        <v>3029</v>
      </c>
      <c r="IE73" t="s">
        <v>733</v>
      </c>
      <c r="IF73" t="s">
        <v>3030</v>
      </c>
      <c r="IG73" t="s">
        <v>733</v>
      </c>
      <c r="IH73" t="s">
        <v>3031</v>
      </c>
      <c r="II73" t="s">
        <v>736</v>
      </c>
      <c r="IJ73" t="s">
        <v>3032</v>
      </c>
      <c r="IK73" t="s">
        <v>736</v>
      </c>
      <c r="IL73" t="s">
        <v>3033</v>
      </c>
      <c r="IM73" t="s">
        <v>746</v>
      </c>
      <c r="IN73" t="s">
        <v>2954</v>
      </c>
      <c r="IO73" t="s">
        <v>746</v>
      </c>
      <c r="IP73" t="s">
        <v>2954</v>
      </c>
      <c r="IQ73" t="s">
        <v>746</v>
      </c>
      <c r="IR73" t="s">
        <v>2954</v>
      </c>
      <c r="IS73" t="s">
        <v>746</v>
      </c>
      <c r="IT73" t="s">
        <v>3029</v>
      </c>
      <c r="IU73" t="s">
        <v>746</v>
      </c>
      <c r="IV73" t="s">
        <v>2954</v>
      </c>
      <c r="IW73" t="s">
        <v>746</v>
      </c>
      <c r="IX73" t="s">
        <v>2954</v>
      </c>
      <c r="IY73" t="s">
        <v>746</v>
      </c>
      <c r="IZ73" t="s">
        <v>2954</v>
      </c>
      <c r="JA73" t="s">
        <v>746</v>
      </c>
      <c r="JB73" t="s">
        <v>2954</v>
      </c>
      <c r="JC73" t="s">
        <v>746</v>
      </c>
      <c r="JD73" t="s">
        <v>2954</v>
      </c>
      <c r="JE73" t="s">
        <v>746</v>
      </c>
      <c r="JF73" t="s">
        <v>2954</v>
      </c>
      <c r="JS73" t="s">
        <v>746</v>
      </c>
      <c r="JT73" t="s">
        <v>2954</v>
      </c>
      <c r="JU73" t="s">
        <v>746</v>
      </c>
      <c r="JV73" t="s">
        <v>2954</v>
      </c>
      <c r="JW73" t="s">
        <v>746</v>
      </c>
      <c r="JX73" t="s">
        <v>2954</v>
      </c>
      <c r="JY73" t="s">
        <v>746</v>
      </c>
      <c r="JZ73" t="s">
        <v>2954</v>
      </c>
      <c r="KE73" t="s">
        <v>746</v>
      </c>
      <c r="KF73" t="s">
        <v>2954</v>
      </c>
      <c r="KG73" t="s">
        <v>746</v>
      </c>
      <c r="KH73" t="s">
        <v>2954</v>
      </c>
      <c r="KI73" t="s">
        <v>746</v>
      </c>
      <c r="KJ73" t="s">
        <v>2954</v>
      </c>
      <c r="KK73" t="s">
        <v>746</v>
      </c>
      <c r="KL73" t="s">
        <v>2954</v>
      </c>
      <c r="KM73" t="s">
        <v>746</v>
      </c>
      <c r="KN73" t="s">
        <v>2954</v>
      </c>
      <c r="KO73" t="s">
        <v>746</v>
      </c>
      <c r="KP73" t="s">
        <v>2954</v>
      </c>
      <c r="KQ73" t="s">
        <v>746</v>
      </c>
      <c r="KR73" t="s">
        <v>2954</v>
      </c>
      <c r="KS73" t="s">
        <v>746</v>
      </c>
      <c r="KT73" t="s">
        <v>2954</v>
      </c>
      <c r="KU73" t="s">
        <v>746</v>
      </c>
      <c r="KV73" t="s">
        <v>3021</v>
      </c>
      <c r="KW73" t="s">
        <v>746</v>
      </c>
      <c r="KX73" t="s">
        <v>3021</v>
      </c>
      <c r="KY73" t="s">
        <v>746</v>
      </c>
      <c r="KZ73" t="s">
        <v>3021</v>
      </c>
      <c r="LA73" t="s">
        <v>746</v>
      </c>
      <c r="LB73" t="s">
        <v>3021</v>
      </c>
      <c r="LC73" t="s">
        <v>746</v>
      </c>
      <c r="LD73" t="s">
        <v>3021</v>
      </c>
      <c r="LE73" t="s">
        <v>746</v>
      </c>
      <c r="LF73" t="s">
        <v>3021</v>
      </c>
      <c r="LG73" t="s">
        <v>746</v>
      </c>
      <c r="LH73" t="s">
        <v>3021</v>
      </c>
      <c r="LI73" t="s">
        <v>746</v>
      </c>
      <c r="LJ73" t="s">
        <v>3021</v>
      </c>
      <c r="LK73" t="s">
        <v>746</v>
      </c>
      <c r="LL73" t="s">
        <v>2954</v>
      </c>
      <c r="LM73" t="s">
        <v>746</v>
      </c>
      <c r="LN73" t="s">
        <v>2954</v>
      </c>
      <c r="LO73" t="s">
        <v>746</v>
      </c>
      <c r="LP73" t="s">
        <v>3021</v>
      </c>
      <c r="LQ73" t="s">
        <v>746</v>
      </c>
      <c r="LR73" t="s">
        <v>3021</v>
      </c>
      <c r="LS73" t="s">
        <v>746</v>
      </c>
      <c r="LT73" t="s">
        <v>3021</v>
      </c>
      <c r="LU73" t="s">
        <v>746</v>
      </c>
      <c r="LV73" t="s">
        <v>3021</v>
      </c>
      <c r="LW73" t="s">
        <v>746</v>
      </c>
      <c r="LX73" t="s">
        <v>3021</v>
      </c>
      <c r="LY73" t="s">
        <v>746</v>
      </c>
      <c r="LZ73" t="s">
        <v>3021</v>
      </c>
      <c r="MA73" t="s">
        <v>746</v>
      </c>
      <c r="MB73" t="s">
        <v>3021</v>
      </c>
      <c r="MC73" t="s">
        <v>746</v>
      </c>
      <c r="MD73" t="s">
        <v>3021</v>
      </c>
      <c r="ME73" t="s">
        <v>746</v>
      </c>
      <c r="MF73" t="s">
        <v>3021</v>
      </c>
      <c r="MG73" t="s">
        <v>746</v>
      </c>
      <c r="MH73" t="s">
        <v>3021</v>
      </c>
      <c r="MI73" t="s">
        <v>746</v>
      </c>
      <c r="MJ73" t="s">
        <v>2954</v>
      </c>
      <c r="MK73" t="s">
        <v>746</v>
      </c>
      <c r="ML73" t="s">
        <v>2954</v>
      </c>
      <c r="MO73" t="s">
        <v>784</v>
      </c>
      <c r="MP73" t="s">
        <v>783</v>
      </c>
      <c r="MQ73" t="s">
        <v>783</v>
      </c>
      <c r="MR73" t="s">
        <v>783</v>
      </c>
      <c r="MS73" t="s">
        <v>784</v>
      </c>
      <c r="MT73" t="s">
        <v>783</v>
      </c>
      <c r="MU73" t="s">
        <v>783</v>
      </c>
      <c r="MV73" t="s">
        <v>783</v>
      </c>
      <c r="MW73" t="s">
        <v>784</v>
      </c>
      <c r="MX73" t="s">
        <v>783</v>
      </c>
      <c r="MZ73" t="s">
        <v>907</v>
      </c>
      <c r="NA73" t="s">
        <v>783</v>
      </c>
      <c r="NB73" t="s">
        <v>783</v>
      </c>
      <c r="NC73" t="s">
        <v>784</v>
      </c>
      <c r="ND73" t="s">
        <v>907</v>
      </c>
      <c r="NE73" t="s">
        <v>784</v>
      </c>
      <c r="NF73" t="s">
        <v>783</v>
      </c>
      <c r="NG73" t="s">
        <v>783</v>
      </c>
      <c r="NH73" t="s">
        <v>783</v>
      </c>
      <c r="NI73" t="s">
        <v>783</v>
      </c>
      <c r="NJ73" t="s">
        <v>783</v>
      </c>
      <c r="NK73" t="s">
        <v>783</v>
      </c>
      <c r="NL73" t="s">
        <v>783</v>
      </c>
      <c r="NM73" t="s">
        <v>783</v>
      </c>
      <c r="NN73" t="s">
        <v>784</v>
      </c>
      <c r="NO73" t="s">
        <v>784</v>
      </c>
      <c r="NP73" t="s">
        <v>783</v>
      </c>
      <c r="NQ73" t="s">
        <v>783</v>
      </c>
      <c r="NR73" t="s">
        <v>783</v>
      </c>
      <c r="NS73" t="s">
        <v>783</v>
      </c>
      <c r="NT73" t="s">
        <v>783</v>
      </c>
      <c r="NU73" t="s">
        <v>783</v>
      </c>
      <c r="NV73" t="s">
        <v>784</v>
      </c>
      <c r="NW73" t="s">
        <v>784</v>
      </c>
      <c r="NX73" t="s">
        <v>783</v>
      </c>
      <c r="NY73" t="s">
        <v>784</v>
      </c>
      <c r="NZ73" t="s">
        <v>783</v>
      </c>
      <c r="OA73" t="s">
        <v>783</v>
      </c>
      <c r="OB73" t="s">
        <v>783</v>
      </c>
      <c r="OC73" t="s">
        <v>783</v>
      </c>
      <c r="OD73" t="s">
        <v>783</v>
      </c>
      <c r="OE73" t="s">
        <v>783</v>
      </c>
      <c r="OF73" t="s">
        <v>783</v>
      </c>
      <c r="OG73" t="s">
        <v>783</v>
      </c>
      <c r="OH73" t="s">
        <v>783</v>
      </c>
      <c r="OI73" t="s">
        <v>783</v>
      </c>
      <c r="OJ73" t="s">
        <v>783</v>
      </c>
    </row>
    <row r="74" spans="1:400" x14ac:dyDescent="0.25">
      <c r="A74">
        <v>68</v>
      </c>
      <c r="B74" t="s">
        <v>3034</v>
      </c>
      <c r="C74" t="s">
        <v>328</v>
      </c>
      <c r="D74" t="s">
        <v>97</v>
      </c>
      <c r="E74">
        <v>37</v>
      </c>
      <c r="F74" t="s">
        <v>58</v>
      </c>
      <c r="G74" t="s">
        <v>76</v>
      </c>
      <c r="H74" t="s">
        <v>60</v>
      </c>
      <c r="I74" t="s">
        <v>61</v>
      </c>
      <c r="J74" t="s">
        <v>62</v>
      </c>
      <c r="K74" t="s">
        <v>84</v>
      </c>
      <c r="L74" t="s">
        <v>98</v>
      </c>
      <c r="M74" t="s">
        <v>146</v>
      </c>
      <c r="N74" t="s">
        <v>316</v>
      </c>
      <c r="O74">
        <v>5</v>
      </c>
      <c r="P74" s="1">
        <v>117000</v>
      </c>
      <c r="Q74" s="1">
        <v>0</v>
      </c>
      <c r="R74" t="s">
        <v>148</v>
      </c>
      <c r="S74" s="7">
        <v>50000</v>
      </c>
      <c r="T74" t="s">
        <v>330</v>
      </c>
      <c r="U74" s="5">
        <v>67200</v>
      </c>
      <c r="V74" s="3" t="s">
        <v>70</v>
      </c>
      <c r="W74" s="5">
        <v>0</v>
      </c>
      <c r="X74" t="s">
        <v>73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P74" t="s">
        <v>63</v>
      </c>
      <c r="AR74">
        <v>1</v>
      </c>
      <c r="AS74" s="2">
        <v>0.25</v>
      </c>
      <c r="AT74" t="s">
        <v>509</v>
      </c>
      <c r="AU74">
        <v>0</v>
      </c>
      <c r="AV74">
        <v>1</v>
      </c>
      <c r="AW74">
        <v>0</v>
      </c>
      <c r="AX74">
        <v>0</v>
      </c>
      <c r="AY74">
        <v>0</v>
      </c>
      <c r="AZ74" t="s">
        <v>571</v>
      </c>
      <c r="BA74" t="s">
        <v>71</v>
      </c>
      <c r="BB74" t="s">
        <v>506</v>
      </c>
      <c r="BC74" t="s">
        <v>515</v>
      </c>
      <c r="BD74" t="s">
        <v>513</v>
      </c>
      <c r="BE74">
        <v>2021</v>
      </c>
      <c r="BF74">
        <v>2</v>
      </c>
      <c r="BG74" t="s">
        <v>508</v>
      </c>
      <c r="BH74">
        <v>1</v>
      </c>
      <c r="BI74">
        <v>0</v>
      </c>
      <c r="BJ74">
        <v>0</v>
      </c>
      <c r="BK74">
        <v>0</v>
      </c>
      <c r="BL74">
        <v>0</v>
      </c>
      <c r="BM74" t="s">
        <v>63</v>
      </c>
      <c r="BN74" t="s">
        <v>63</v>
      </c>
      <c r="BO74" t="s">
        <v>3844</v>
      </c>
      <c r="BP74" t="s">
        <v>3845</v>
      </c>
      <c r="BR74" t="s">
        <v>3912</v>
      </c>
      <c r="BS74" t="s">
        <v>3838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CA74" t="s">
        <v>3839</v>
      </c>
      <c r="CC74" t="s">
        <v>3840</v>
      </c>
      <c r="CD74" t="s">
        <v>3841</v>
      </c>
      <c r="CE74" t="s">
        <v>71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N74" t="s">
        <v>63</v>
      </c>
      <c r="CO74" t="s">
        <v>84</v>
      </c>
      <c r="CZ74" s="26"/>
      <c r="DA74" s="27"/>
      <c r="DB74" t="s">
        <v>2996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 t="s">
        <v>3035</v>
      </c>
      <c r="DJ74" t="s">
        <v>63</v>
      </c>
      <c r="DK74" s="35" t="s">
        <v>3036</v>
      </c>
      <c r="DL74" s="37" t="s">
        <v>4257</v>
      </c>
      <c r="DM74" t="s">
        <v>4118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O74" t="s">
        <v>4111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 t="s">
        <v>4156</v>
      </c>
      <c r="EY74" t="s">
        <v>4105</v>
      </c>
      <c r="EZ74">
        <v>0</v>
      </c>
      <c r="FA74">
        <v>0</v>
      </c>
      <c r="FB74">
        <v>1</v>
      </c>
      <c r="FC74">
        <v>0</v>
      </c>
      <c r="FF74" t="s">
        <v>4157</v>
      </c>
      <c r="FI74" t="s">
        <v>733</v>
      </c>
      <c r="FJ74" t="s">
        <v>3037</v>
      </c>
      <c r="FK74" t="s">
        <v>733</v>
      </c>
      <c r="FL74" t="s">
        <v>3037</v>
      </c>
      <c r="FM74" t="s">
        <v>733</v>
      </c>
      <c r="FN74" t="s">
        <v>3037</v>
      </c>
      <c r="FO74" t="s">
        <v>733</v>
      </c>
      <c r="FP74" t="s">
        <v>3037</v>
      </c>
      <c r="FQ74" t="s">
        <v>733</v>
      </c>
      <c r="FR74" t="s">
        <v>3037</v>
      </c>
      <c r="FS74" t="s">
        <v>733</v>
      </c>
      <c r="FT74" t="s">
        <v>3037</v>
      </c>
      <c r="FU74" t="s">
        <v>733</v>
      </c>
      <c r="FV74" t="s">
        <v>3037</v>
      </c>
      <c r="FW74" t="s">
        <v>733</v>
      </c>
      <c r="FX74" t="s">
        <v>3037</v>
      </c>
      <c r="FY74" t="s">
        <v>733</v>
      </c>
      <c r="FZ74" t="s">
        <v>3037</v>
      </c>
      <c r="GA74" t="s">
        <v>733</v>
      </c>
      <c r="GB74" t="s">
        <v>3037</v>
      </c>
      <c r="GC74" t="s">
        <v>733</v>
      </c>
      <c r="GD74" t="s">
        <v>3037</v>
      </c>
      <c r="GE74" t="s">
        <v>733</v>
      </c>
      <c r="GF74" t="s">
        <v>3037</v>
      </c>
      <c r="GG74" t="s">
        <v>733</v>
      </c>
      <c r="GH74" t="s">
        <v>3037</v>
      </c>
      <c r="GI74" t="s">
        <v>733</v>
      </c>
      <c r="GJ74" t="s">
        <v>3037</v>
      </c>
      <c r="GK74" t="s">
        <v>733</v>
      </c>
      <c r="GL74" t="s">
        <v>3037</v>
      </c>
      <c r="GM74" t="s">
        <v>733</v>
      </c>
      <c r="GN74" t="s">
        <v>3037</v>
      </c>
      <c r="GO74" t="s">
        <v>733</v>
      </c>
      <c r="GP74" t="s">
        <v>3037</v>
      </c>
      <c r="GQ74" t="s">
        <v>733</v>
      </c>
      <c r="GR74" t="s">
        <v>3037</v>
      </c>
      <c r="GS74" t="s">
        <v>733</v>
      </c>
      <c r="GT74" t="s">
        <v>3037</v>
      </c>
      <c r="GU74" t="s">
        <v>733</v>
      </c>
      <c r="GV74" t="s">
        <v>3037</v>
      </c>
      <c r="GW74" t="s">
        <v>733</v>
      </c>
      <c r="GX74" t="s">
        <v>3037</v>
      </c>
      <c r="GY74" t="s">
        <v>733</v>
      </c>
      <c r="GZ74" t="s">
        <v>3037</v>
      </c>
      <c r="HA74" t="s">
        <v>733</v>
      </c>
      <c r="HB74" t="s">
        <v>3037</v>
      </c>
      <c r="HC74" t="s">
        <v>733</v>
      </c>
      <c r="HD74" t="s">
        <v>3037</v>
      </c>
      <c r="HE74" t="s">
        <v>733</v>
      </c>
      <c r="HF74" t="s">
        <v>3037</v>
      </c>
      <c r="HG74" t="s">
        <v>733</v>
      </c>
      <c r="HH74" t="s">
        <v>3037</v>
      </c>
      <c r="HI74" t="s">
        <v>733</v>
      </c>
      <c r="HJ74" t="s">
        <v>3037</v>
      </c>
      <c r="HK74" t="s">
        <v>733</v>
      </c>
      <c r="HL74" t="s">
        <v>3037</v>
      </c>
      <c r="HM74" t="s">
        <v>733</v>
      </c>
      <c r="HN74" t="s">
        <v>3037</v>
      </c>
      <c r="HO74" t="s">
        <v>733</v>
      </c>
      <c r="HP74" t="s">
        <v>3037</v>
      </c>
      <c r="HQ74" t="s">
        <v>733</v>
      </c>
      <c r="HR74" t="s">
        <v>3037</v>
      </c>
      <c r="HS74" t="s">
        <v>733</v>
      </c>
      <c r="HT74" t="s">
        <v>3037</v>
      </c>
      <c r="HU74" t="s">
        <v>733</v>
      </c>
      <c r="HV74" t="s">
        <v>3037</v>
      </c>
      <c r="HW74" t="s">
        <v>733</v>
      </c>
      <c r="HX74" t="s">
        <v>3037</v>
      </c>
      <c r="HY74" t="s">
        <v>733</v>
      </c>
      <c r="HZ74" t="s">
        <v>3037</v>
      </c>
      <c r="IA74" t="s">
        <v>733</v>
      </c>
      <c r="IB74" t="s">
        <v>3037</v>
      </c>
      <c r="IC74" t="s">
        <v>733</v>
      </c>
      <c r="ID74" t="s">
        <v>3037</v>
      </c>
      <c r="IE74" t="s">
        <v>733</v>
      </c>
      <c r="IF74" t="s">
        <v>3037</v>
      </c>
      <c r="IG74" t="s">
        <v>733</v>
      </c>
      <c r="IH74" t="s">
        <v>3037</v>
      </c>
      <c r="II74" t="s">
        <v>733</v>
      </c>
      <c r="IJ74" t="s">
        <v>3037</v>
      </c>
      <c r="IK74" t="s">
        <v>733</v>
      </c>
      <c r="IL74" t="s">
        <v>3037</v>
      </c>
      <c r="IM74" t="s">
        <v>733</v>
      </c>
      <c r="IN74" t="s">
        <v>3037</v>
      </c>
      <c r="IO74" t="s">
        <v>733</v>
      </c>
      <c r="IP74" t="s">
        <v>3037</v>
      </c>
      <c r="IQ74" t="s">
        <v>733</v>
      </c>
      <c r="IR74" t="s">
        <v>3037</v>
      </c>
      <c r="IS74" t="s">
        <v>733</v>
      </c>
      <c r="IT74" t="s">
        <v>3037</v>
      </c>
      <c r="IU74" t="s">
        <v>733</v>
      </c>
      <c r="IV74" t="s">
        <v>3037</v>
      </c>
      <c r="IW74" t="s">
        <v>733</v>
      </c>
      <c r="IX74" t="s">
        <v>3037</v>
      </c>
      <c r="IY74" t="s">
        <v>733</v>
      </c>
      <c r="IZ74" t="s">
        <v>3037</v>
      </c>
      <c r="JA74" t="s">
        <v>733</v>
      </c>
      <c r="JB74" t="s">
        <v>3037</v>
      </c>
      <c r="JC74" t="s">
        <v>733</v>
      </c>
      <c r="JD74" t="s">
        <v>3037</v>
      </c>
      <c r="JE74" t="s">
        <v>733</v>
      </c>
      <c r="JF74" t="s">
        <v>3037</v>
      </c>
      <c r="JG74" t="s">
        <v>733</v>
      </c>
      <c r="JH74" t="s">
        <v>3037</v>
      </c>
      <c r="JI74" t="s">
        <v>733</v>
      </c>
      <c r="JJ74" t="s">
        <v>3037</v>
      </c>
      <c r="JK74" t="s">
        <v>733</v>
      </c>
      <c r="JL74" t="s">
        <v>3037</v>
      </c>
      <c r="JM74" t="s">
        <v>733</v>
      </c>
      <c r="JN74" t="s">
        <v>3037</v>
      </c>
      <c r="JO74" t="s">
        <v>733</v>
      </c>
      <c r="JP74" t="s">
        <v>3037</v>
      </c>
      <c r="JQ74" t="s">
        <v>733</v>
      </c>
      <c r="JR74" t="s">
        <v>3037</v>
      </c>
      <c r="JS74" t="s">
        <v>733</v>
      </c>
      <c r="JT74" t="s">
        <v>3037</v>
      </c>
      <c r="JU74" t="s">
        <v>733</v>
      </c>
      <c r="JV74" t="s">
        <v>3037</v>
      </c>
      <c r="JW74" t="s">
        <v>733</v>
      </c>
      <c r="JX74" t="s">
        <v>3037</v>
      </c>
      <c r="JY74" t="s">
        <v>733</v>
      </c>
      <c r="JZ74" t="s">
        <v>3037</v>
      </c>
      <c r="KA74" t="s">
        <v>733</v>
      </c>
      <c r="KB74" t="s">
        <v>3037</v>
      </c>
      <c r="KC74" t="s">
        <v>733</v>
      </c>
      <c r="KD74" t="s">
        <v>3037</v>
      </c>
      <c r="KE74" t="s">
        <v>733</v>
      </c>
      <c r="KF74" t="s">
        <v>3037</v>
      </c>
      <c r="KG74" t="s">
        <v>733</v>
      </c>
      <c r="KH74" t="s">
        <v>3037</v>
      </c>
      <c r="KI74" t="s">
        <v>733</v>
      </c>
      <c r="KJ74" t="s">
        <v>3037</v>
      </c>
      <c r="KK74" t="s">
        <v>733</v>
      </c>
      <c r="KL74" t="s">
        <v>3037</v>
      </c>
      <c r="KM74" t="s">
        <v>733</v>
      </c>
      <c r="KN74" t="s">
        <v>3037</v>
      </c>
      <c r="KO74" t="s">
        <v>733</v>
      </c>
      <c r="KP74" t="s">
        <v>3037</v>
      </c>
      <c r="KQ74" t="s">
        <v>733</v>
      </c>
      <c r="KR74" t="s">
        <v>3037</v>
      </c>
      <c r="KS74" t="s">
        <v>733</v>
      </c>
      <c r="KT74" t="s">
        <v>3037</v>
      </c>
      <c r="KU74" t="s">
        <v>733</v>
      </c>
      <c r="KV74" t="s">
        <v>3037</v>
      </c>
      <c r="KW74" t="s">
        <v>733</v>
      </c>
      <c r="KX74" t="s">
        <v>3037</v>
      </c>
      <c r="KY74" t="s">
        <v>733</v>
      </c>
      <c r="KZ74" t="s">
        <v>3037</v>
      </c>
      <c r="LA74" t="s">
        <v>733</v>
      </c>
      <c r="LB74" t="s">
        <v>3037</v>
      </c>
      <c r="LC74" t="s">
        <v>733</v>
      </c>
      <c r="LD74" t="s">
        <v>3037</v>
      </c>
      <c r="LE74" t="s">
        <v>733</v>
      </c>
      <c r="LF74" t="s">
        <v>3037</v>
      </c>
      <c r="LG74" t="s">
        <v>733</v>
      </c>
      <c r="LH74" t="s">
        <v>3037</v>
      </c>
      <c r="LI74" t="s">
        <v>733</v>
      </c>
      <c r="LJ74" t="s">
        <v>3037</v>
      </c>
      <c r="LK74" t="s">
        <v>733</v>
      </c>
      <c r="LL74" t="s">
        <v>3037</v>
      </c>
      <c r="LM74" t="s">
        <v>733</v>
      </c>
      <c r="LN74" t="s">
        <v>3037</v>
      </c>
      <c r="LO74" t="s">
        <v>733</v>
      </c>
      <c r="LP74" t="s">
        <v>3037</v>
      </c>
      <c r="LQ74" t="s">
        <v>733</v>
      </c>
      <c r="LR74" t="s">
        <v>3037</v>
      </c>
      <c r="LS74" t="s">
        <v>733</v>
      </c>
      <c r="LT74" t="s">
        <v>3037</v>
      </c>
      <c r="LU74" t="s">
        <v>733</v>
      </c>
      <c r="LV74" t="s">
        <v>3037</v>
      </c>
      <c r="LW74" t="s">
        <v>733</v>
      </c>
      <c r="LX74" t="s">
        <v>3037</v>
      </c>
      <c r="LY74" t="s">
        <v>733</v>
      </c>
      <c r="LZ74" t="s">
        <v>3037</v>
      </c>
      <c r="MA74" t="s">
        <v>733</v>
      </c>
      <c r="MB74" t="s">
        <v>3037</v>
      </c>
      <c r="MC74" t="s">
        <v>733</v>
      </c>
      <c r="MD74" t="s">
        <v>3037</v>
      </c>
      <c r="ME74" t="s">
        <v>733</v>
      </c>
      <c r="MF74" t="s">
        <v>3037</v>
      </c>
      <c r="MG74" t="s">
        <v>733</v>
      </c>
      <c r="MH74" t="s">
        <v>3037</v>
      </c>
      <c r="MI74" t="s">
        <v>733</v>
      </c>
      <c r="MJ74" t="s">
        <v>3037</v>
      </c>
      <c r="MK74" t="s">
        <v>733</v>
      </c>
      <c r="ML74" t="s">
        <v>3037</v>
      </c>
      <c r="MO74" t="s">
        <v>783</v>
      </c>
      <c r="MP74" t="s">
        <v>784</v>
      </c>
      <c r="MQ74" t="s">
        <v>783</v>
      </c>
      <c r="MR74" t="s">
        <v>907</v>
      </c>
      <c r="MS74" t="s">
        <v>783</v>
      </c>
      <c r="MT74" t="s">
        <v>783</v>
      </c>
      <c r="MU74" t="s">
        <v>783</v>
      </c>
      <c r="MV74" t="s">
        <v>783</v>
      </c>
      <c r="MW74" t="s">
        <v>783</v>
      </c>
      <c r="MX74" t="s">
        <v>783</v>
      </c>
      <c r="MZ74" t="s">
        <v>907</v>
      </c>
      <c r="NA74" t="s">
        <v>783</v>
      </c>
      <c r="NB74" t="s">
        <v>783</v>
      </c>
      <c r="NC74" t="s">
        <v>783</v>
      </c>
      <c r="ND74" t="s">
        <v>783</v>
      </c>
      <c r="NE74" t="s">
        <v>784</v>
      </c>
      <c r="NF74" t="s">
        <v>907</v>
      </c>
      <c r="NG74" t="s">
        <v>784</v>
      </c>
      <c r="NH74" t="s">
        <v>783</v>
      </c>
      <c r="NI74" t="s">
        <v>783</v>
      </c>
      <c r="NJ74" t="s">
        <v>783</v>
      </c>
      <c r="NK74" t="s">
        <v>783</v>
      </c>
      <c r="NL74" t="s">
        <v>784</v>
      </c>
      <c r="NM74" t="s">
        <v>783</v>
      </c>
      <c r="NN74" t="s">
        <v>784</v>
      </c>
      <c r="NO74" t="s">
        <v>784</v>
      </c>
      <c r="NP74" t="s">
        <v>784</v>
      </c>
      <c r="NQ74" t="s">
        <v>783</v>
      </c>
      <c r="NR74" t="s">
        <v>783</v>
      </c>
      <c r="NS74" t="s">
        <v>784</v>
      </c>
      <c r="NT74" t="s">
        <v>784</v>
      </c>
      <c r="NU74" t="s">
        <v>783</v>
      </c>
      <c r="NV74" t="s">
        <v>784</v>
      </c>
      <c r="NW74" t="s">
        <v>784</v>
      </c>
      <c r="NX74" t="s">
        <v>783</v>
      </c>
      <c r="NY74" t="s">
        <v>784</v>
      </c>
      <c r="NZ74" t="s">
        <v>783</v>
      </c>
      <c r="OA74" t="s">
        <v>783</v>
      </c>
      <c r="OB74" t="s">
        <v>784</v>
      </c>
      <c r="OC74" t="s">
        <v>784</v>
      </c>
      <c r="OD74" t="s">
        <v>783</v>
      </c>
      <c r="OE74" t="s">
        <v>783</v>
      </c>
      <c r="OF74" t="s">
        <v>783</v>
      </c>
      <c r="OG74" t="s">
        <v>783</v>
      </c>
      <c r="OH74" t="s">
        <v>783</v>
      </c>
      <c r="OI74" t="s">
        <v>783</v>
      </c>
      <c r="OJ74" t="s">
        <v>783</v>
      </c>
    </row>
    <row r="75" spans="1:400" x14ac:dyDescent="0.25">
      <c r="A75">
        <v>69</v>
      </c>
      <c r="B75" t="s">
        <v>332</v>
      </c>
      <c r="C75" t="s">
        <v>333</v>
      </c>
      <c r="D75" t="s">
        <v>97</v>
      </c>
      <c r="E75">
        <v>39</v>
      </c>
      <c r="F75" t="s">
        <v>58</v>
      </c>
      <c r="G75" t="s">
        <v>59</v>
      </c>
      <c r="H75" t="s">
        <v>60</v>
      </c>
      <c r="I75" t="s">
        <v>113</v>
      </c>
      <c r="J75" t="s">
        <v>62</v>
      </c>
      <c r="K75" t="s">
        <v>84</v>
      </c>
      <c r="L75" t="s">
        <v>98</v>
      </c>
      <c r="M75" t="s">
        <v>146</v>
      </c>
      <c r="N75" t="s">
        <v>316</v>
      </c>
      <c r="O75">
        <v>3</v>
      </c>
      <c r="P75" s="1">
        <v>50000</v>
      </c>
      <c r="Q75" s="1">
        <v>0</v>
      </c>
      <c r="R75" t="s">
        <v>334</v>
      </c>
      <c r="S75" s="7">
        <v>32000</v>
      </c>
      <c r="T75" t="s">
        <v>319</v>
      </c>
      <c r="U75" s="5">
        <v>18000</v>
      </c>
      <c r="V75" s="3" t="s">
        <v>70</v>
      </c>
      <c r="W75" s="5">
        <v>0</v>
      </c>
      <c r="X75" t="s">
        <v>94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P75" t="s">
        <v>63</v>
      </c>
      <c r="AR75">
        <v>1</v>
      </c>
      <c r="AS75" s="2">
        <v>0.75</v>
      </c>
      <c r="AT75" t="s">
        <v>531</v>
      </c>
      <c r="AU75">
        <v>0</v>
      </c>
      <c r="AV75">
        <v>0</v>
      </c>
      <c r="AW75">
        <v>1</v>
      </c>
      <c r="AX75">
        <v>0</v>
      </c>
      <c r="AY75">
        <v>0</v>
      </c>
      <c r="AZ75" t="s">
        <v>558</v>
      </c>
      <c r="BA75" t="s">
        <v>530</v>
      </c>
      <c r="BC75" t="s">
        <v>512</v>
      </c>
      <c r="BD75" t="s">
        <v>513</v>
      </c>
      <c r="BE75">
        <v>2009</v>
      </c>
      <c r="BF75">
        <v>14</v>
      </c>
      <c r="BG75" t="s">
        <v>508</v>
      </c>
      <c r="BH75">
        <v>1</v>
      </c>
      <c r="BI75">
        <v>0</v>
      </c>
      <c r="BJ75">
        <v>0</v>
      </c>
      <c r="BK75">
        <v>0</v>
      </c>
      <c r="BL75">
        <v>0</v>
      </c>
      <c r="BM75" t="s">
        <v>63</v>
      </c>
      <c r="BN75" t="s">
        <v>84</v>
      </c>
      <c r="CM75" t="s">
        <v>785</v>
      </c>
      <c r="CN75" t="s">
        <v>84</v>
      </c>
      <c r="CO75" t="s">
        <v>84</v>
      </c>
      <c r="CZ75" s="26"/>
      <c r="DA75" s="27"/>
      <c r="DB75" t="s">
        <v>976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J75" t="s">
        <v>84</v>
      </c>
      <c r="DK75" s="35"/>
      <c r="DL75" s="37"/>
      <c r="FI75" t="s">
        <v>736</v>
      </c>
      <c r="FJ75" t="s">
        <v>3038</v>
      </c>
      <c r="FK75" t="s">
        <v>736</v>
      </c>
      <c r="FL75" t="s">
        <v>3039</v>
      </c>
      <c r="FM75" t="s">
        <v>733</v>
      </c>
      <c r="FN75" t="s">
        <v>3040</v>
      </c>
      <c r="FO75" t="s">
        <v>733</v>
      </c>
      <c r="FP75" t="s">
        <v>3040</v>
      </c>
      <c r="FQ75" t="s">
        <v>733</v>
      </c>
      <c r="FR75" t="s">
        <v>3040</v>
      </c>
      <c r="FS75" t="s">
        <v>733</v>
      </c>
      <c r="FT75" t="s">
        <v>3040</v>
      </c>
      <c r="FU75" t="s">
        <v>733</v>
      </c>
      <c r="FV75" t="s">
        <v>3040</v>
      </c>
      <c r="FW75" t="s">
        <v>733</v>
      </c>
      <c r="FX75" t="s">
        <v>3040</v>
      </c>
      <c r="FY75" t="s">
        <v>733</v>
      </c>
      <c r="FZ75" t="s">
        <v>3040</v>
      </c>
      <c r="GA75" t="s">
        <v>733</v>
      </c>
      <c r="GB75" t="s">
        <v>3040</v>
      </c>
      <c r="GC75" t="s">
        <v>733</v>
      </c>
      <c r="GD75" t="s">
        <v>3040</v>
      </c>
      <c r="GE75" t="s">
        <v>733</v>
      </c>
      <c r="GF75" t="s">
        <v>3040</v>
      </c>
      <c r="GG75" t="s">
        <v>733</v>
      </c>
      <c r="GH75" t="s">
        <v>3040</v>
      </c>
      <c r="GI75" t="s">
        <v>733</v>
      </c>
      <c r="GJ75" t="s">
        <v>3040</v>
      </c>
      <c r="GK75" t="s">
        <v>733</v>
      </c>
      <c r="GL75" t="s">
        <v>3040</v>
      </c>
      <c r="GM75" t="s">
        <v>733</v>
      </c>
      <c r="GN75" t="s">
        <v>3040</v>
      </c>
      <c r="GO75" t="s">
        <v>733</v>
      </c>
      <c r="GP75" t="s">
        <v>3040</v>
      </c>
      <c r="GQ75" t="s">
        <v>733</v>
      </c>
      <c r="GR75" t="s">
        <v>3040</v>
      </c>
      <c r="GS75" t="s">
        <v>733</v>
      </c>
      <c r="GT75" t="s">
        <v>3040</v>
      </c>
      <c r="GU75" t="s">
        <v>733</v>
      </c>
      <c r="GV75" t="s">
        <v>3040</v>
      </c>
      <c r="GW75" t="s">
        <v>736</v>
      </c>
      <c r="GX75" t="s">
        <v>3041</v>
      </c>
      <c r="GY75" t="s">
        <v>736</v>
      </c>
      <c r="GZ75" t="s">
        <v>3041</v>
      </c>
      <c r="HA75" t="s">
        <v>736</v>
      </c>
      <c r="HB75" t="s">
        <v>3041</v>
      </c>
      <c r="HC75" t="s">
        <v>736</v>
      </c>
      <c r="HD75" t="s">
        <v>3041</v>
      </c>
      <c r="HE75" t="s">
        <v>798</v>
      </c>
      <c r="HF75" t="s">
        <v>3041</v>
      </c>
      <c r="HG75" t="s">
        <v>736</v>
      </c>
      <c r="HH75" t="s">
        <v>3041</v>
      </c>
      <c r="HI75" t="s">
        <v>736</v>
      </c>
      <c r="HJ75" t="s">
        <v>3041</v>
      </c>
      <c r="HK75" t="s">
        <v>746</v>
      </c>
      <c r="HL75" t="s">
        <v>2514</v>
      </c>
      <c r="HM75" t="s">
        <v>746</v>
      </c>
      <c r="HN75" t="s">
        <v>2514</v>
      </c>
      <c r="HO75" t="s">
        <v>746</v>
      </c>
      <c r="HP75" t="s">
        <v>2514</v>
      </c>
      <c r="HQ75" t="s">
        <v>746</v>
      </c>
      <c r="HR75" t="s">
        <v>2514</v>
      </c>
      <c r="HS75" t="s">
        <v>736</v>
      </c>
      <c r="HT75" t="s">
        <v>3042</v>
      </c>
      <c r="HU75" t="s">
        <v>736</v>
      </c>
      <c r="HV75" t="s">
        <v>3042</v>
      </c>
      <c r="HW75" t="s">
        <v>736</v>
      </c>
      <c r="HX75" t="s">
        <v>3043</v>
      </c>
      <c r="HY75" t="s">
        <v>736</v>
      </c>
      <c r="HZ75" t="s">
        <v>3043</v>
      </c>
      <c r="IA75" t="s">
        <v>736</v>
      </c>
      <c r="IB75" t="s">
        <v>3043</v>
      </c>
      <c r="IC75" t="s">
        <v>736</v>
      </c>
      <c r="ID75" t="s">
        <v>3043</v>
      </c>
      <c r="IE75" t="s">
        <v>746</v>
      </c>
      <c r="IF75" t="s">
        <v>3044</v>
      </c>
      <c r="IG75" t="s">
        <v>746</v>
      </c>
      <c r="IH75" t="s">
        <v>3044</v>
      </c>
      <c r="II75" t="s">
        <v>736</v>
      </c>
      <c r="IJ75" t="s">
        <v>3045</v>
      </c>
      <c r="IK75" t="s">
        <v>736</v>
      </c>
      <c r="IL75" t="s">
        <v>3046</v>
      </c>
      <c r="IM75" t="s">
        <v>746</v>
      </c>
      <c r="IN75" t="s">
        <v>3047</v>
      </c>
      <c r="IO75" t="s">
        <v>746</v>
      </c>
      <c r="IP75" t="s">
        <v>3047</v>
      </c>
      <c r="IQ75" t="s">
        <v>746</v>
      </c>
      <c r="IR75" t="s">
        <v>3047</v>
      </c>
      <c r="IS75" t="s">
        <v>746</v>
      </c>
      <c r="IT75" t="s">
        <v>3047</v>
      </c>
      <c r="IU75" t="s">
        <v>746</v>
      </c>
      <c r="IV75" t="s">
        <v>3047</v>
      </c>
      <c r="IW75" t="s">
        <v>746</v>
      </c>
      <c r="IX75" t="s">
        <v>3047</v>
      </c>
      <c r="IY75" t="s">
        <v>746</v>
      </c>
      <c r="IZ75" t="s">
        <v>3047</v>
      </c>
      <c r="JA75" t="s">
        <v>746</v>
      </c>
      <c r="JB75" t="s">
        <v>3047</v>
      </c>
      <c r="JC75" t="s">
        <v>746</v>
      </c>
      <c r="JD75" t="s">
        <v>3047</v>
      </c>
      <c r="JE75" t="s">
        <v>746</v>
      </c>
      <c r="JF75" t="s">
        <v>3047</v>
      </c>
      <c r="JG75" t="s">
        <v>746</v>
      </c>
      <c r="JH75" t="s">
        <v>3047</v>
      </c>
      <c r="JI75" t="s">
        <v>746</v>
      </c>
      <c r="JJ75" t="s">
        <v>3047</v>
      </c>
      <c r="JK75" t="s">
        <v>746</v>
      </c>
      <c r="JL75" t="s">
        <v>3047</v>
      </c>
      <c r="JM75" t="s">
        <v>746</v>
      </c>
      <c r="JN75" t="s">
        <v>3047</v>
      </c>
      <c r="JO75" t="s">
        <v>746</v>
      </c>
      <c r="JP75" t="s">
        <v>3047</v>
      </c>
      <c r="JQ75" t="s">
        <v>746</v>
      </c>
      <c r="JR75" t="s">
        <v>3047</v>
      </c>
      <c r="JS75" t="s">
        <v>746</v>
      </c>
      <c r="JT75" t="s">
        <v>3047</v>
      </c>
      <c r="JU75" t="s">
        <v>746</v>
      </c>
      <c r="JV75" t="s">
        <v>3047</v>
      </c>
      <c r="JW75" t="s">
        <v>746</v>
      </c>
      <c r="JX75" t="s">
        <v>3047</v>
      </c>
      <c r="JY75" t="s">
        <v>746</v>
      </c>
      <c r="JZ75" t="s">
        <v>3047</v>
      </c>
      <c r="KA75" t="s">
        <v>746</v>
      </c>
      <c r="KB75" t="s">
        <v>3047</v>
      </c>
      <c r="KC75" t="s">
        <v>746</v>
      </c>
      <c r="KD75" t="s">
        <v>3047</v>
      </c>
      <c r="KE75" t="s">
        <v>746</v>
      </c>
      <c r="KF75" t="s">
        <v>3047</v>
      </c>
      <c r="KG75" t="s">
        <v>746</v>
      </c>
      <c r="KH75" t="s">
        <v>3047</v>
      </c>
      <c r="KI75" t="s">
        <v>746</v>
      </c>
      <c r="KJ75" t="s">
        <v>3047</v>
      </c>
      <c r="KK75" t="s">
        <v>746</v>
      </c>
      <c r="KL75" t="s">
        <v>3047</v>
      </c>
      <c r="KM75" t="s">
        <v>733</v>
      </c>
      <c r="KN75" t="s">
        <v>3048</v>
      </c>
      <c r="KO75" t="s">
        <v>733</v>
      </c>
      <c r="KP75" t="s">
        <v>3048</v>
      </c>
      <c r="KQ75" t="s">
        <v>733</v>
      </c>
      <c r="KR75" t="s">
        <v>3048</v>
      </c>
      <c r="KS75" t="s">
        <v>733</v>
      </c>
      <c r="KT75" t="s">
        <v>3048</v>
      </c>
      <c r="KU75" t="s">
        <v>733</v>
      </c>
      <c r="KV75" t="s">
        <v>3048</v>
      </c>
      <c r="KW75" t="s">
        <v>733</v>
      </c>
      <c r="KX75" t="s">
        <v>3048</v>
      </c>
      <c r="KY75" t="s">
        <v>733</v>
      </c>
      <c r="KZ75" t="s">
        <v>3048</v>
      </c>
      <c r="LA75" t="s">
        <v>733</v>
      </c>
      <c r="LB75" t="s">
        <v>3048</v>
      </c>
      <c r="LC75" t="s">
        <v>736</v>
      </c>
      <c r="LD75" t="s">
        <v>3049</v>
      </c>
      <c r="LE75" t="s">
        <v>736</v>
      </c>
      <c r="LF75" t="s">
        <v>3049</v>
      </c>
      <c r="LG75" t="s">
        <v>736</v>
      </c>
      <c r="LH75" t="s">
        <v>3049</v>
      </c>
      <c r="LI75" t="s">
        <v>736</v>
      </c>
      <c r="LJ75" t="s">
        <v>3049</v>
      </c>
      <c r="LK75" t="s">
        <v>733</v>
      </c>
      <c r="LL75" t="s">
        <v>3050</v>
      </c>
      <c r="LM75" t="s">
        <v>733</v>
      </c>
      <c r="LN75" t="s">
        <v>3051</v>
      </c>
      <c r="LO75" t="s">
        <v>733</v>
      </c>
      <c r="LP75" t="s">
        <v>3051</v>
      </c>
      <c r="LQ75" t="s">
        <v>733</v>
      </c>
      <c r="LR75" t="s">
        <v>3051</v>
      </c>
      <c r="LS75" t="s">
        <v>733</v>
      </c>
      <c r="LT75" t="s">
        <v>3051</v>
      </c>
      <c r="LU75" t="s">
        <v>733</v>
      </c>
      <c r="LV75" t="s">
        <v>3051</v>
      </c>
      <c r="LW75" t="s">
        <v>736</v>
      </c>
      <c r="LX75" t="s">
        <v>3052</v>
      </c>
      <c r="LY75" t="s">
        <v>736</v>
      </c>
      <c r="LZ75" t="s">
        <v>3052</v>
      </c>
      <c r="MA75" t="s">
        <v>736</v>
      </c>
      <c r="MB75" t="s">
        <v>3053</v>
      </c>
      <c r="MC75" t="s">
        <v>736</v>
      </c>
      <c r="MD75" t="s">
        <v>3054</v>
      </c>
      <c r="ME75" t="s">
        <v>736</v>
      </c>
      <c r="MF75" t="s">
        <v>3054</v>
      </c>
      <c r="MG75" t="s">
        <v>736</v>
      </c>
      <c r="MH75" t="s">
        <v>3054</v>
      </c>
      <c r="MI75" t="s">
        <v>746</v>
      </c>
      <c r="MJ75" t="s">
        <v>3055</v>
      </c>
      <c r="MK75" t="s">
        <v>746</v>
      </c>
      <c r="ML75" t="s">
        <v>3056</v>
      </c>
      <c r="MO75" t="s">
        <v>781</v>
      </c>
      <c r="MP75" t="s">
        <v>784</v>
      </c>
      <c r="MQ75" t="s">
        <v>783</v>
      </c>
      <c r="MR75" t="s">
        <v>783</v>
      </c>
      <c r="MS75" t="s">
        <v>783</v>
      </c>
      <c r="MT75" t="s">
        <v>783</v>
      </c>
      <c r="MU75" t="s">
        <v>783</v>
      </c>
      <c r="MV75" t="s">
        <v>783</v>
      </c>
      <c r="MW75" t="s">
        <v>783</v>
      </c>
      <c r="MX75" t="s">
        <v>783</v>
      </c>
      <c r="MZ75" t="s">
        <v>783</v>
      </c>
      <c r="NA75" t="s">
        <v>783</v>
      </c>
      <c r="NB75" t="s">
        <v>783</v>
      </c>
      <c r="NC75" t="s">
        <v>783</v>
      </c>
      <c r="ND75" t="s">
        <v>783</v>
      </c>
      <c r="NE75" t="s">
        <v>784</v>
      </c>
      <c r="NF75" t="s">
        <v>783</v>
      </c>
      <c r="NG75" t="s">
        <v>783</v>
      </c>
      <c r="NH75" t="s">
        <v>783</v>
      </c>
      <c r="NI75" t="s">
        <v>783</v>
      </c>
      <c r="NJ75" t="s">
        <v>783</v>
      </c>
      <c r="NK75" t="s">
        <v>783</v>
      </c>
      <c r="NL75" t="s">
        <v>783</v>
      </c>
      <c r="NM75" t="s">
        <v>783</v>
      </c>
      <c r="NN75" t="s">
        <v>784</v>
      </c>
      <c r="NO75" t="s">
        <v>784</v>
      </c>
      <c r="NP75" t="s">
        <v>783</v>
      </c>
      <c r="NQ75" t="s">
        <v>783</v>
      </c>
      <c r="NR75" t="s">
        <v>783</v>
      </c>
      <c r="NS75" t="s">
        <v>783</v>
      </c>
      <c r="NT75" t="s">
        <v>784</v>
      </c>
      <c r="NU75" t="s">
        <v>783</v>
      </c>
      <c r="NV75" t="s">
        <v>783</v>
      </c>
      <c r="NW75" t="s">
        <v>784</v>
      </c>
      <c r="NX75" t="s">
        <v>784</v>
      </c>
      <c r="NY75" t="s">
        <v>783</v>
      </c>
      <c r="NZ75" t="s">
        <v>783</v>
      </c>
      <c r="OA75" t="s">
        <v>783</v>
      </c>
      <c r="OB75" t="s">
        <v>783</v>
      </c>
      <c r="OC75" t="s">
        <v>783</v>
      </c>
      <c r="OD75" t="s">
        <v>783</v>
      </c>
      <c r="OE75" t="s">
        <v>783</v>
      </c>
      <c r="OF75" t="s">
        <v>783</v>
      </c>
      <c r="OG75" t="s">
        <v>783</v>
      </c>
      <c r="OH75" t="s">
        <v>783</v>
      </c>
      <c r="OI75" t="s">
        <v>783</v>
      </c>
      <c r="OJ75" t="s">
        <v>783</v>
      </c>
    </row>
    <row r="76" spans="1:400" x14ac:dyDescent="0.25">
      <c r="A76">
        <v>70</v>
      </c>
      <c r="B76" t="s">
        <v>3057</v>
      </c>
      <c r="C76" t="s">
        <v>338</v>
      </c>
      <c r="D76" t="s">
        <v>57</v>
      </c>
      <c r="E76">
        <v>29</v>
      </c>
      <c r="F76" t="s">
        <v>58</v>
      </c>
      <c r="G76" t="s">
        <v>76</v>
      </c>
      <c r="H76" t="s">
        <v>60</v>
      </c>
      <c r="I76" t="s">
        <v>106</v>
      </c>
      <c r="J76" t="s">
        <v>62</v>
      </c>
      <c r="K76" t="s">
        <v>63</v>
      </c>
      <c r="M76" t="s">
        <v>146</v>
      </c>
      <c r="N76" t="s">
        <v>70</v>
      </c>
      <c r="O76">
        <v>6</v>
      </c>
      <c r="P76" s="1">
        <v>150000</v>
      </c>
      <c r="Q76" s="1">
        <v>0</v>
      </c>
      <c r="R76" t="s">
        <v>81</v>
      </c>
      <c r="S76" s="7">
        <v>150000</v>
      </c>
      <c r="T76" t="s">
        <v>70</v>
      </c>
      <c r="U76" s="5">
        <v>0</v>
      </c>
      <c r="V76" s="3" t="s">
        <v>70</v>
      </c>
      <c r="W76" s="5">
        <v>0</v>
      </c>
      <c r="X76" t="s">
        <v>94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P76" t="s">
        <v>63</v>
      </c>
      <c r="AR76">
        <v>1</v>
      </c>
      <c r="AS76" s="2">
        <v>0.25</v>
      </c>
      <c r="AT76" t="s">
        <v>531</v>
      </c>
      <c r="AU76">
        <v>0</v>
      </c>
      <c r="AV76">
        <v>0</v>
      </c>
      <c r="AW76">
        <v>1</v>
      </c>
      <c r="AX76">
        <v>0</v>
      </c>
      <c r="AY76">
        <v>0</v>
      </c>
      <c r="AZ76" t="s">
        <v>572</v>
      </c>
      <c r="BA76" t="s">
        <v>530</v>
      </c>
      <c r="BC76" t="s">
        <v>512</v>
      </c>
      <c r="BD76" t="s">
        <v>513</v>
      </c>
      <c r="BE76">
        <v>2005</v>
      </c>
      <c r="BF76">
        <v>18</v>
      </c>
      <c r="BG76" t="s">
        <v>561</v>
      </c>
      <c r="BH76">
        <v>1</v>
      </c>
      <c r="BI76">
        <v>0</v>
      </c>
      <c r="BJ76">
        <v>0</v>
      </c>
      <c r="BK76">
        <v>0</v>
      </c>
      <c r="BL76">
        <v>1</v>
      </c>
      <c r="BM76" t="s">
        <v>63</v>
      </c>
      <c r="BN76" t="s">
        <v>63</v>
      </c>
      <c r="BO76" t="s">
        <v>3913</v>
      </c>
      <c r="BP76" t="s">
        <v>3889</v>
      </c>
      <c r="BR76" t="s">
        <v>3854</v>
      </c>
      <c r="BS76" t="s">
        <v>3838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0</v>
      </c>
      <c r="CA76" t="s">
        <v>3839</v>
      </c>
      <c r="CC76" t="s">
        <v>3840</v>
      </c>
      <c r="CD76" t="s">
        <v>3841</v>
      </c>
      <c r="CE76" t="s">
        <v>3842</v>
      </c>
      <c r="CF76">
        <v>1</v>
      </c>
      <c r="CG76">
        <v>1</v>
      </c>
      <c r="CH76">
        <v>0</v>
      </c>
      <c r="CI76">
        <v>0</v>
      </c>
      <c r="CJ76">
        <v>0</v>
      </c>
      <c r="CK76">
        <v>0</v>
      </c>
      <c r="CN76" t="s">
        <v>63</v>
      </c>
      <c r="CO76" t="s">
        <v>84</v>
      </c>
      <c r="CZ76" s="26"/>
      <c r="DA76" s="27"/>
      <c r="DB76" t="s">
        <v>2996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 t="s">
        <v>3058</v>
      </c>
      <c r="DJ76" t="s">
        <v>84</v>
      </c>
      <c r="DK76" s="35"/>
      <c r="DL76" s="37"/>
      <c r="FI76" t="s">
        <v>733</v>
      </c>
      <c r="FJ76" t="s">
        <v>3059</v>
      </c>
      <c r="FK76" t="s">
        <v>733</v>
      </c>
      <c r="FL76" t="s">
        <v>3059</v>
      </c>
      <c r="FM76" t="s">
        <v>733</v>
      </c>
      <c r="FN76" t="s">
        <v>3059</v>
      </c>
      <c r="FO76" t="s">
        <v>733</v>
      </c>
      <c r="FP76" t="s">
        <v>3059</v>
      </c>
      <c r="FQ76" t="s">
        <v>733</v>
      </c>
      <c r="FR76" t="s">
        <v>3059</v>
      </c>
      <c r="FS76" t="s">
        <v>733</v>
      </c>
      <c r="FT76" t="s">
        <v>3059</v>
      </c>
      <c r="FU76" t="s">
        <v>733</v>
      </c>
      <c r="FV76" t="s">
        <v>3059</v>
      </c>
      <c r="FW76" t="s">
        <v>733</v>
      </c>
      <c r="FX76" t="s">
        <v>3059</v>
      </c>
      <c r="FY76" t="s">
        <v>733</v>
      </c>
      <c r="FZ76" t="s">
        <v>3059</v>
      </c>
      <c r="GA76" t="s">
        <v>733</v>
      </c>
      <c r="GB76" t="s">
        <v>3059</v>
      </c>
      <c r="GC76" t="s">
        <v>733</v>
      </c>
      <c r="GD76" t="s">
        <v>3059</v>
      </c>
      <c r="GE76" t="s">
        <v>733</v>
      </c>
      <c r="GF76" t="s">
        <v>3059</v>
      </c>
      <c r="GG76" t="s">
        <v>746</v>
      </c>
      <c r="GH76" t="s">
        <v>3060</v>
      </c>
      <c r="GI76" t="s">
        <v>746</v>
      </c>
      <c r="GJ76" t="s">
        <v>3060</v>
      </c>
      <c r="GK76" t="s">
        <v>733</v>
      </c>
      <c r="GL76" t="s">
        <v>3059</v>
      </c>
      <c r="GM76" t="s">
        <v>733</v>
      </c>
      <c r="GN76" t="s">
        <v>3059</v>
      </c>
      <c r="GO76" t="s">
        <v>733</v>
      </c>
      <c r="GP76" t="s">
        <v>3059</v>
      </c>
      <c r="GQ76" t="s">
        <v>733</v>
      </c>
      <c r="GR76" t="s">
        <v>3059</v>
      </c>
      <c r="GS76" t="s">
        <v>733</v>
      </c>
      <c r="GT76" t="s">
        <v>3059</v>
      </c>
      <c r="GU76" t="s">
        <v>733</v>
      </c>
      <c r="GV76" t="s">
        <v>3059</v>
      </c>
      <c r="GW76" t="s">
        <v>733</v>
      </c>
      <c r="GX76" t="s">
        <v>3061</v>
      </c>
      <c r="GY76" t="s">
        <v>733</v>
      </c>
      <c r="GZ76" t="s">
        <v>3061</v>
      </c>
      <c r="HA76" t="s">
        <v>733</v>
      </c>
      <c r="HB76" t="s">
        <v>3061</v>
      </c>
      <c r="HC76" t="s">
        <v>733</v>
      </c>
      <c r="HD76" t="s">
        <v>3061</v>
      </c>
      <c r="HE76" t="s">
        <v>733</v>
      </c>
      <c r="HF76" t="s">
        <v>3061</v>
      </c>
      <c r="HG76" t="s">
        <v>733</v>
      </c>
      <c r="HH76" t="s">
        <v>3061</v>
      </c>
      <c r="HI76" t="s">
        <v>733</v>
      </c>
      <c r="HJ76" t="s">
        <v>3061</v>
      </c>
      <c r="HK76" t="s">
        <v>733</v>
      </c>
      <c r="HL76" t="s">
        <v>3061</v>
      </c>
      <c r="HM76" t="s">
        <v>733</v>
      </c>
      <c r="HN76" t="s">
        <v>3061</v>
      </c>
      <c r="HO76" t="s">
        <v>746</v>
      </c>
      <c r="HP76" t="s">
        <v>2514</v>
      </c>
      <c r="HQ76" t="s">
        <v>746</v>
      </c>
      <c r="HR76" t="s">
        <v>2514</v>
      </c>
      <c r="HS76" t="s">
        <v>733</v>
      </c>
      <c r="HT76" t="s">
        <v>3061</v>
      </c>
      <c r="HU76" t="s">
        <v>733</v>
      </c>
      <c r="HV76" t="s">
        <v>3061</v>
      </c>
      <c r="HW76" t="s">
        <v>733</v>
      </c>
      <c r="HX76" t="s">
        <v>2075</v>
      </c>
      <c r="HY76" t="s">
        <v>733</v>
      </c>
      <c r="HZ76" t="s">
        <v>1763</v>
      </c>
      <c r="IA76" t="s">
        <v>733</v>
      </c>
      <c r="IB76" t="s">
        <v>3061</v>
      </c>
      <c r="IC76" t="s">
        <v>733</v>
      </c>
      <c r="ID76" t="s">
        <v>3061</v>
      </c>
      <c r="IE76" t="s">
        <v>733</v>
      </c>
      <c r="IF76" t="s">
        <v>3061</v>
      </c>
      <c r="IG76" t="s">
        <v>733</v>
      </c>
      <c r="IH76" t="s">
        <v>3061</v>
      </c>
      <c r="II76" t="s">
        <v>733</v>
      </c>
      <c r="IJ76" t="s">
        <v>3061</v>
      </c>
      <c r="IK76" t="s">
        <v>733</v>
      </c>
      <c r="IL76" t="s">
        <v>3061</v>
      </c>
      <c r="IM76" t="s">
        <v>746</v>
      </c>
      <c r="IN76" t="s">
        <v>3062</v>
      </c>
      <c r="IO76" t="s">
        <v>746</v>
      </c>
      <c r="IP76" t="s">
        <v>3062</v>
      </c>
      <c r="IQ76" t="s">
        <v>746</v>
      </c>
      <c r="IR76" t="s">
        <v>3062</v>
      </c>
      <c r="IS76" t="s">
        <v>746</v>
      </c>
      <c r="IT76" t="s">
        <v>3062</v>
      </c>
      <c r="IU76" t="s">
        <v>746</v>
      </c>
      <c r="IV76" t="s">
        <v>3062</v>
      </c>
      <c r="IW76" t="s">
        <v>746</v>
      </c>
      <c r="IX76" t="s">
        <v>3062</v>
      </c>
      <c r="IY76" t="s">
        <v>746</v>
      </c>
      <c r="IZ76" t="s">
        <v>3062</v>
      </c>
      <c r="JA76" t="s">
        <v>746</v>
      </c>
      <c r="JB76" t="s">
        <v>3062</v>
      </c>
      <c r="JC76" t="s">
        <v>746</v>
      </c>
      <c r="JD76" t="s">
        <v>3062</v>
      </c>
      <c r="JE76" t="s">
        <v>746</v>
      </c>
      <c r="JF76" t="s">
        <v>3062</v>
      </c>
      <c r="JG76" t="s">
        <v>746</v>
      </c>
      <c r="JH76" t="s">
        <v>3062</v>
      </c>
      <c r="JI76" t="s">
        <v>746</v>
      </c>
      <c r="JJ76" t="s">
        <v>3062</v>
      </c>
      <c r="JS76" t="s">
        <v>746</v>
      </c>
      <c r="JT76" t="s">
        <v>3062</v>
      </c>
      <c r="JU76" t="s">
        <v>746</v>
      </c>
      <c r="JV76" t="s">
        <v>3062</v>
      </c>
      <c r="JW76" t="s">
        <v>746</v>
      </c>
      <c r="JX76" t="s">
        <v>3062</v>
      </c>
      <c r="JY76" t="s">
        <v>746</v>
      </c>
      <c r="JZ76" t="s">
        <v>3062</v>
      </c>
      <c r="KA76" t="s">
        <v>746</v>
      </c>
      <c r="KB76" t="s">
        <v>3062</v>
      </c>
      <c r="KC76" t="s">
        <v>746</v>
      </c>
      <c r="KD76" t="s">
        <v>3062</v>
      </c>
      <c r="KE76" t="s">
        <v>746</v>
      </c>
      <c r="KF76" t="s">
        <v>3062</v>
      </c>
      <c r="KG76" t="s">
        <v>746</v>
      </c>
      <c r="KH76" t="s">
        <v>3062</v>
      </c>
      <c r="KI76" t="s">
        <v>746</v>
      </c>
      <c r="KJ76" t="s">
        <v>3062</v>
      </c>
      <c r="KK76" t="s">
        <v>746</v>
      </c>
      <c r="KL76" t="s">
        <v>3062</v>
      </c>
      <c r="KM76" t="s">
        <v>746</v>
      </c>
      <c r="KN76" t="s">
        <v>3062</v>
      </c>
      <c r="KO76" t="s">
        <v>746</v>
      </c>
      <c r="KP76" t="s">
        <v>3062</v>
      </c>
      <c r="KQ76" t="s">
        <v>746</v>
      </c>
      <c r="KR76" t="s">
        <v>3062</v>
      </c>
      <c r="KS76" t="s">
        <v>746</v>
      </c>
      <c r="KT76" t="s">
        <v>3062</v>
      </c>
      <c r="KU76" t="s">
        <v>746</v>
      </c>
      <c r="KV76" t="s">
        <v>3063</v>
      </c>
      <c r="KW76" t="s">
        <v>746</v>
      </c>
      <c r="KX76" t="s">
        <v>3064</v>
      </c>
      <c r="KY76" t="s">
        <v>746</v>
      </c>
      <c r="KZ76" t="s">
        <v>3062</v>
      </c>
      <c r="LA76" t="s">
        <v>746</v>
      </c>
      <c r="LB76" t="s">
        <v>3062</v>
      </c>
      <c r="LC76" t="s">
        <v>746</v>
      </c>
      <c r="LD76" t="s">
        <v>3065</v>
      </c>
      <c r="LE76" t="s">
        <v>746</v>
      </c>
      <c r="LF76" t="s">
        <v>3065</v>
      </c>
      <c r="LG76" t="s">
        <v>746</v>
      </c>
      <c r="LH76" t="s">
        <v>3065</v>
      </c>
      <c r="LI76" t="s">
        <v>746</v>
      </c>
      <c r="LJ76" t="s">
        <v>3065</v>
      </c>
      <c r="LK76" t="s">
        <v>746</v>
      </c>
      <c r="LL76" t="s">
        <v>3065</v>
      </c>
      <c r="LM76" t="s">
        <v>746</v>
      </c>
      <c r="LN76" t="s">
        <v>3065</v>
      </c>
      <c r="LO76" t="s">
        <v>746</v>
      </c>
      <c r="LP76" t="s">
        <v>3065</v>
      </c>
      <c r="LQ76" t="s">
        <v>746</v>
      </c>
      <c r="LR76" t="s">
        <v>3065</v>
      </c>
      <c r="LS76" t="s">
        <v>746</v>
      </c>
      <c r="LT76" t="s">
        <v>3065</v>
      </c>
      <c r="LU76" t="s">
        <v>746</v>
      </c>
      <c r="LV76" t="s">
        <v>3065</v>
      </c>
      <c r="LW76" t="s">
        <v>746</v>
      </c>
      <c r="LX76" t="s">
        <v>3065</v>
      </c>
      <c r="LY76" t="s">
        <v>746</v>
      </c>
      <c r="LZ76" t="s">
        <v>3065</v>
      </c>
      <c r="MA76" t="s">
        <v>746</v>
      </c>
      <c r="MB76" t="s">
        <v>3065</v>
      </c>
      <c r="MC76" t="s">
        <v>746</v>
      </c>
      <c r="MD76" t="s">
        <v>3065</v>
      </c>
      <c r="ME76" t="s">
        <v>746</v>
      </c>
      <c r="MF76" t="s">
        <v>3065</v>
      </c>
      <c r="MG76" t="s">
        <v>746</v>
      </c>
      <c r="MH76" t="s">
        <v>3065</v>
      </c>
      <c r="MI76" t="s">
        <v>746</v>
      </c>
      <c r="MJ76" t="s">
        <v>3065</v>
      </c>
      <c r="MK76" t="s">
        <v>746</v>
      </c>
      <c r="ML76" t="s">
        <v>3065</v>
      </c>
      <c r="MO76" t="s">
        <v>783</v>
      </c>
      <c r="MP76" t="s">
        <v>783</v>
      </c>
      <c r="MQ76" t="s">
        <v>783</v>
      </c>
      <c r="MR76" t="s">
        <v>784</v>
      </c>
      <c r="MS76" t="s">
        <v>784</v>
      </c>
      <c r="MT76" t="s">
        <v>784</v>
      </c>
      <c r="MU76" t="s">
        <v>783</v>
      </c>
      <c r="MV76" t="s">
        <v>783</v>
      </c>
      <c r="MW76" t="s">
        <v>783</v>
      </c>
      <c r="MX76" t="s">
        <v>907</v>
      </c>
      <c r="MZ76" t="s">
        <v>783</v>
      </c>
      <c r="NA76" t="s">
        <v>783</v>
      </c>
      <c r="NB76" t="s">
        <v>783</v>
      </c>
      <c r="NC76" t="s">
        <v>783</v>
      </c>
      <c r="ND76" t="s">
        <v>784</v>
      </c>
      <c r="NE76" t="s">
        <v>784</v>
      </c>
      <c r="NF76" t="s">
        <v>784</v>
      </c>
      <c r="NG76" t="s">
        <v>783</v>
      </c>
      <c r="NH76" t="s">
        <v>783</v>
      </c>
      <c r="NI76" t="s">
        <v>783</v>
      </c>
      <c r="NJ76" t="s">
        <v>783</v>
      </c>
      <c r="NK76" t="s">
        <v>783</v>
      </c>
      <c r="NL76" t="s">
        <v>783</v>
      </c>
      <c r="NM76" t="s">
        <v>783</v>
      </c>
      <c r="NN76" t="s">
        <v>784</v>
      </c>
      <c r="NO76" t="s">
        <v>784</v>
      </c>
      <c r="NP76" t="s">
        <v>783</v>
      </c>
      <c r="NQ76" t="s">
        <v>783</v>
      </c>
      <c r="NR76" t="s">
        <v>783</v>
      </c>
      <c r="NS76" t="s">
        <v>784</v>
      </c>
      <c r="NT76" t="s">
        <v>784</v>
      </c>
      <c r="NU76" t="s">
        <v>783</v>
      </c>
      <c r="NV76" t="s">
        <v>784</v>
      </c>
      <c r="NW76" t="s">
        <v>783</v>
      </c>
      <c r="NX76" t="s">
        <v>783</v>
      </c>
      <c r="NY76" t="s">
        <v>783</v>
      </c>
      <c r="NZ76" t="s">
        <v>783</v>
      </c>
      <c r="OA76" t="s">
        <v>783</v>
      </c>
      <c r="OB76" t="s">
        <v>784</v>
      </c>
      <c r="OC76" t="s">
        <v>784</v>
      </c>
      <c r="OD76" t="s">
        <v>783</v>
      </c>
      <c r="OE76" t="s">
        <v>783</v>
      </c>
      <c r="OF76" t="s">
        <v>783</v>
      </c>
      <c r="OG76" t="s">
        <v>783</v>
      </c>
      <c r="OH76" t="s">
        <v>783</v>
      </c>
      <c r="OI76" t="s">
        <v>783</v>
      </c>
      <c r="OJ76" t="s">
        <v>783</v>
      </c>
    </row>
    <row r="77" spans="1:400" x14ac:dyDescent="0.25">
      <c r="A77">
        <v>71</v>
      </c>
      <c r="B77" t="s">
        <v>3066</v>
      </c>
      <c r="C77" t="s">
        <v>323</v>
      </c>
      <c r="D77" t="s">
        <v>97</v>
      </c>
      <c r="E77">
        <v>50</v>
      </c>
      <c r="F77" t="s">
        <v>58</v>
      </c>
      <c r="G77" t="s">
        <v>324</v>
      </c>
      <c r="H77" t="s">
        <v>60</v>
      </c>
      <c r="I77" t="s">
        <v>113</v>
      </c>
      <c r="J77" t="s">
        <v>62</v>
      </c>
      <c r="K77" t="s">
        <v>63</v>
      </c>
      <c r="M77" t="s">
        <v>146</v>
      </c>
      <c r="N77" t="s">
        <v>325</v>
      </c>
      <c r="O77">
        <v>2</v>
      </c>
      <c r="P77" s="1">
        <v>85000</v>
      </c>
      <c r="Q77" s="1">
        <v>60000</v>
      </c>
      <c r="R77" t="s">
        <v>148</v>
      </c>
      <c r="S77" s="7">
        <v>25000</v>
      </c>
      <c r="T77" t="s">
        <v>70</v>
      </c>
      <c r="U77" s="5">
        <v>0</v>
      </c>
      <c r="V77" s="3" t="s">
        <v>325</v>
      </c>
      <c r="W77" s="5">
        <v>60000</v>
      </c>
      <c r="X77" t="s">
        <v>73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P77" t="s">
        <v>63</v>
      </c>
      <c r="AR77">
        <v>1</v>
      </c>
      <c r="AS77" s="2">
        <v>0.5</v>
      </c>
      <c r="AT77" t="s">
        <v>509</v>
      </c>
      <c r="AU77">
        <v>0</v>
      </c>
      <c r="AV77">
        <v>1</v>
      </c>
      <c r="AW77">
        <v>0</v>
      </c>
      <c r="AX77">
        <v>0</v>
      </c>
      <c r="AY77">
        <v>0</v>
      </c>
      <c r="AZ77" t="s">
        <v>570</v>
      </c>
      <c r="BA77" t="s">
        <v>71</v>
      </c>
      <c r="BB77" t="s">
        <v>506</v>
      </c>
      <c r="BC77" t="s">
        <v>515</v>
      </c>
      <c r="BD77" t="s">
        <v>507</v>
      </c>
      <c r="BE77">
        <v>2015</v>
      </c>
      <c r="BF77">
        <v>8</v>
      </c>
      <c r="BG77" t="s">
        <v>508</v>
      </c>
      <c r="BH77">
        <v>1</v>
      </c>
      <c r="BI77">
        <v>0</v>
      </c>
      <c r="BJ77">
        <v>0</v>
      </c>
      <c r="BK77">
        <v>0</v>
      </c>
      <c r="BL77">
        <v>0</v>
      </c>
      <c r="BM77" t="s">
        <v>63</v>
      </c>
      <c r="BN77" t="s">
        <v>84</v>
      </c>
      <c r="CM77" t="s">
        <v>1072</v>
      </c>
      <c r="CN77" t="s">
        <v>63</v>
      </c>
      <c r="CO77" t="s">
        <v>732</v>
      </c>
      <c r="CP77" t="s">
        <v>4039</v>
      </c>
      <c r="CQ77" t="s">
        <v>2996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 t="s">
        <v>3977</v>
      </c>
      <c r="CY77" t="s">
        <v>3919</v>
      </c>
      <c r="CZ77" s="26" t="s">
        <v>4040</v>
      </c>
      <c r="DA77" s="27" t="s">
        <v>4192</v>
      </c>
      <c r="DJ77" t="s">
        <v>84</v>
      </c>
      <c r="DK77" s="35"/>
      <c r="DL77" s="37"/>
      <c r="FI77" t="s">
        <v>736</v>
      </c>
      <c r="FJ77" t="s">
        <v>3067</v>
      </c>
      <c r="FK77" t="s">
        <v>736</v>
      </c>
      <c r="FL77" t="s">
        <v>3067</v>
      </c>
      <c r="FM77" t="s">
        <v>736</v>
      </c>
      <c r="FN77" t="s">
        <v>3067</v>
      </c>
      <c r="FO77" t="s">
        <v>736</v>
      </c>
      <c r="FP77" t="s">
        <v>3067</v>
      </c>
      <c r="FQ77" t="s">
        <v>736</v>
      </c>
      <c r="FR77" t="s">
        <v>3067</v>
      </c>
      <c r="FS77" t="s">
        <v>736</v>
      </c>
      <c r="FT77" t="s">
        <v>3067</v>
      </c>
      <c r="FU77" t="s">
        <v>736</v>
      </c>
      <c r="FV77" t="s">
        <v>3067</v>
      </c>
      <c r="FW77" t="s">
        <v>736</v>
      </c>
      <c r="FX77" t="s">
        <v>3067</v>
      </c>
      <c r="FY77" t="s">
        <v>736</v>
      </c>
      <c r="FZ77" t="s">
        <v>3067</v>
      </c>
      <c r="GA77" t="s">
        <v>736</v>
      </c>
      <c r="GB77" t="s">
        <v>3067</v>
      </c>
      <c r="GC77" t="s">
        <v>736</v>
      </c>
      <c r="GD77" t="s">
        <v>3067</v>
      </c>
      <c r="GE77" t="s">
        <v>736</v>
      </c>
      <c r="GF77" t="s">
        <v>3067</v>
      </c>
      <c r="GG77" t="s">
        <v>736</v>
      </c>
      <c r="GH77" t="s">
        <v>3067</v>
      </c>
      <c r="GI77" t="s">
        <v>736</v>
      </c>
      <c r="GJ77" t="s">
        <v>3067</v>
      </c>
      <c r="GK77" t="s">
        <v>736</v>
      </c>
      <c r="GL77" t="s">
        <v>3067</v>
      </c>
      <c r="GM77" t="s">
        <v>736</v>
      </c>
      <c r="GN77" t="s">
        <v>3067</v>
      </c>
      <c r="GO77" t="s">
        <v>736</v>
      </c>
      <c r="GP77" t="s">
        <v>3067</v>
      </c>
      <c r="GQ77" t="s">
        <v>736</v>
      </c>
      <c r="GR77" t="s">
        <v>3067</v>
      </c>
      <c r="GS77" t="s">
        <v>736</v>
      </c>
      <c r="GT77" t="s">
        <v>3067</v>
      </c>
      <c r="GU77" t="s">
        <v>736</v>
      </c>
      <c r="GV77" t="s">
        <v>3067</v>
      </c>
      <c r="GW77" t="s">
        <v>736</v>
      </c>
      <c r="GX77" t="s">
        <v>3067</v>
      </c>
      <c r="GY77" t="s">
        <v>736</v>
      </c>
      <c r="GZ77" t="s">
        <v>3067</v>
      </c>
      <c r="HA77" t="s">
        <v>736</v>
      </c>
      <c r="HB77" t="s">
        <v>3067</v>
      </c>
      <c r="HC77" t="s">
        <v>736</v>
      </c>
      <c r="HD77" t="s">
        <v>3067</v>
      </c>
      <c r="HE77" t="s">
        <v>798</v>
      </c>
      <c r="HF77" t="s">
        <v>3067</v>
      </c>
      <c r="HG77" t="s">
        <v>736</v>
      </c>
      <c r="HH77" t="s">
        <v>3067</v>
      </c>
      <c r="HI77" t="s">
        <v>736</v>
      </c>
      <c r="HJ77" t="s">
        <v>3067</v>
      </c>
      <c r="HK77" t="s">
        <v>736</v>
      </c>
      <c r="HL77" t="s">
        <v>3067</v>
      </c>
      <c r="HM77" t="s">
        <v>736</v>
      </c>
      <c r="HN77" t="s">
        <v>3067</v>
      </c>
      <c r="HO77" t="s">
        <v>736</v>
      </c>
      <c r="HP77" t="s">
        <v>3067</v>
      </c>
      <c r="HQ77" t="s">
        <v>736</v>
      </c>
      <c r="HR77" t="s">
        <v>3067</v>
      </c>
      <c r="HS77" t="s">
        <v>736</v>
      </c>
      <c r="HT77" t="s">
        <v>3067</v>
      </c>
      <c r="HU77" t="s">
        <v>736</v>
      </c>
      <c r="HV77" t="s">
        <v>3067</v>
      </c>
      <c r="HW77" t="s">
        <v>736</v>
      </c>
      <c r="HX77" t="s">
        <v>3067</v>
      </c>
      <c r="HY77" t="s">
        <v>736</v>
      </c>
      <c r="HZ77" t="s">
        <v>3067</v>
      </c>
      <c r="IA77" t="s">
        <v>736</v>
      </c>
      <c r="IB77" t="s">
        <v>3067</v>
      </c>
      <c r="IC77" t="s">
        <v>736</v>
      </c>
      <c r="ID77" t="s">
        <v>3067</v>
      </c>
      <c r="IE77" t="s">
        <v>736</v>
      </c>
      <c r="IF77" t="s">
        <v>3067</v>
      </c>
      <c r="IG77" t="s">
        <v>736</v>
      </c>
      <c r="IH77" t="s">
        <v>3067</v>
      </c>
      <c r="II77" t="s">
        <v>736</v>
      </c>
      <c r="IJ77" t="s">
        <v>3067</v>
      </c>
      <c r="IK77" t="s">
        <v>736</v>
      </c>
      <c r="IL77" t="s">
        <v>3067</v>
      </c>
      <c r="IM77" t="s">
        <v>736</v>
      </c>
      <c r="IN77" t="s">
        <v>3067</v>
      </c>
      <c r="IO77" t="s">
        <v>736</v>
      </c>
      <c r="IP77" t="s">
        <v>3067</v>
      </c>
      <c r="IQ77" t="s">
        <v>736</v>
      </c>
      <c r="IR77" t="s">
        <v>3067</v>
      </c>
      <c r="IS77" t="s">
        <v>736</v>
      </c>
      <c r="IT77" t="s">
        <v>3067</v>
      </c>
      <c r="IU77" t="s">
        <v>736</v>
      </c>
      <c r="IV77" t="s">
        <v>3067</v>
      </c>
      <c r="IW77" t="s">
        <v>736</v>
      </c>
      <c r="IX77" t="s">
        <v>3067</v>
      </c>
      <c r="IY77" t="s">
        <v>736</v>
      </c>
      <c r="IZ77" t="s">
        <v>3067</v>
      </c>
      <c r="JA77" t="s">
        <v>736</v>
      </c>
      <c r="JB77" t="s">
        <v>3067</v>
      </c>
      <c r="JC77" t="s">
        <v>736</v>
      </c>
      <c r="JD77" t="s">
        <v>3067</v>
      </c>
      <c r="JE77" t="s">
        <v>736</v>
      </c>
      <c r="JF77" t="s">
        <v>3067</v>
      </c>
      <c r="JG77" t="s">
        <v>736</v>
      </c>
      <c r="JH77" t="s">
        <v>3067</v>
      </c>
      <c r="JI77" t="s">
        <v>736</v>
      </c>
      <c r="JJ77" t="s">
        <v>3067</v>
      </c>
      <c r="JK77" t="s">
        <v>736</v>
      </c>
      <c r="JL77" t="s">
        <v>3067</v>
      </c>
      <c r="JM77" t="s">
        <v>736</v>
      </c>
      <c r="JN77" t="s">
        <v>3067</v>
      </c>
      <c r="JO77" t="s">
        <v>736</v>
      </c>
      <c r="JP77" t="s">
        <v>3067</v>
      </c>
      <c r="JQ77" t="s">
        <v>736</v>
      </c>
      <c r="JR77" t="s">
        <v>3067</v>
      </c>
      <c r="JS77" t="s">
        <v>736</v>
      </c>
      <c r="JT77" t="s">
        <v>3067</v>
      </c>
      <c r="JU77" t="s">
        <v>736</v>
      </c>
      <c r="JV77" t="s">
        <v>3067</v>
      </c>
      <c r="JW77" t="s">
        <v>736</v>
      </c>
      <c r="JX77" t="s">
        <v>3067</v>
      </c>
      <c r="JY77" t="s">
        <v>736</v>
      </c>
      <c r="JZ77" t="s">
        <v>3067</v>
      </c>
      <c r="KA77" t="s">
        <v>736</v>
      </c>
      <c r="KB77" t="s">
        <v>3067</v>
      </c>
      <c r="KC77" t="s">
        <v>736</v>
      </c>
      <c r="KD77" t="s">
        <v>3067</v>
      </c>
      <c r="KE77" t="s">
        <v>736</v>
      </c>
      <c r="KF77" t="s">
        <v>3067</v>
      </c>
      <c r="KG77" t="s">
        <v>736</v>
      </c>
      <c r="KH77" t="s">
        <v>3067</v>
      </c>
      <c r="KI77" t="s">
        <v>736</v>
      </c>
      <c r="KJ77" t="s">
        <v>3067</v>
      </c>
      <c r="KK77" t="s">
        <v>736</v>
      </c>
      <c r="KL77" t="s">
        <v>3067</v>
      </c>
      <c r="KM77" t="s">
        <v>736</v>
      </c>
      <c r="KN77" t="s">
        <v>3067</v>
      </c>
      <c r="KO77" t="s">
        <v>736</v>
      </c>
      <c r="KP77" t="s">
        <v>3067</v>
      </c>
      <c r="KQ77" t="s">
        <v>736</v>
      </c>
      <c r="KR77" t="s">
        <v>3067</v>
      </c>
      <c r="KS77" t="s">
        <v>736</v>
      </c>
      <c r="KT77" t="s">
        <v>3067</v>
      </c>
      <c r="KU77" t="s">
        <v>736</v>
      </c>
      <c r="KV77" t="s">
        <v>3067</v>
      </c>
      <c r="KW77" t="s">
        <v>736</v>
      </c>
      <c r="KX77" t="s">
        <v>3067</v>
      </c>
      <c r="KY77" t="s">
        <v>736</v>
      </c>
      <c r="KZ77" t="s">
        <v>3067</v>
      </c>
      <c r="LA77" t="s">
        <v>736</v>
      </c>
      <c r="LB77" t="s">
        <v>3067</v>
      </c>
      <c r="LC77" t="s">
        <v>736</v>
      </c>
      <c r="LD77" t="s">
        <v>3067</v>
      </c>
      <c r="LE77" t="s">
        <v>736</v>
      </c>
      <c r="LF77" t="s">
        <v>3067</v>
      </c>
      <c r="LG77" t="s">
        <v>736</v>
      </c>
      <c r="LH77" t="s">
        <v>3067</v>
      </c>
      <c r="LI77" t="s">
        <v>736</v>
      </c>
      <c r="LJ77" t="s">
        <v>3067</v>
      </c>
      <c r="LK77" t="s">
        <v>736</v>
      </c>
      <c r="LL77" t="s">
        <v>3067</v>
      </c>
      <c r="LM77" t="s">
        <v>736</v>
      </c>
      <c r="LN77" t="s">
        <v>3067</v>
      </c>
      <c r="LO77" t="s">
        <v>736</v>
      </c>
      <c r="LP77" t="s">
        <v>3067</v>
      </c>
      <c r="LQ77" t="s">
        <v>736</v>
      </c>
      <c r="LR77" t="s">
        <v>3067</v>
      </c>
      <c r="LS77" t="s">
        <v>736</v>
      </c>
      <c r="LT77" t="s">
        <v>3067</v>
      </c>
      <c r="LU77" t="s">
        <v>736</v>
      </c>
      <c r="LV77" t="s">
        <v>3067</v>
      </c>
      <c r="LW77" t="s">
        <v>736</v>
      </c>
      <c r="LX77" t="s">
        <v>3067</v>
      </c>
      <c r="LY77" t="s">
        <v>736</v>
      </c>
      <c r="LZ77" t="s">
        <v>3067</v>
      </c>
      <c r="MA77" t="s">
        <v>736</v>
      </c>
      <c r="MB77" t="s">
        <v>3067</v>
      </c>
      <c r="MC77" t="s">
        <v>736</v>
      </c>
      <c r="MD77" t="s">
        <v>3067</v>
      </c>
      <c r="ME77" t="s">
        <v>736</v>
      </c>
      <c r="MF77" t="s">
        <v>3067</v>
      </c>
      <c r="MG77" t="s">
        <v>736</v>
      </c>
      <c r="MH77" t="s">
        <v>3067</v>
      </c>
      <c r="MI77" t="s">
        <v>736</v>
      </c>
      <c r="MJ77" t="s">
        <v>3067</v>
      </c>
      <c r="MK77" t="s">
        <v>736</v>
      </c>
      <c r="ML77" t="s">
        <v>3067</v>
      </c>
      <c r="MO77" t="s">
        <v>783</v>
      </c>
      <c r="MP77" t="s">
        <v>783</v>
      </c>
      <c r="MQ77" t="s">
        <v>783</v>
      </c>
      <c r="MR77" t="s">
        <v>783</v>
      </c>
      <c r="MS77" t="s">
        <v>783</v>
      </c>
      <c r="MT77" t="s">
        <v>783</v>
      </c>
      <c r="MU77" t="s">
        <v>783</v>
      </c>
      <c r="MV77" t="s">
        <v>783</v>
      </c>
      <c r="MW77" t="s">
        <v>783</v>
      </c>
      <c r="MX77" t="s">
        <v>783</v>
      </c>
      <c r="MZ77" t="s">
        <v>783</v>
      </c>
      <c r="NA77" t="s">
        <v>783</v>
      </c>
      <c r="NB77" t="s">
        <v>783</v>
      </c>
      <c r="NC77" t="s">
        <v>783</v>
      </c>
      <c r="ND77" t="s">
        <v>784</v>
      </c>
      <c r="NE77" t="s">
        <v>784</v>
      </c>
      <c r="NF77" t="s">
        <v>784</v>
      </c>
      <c r="NG77" t="s">
        <v>783</v>
      </c>
      <c r="NH77" t="s">
        <v>783</v>
      </c>
      <c r="NI77" t="s">
        <v>783</v>
      </c>
      <c r="NJ77" t="s">
        <v>783</v>
      </c>
      <c r="NK77" t="s">
        <v>783</v>
      </c>
      <c r="NL77" t="s">
        <v>783</v>
      </c>
      <c r="NM77" t="s">
        <v>783</v>
      </c>
      <c r="NN77" t="s">
        <v>784</v>
      </c>
      <c r="NO77" t="s">
        <v>783</v>
      </c>
      <c r="NP77" t="s">
        <v>783</v>
      </c>
      <c r="NQ77" t="s">
        <v>783</v>
      </c>
      <c r="NR77" t="s">
        <v>783</v>
      </c>
      <c r="NS77" t="s">
        <v>784</v>
      </c>
      <c r="NT77" t="s">
        <v>784</v>
      </c>
      <c r="NU77" t="s">
        <v>783</v>
      </c>
      <c r="NV77" t="s">
        <v>784</v>
      </c>
      <c r="NW77" t="s">
        <v>784</v>
      </c>
      <c r="NX77" t="s">
        <v>783</v>
      </c>
      <c r="NY77" t="s">
        <v>783</v>
      </c>
      <c r="NZ77" t="s">
        <v>783</v>
      </c>
      <c r="OA77" t="s">
        <v>783</v>
      </c>
      <c r="OB77" t="s">
        <v>907</v>
      </c>
      <c r="OC77" t="s">
        <v>784</v>
      </c>
      <c r="OD77" t="s">
        <v>783</v>
      </c>
      <c r="OE77" t="s">
        <v>783</v>
      </c>
      <c r="OF77" t="s">
        <v>783</v>
      </c>
      <c r="OG77" t="s">
        <v>783</v>
      </c>
      <c r="OH77" t="s">
        <v>783</v>
      </c>
      <c r="OI77" t="s">
        <v>783</v>
      </c>
      <c r="OJ77" t="s">
        <v>783</v>
      </c>
    </row>
    <row r="78" spans="1:400" x14ac:dyDescent="0.25">
      <c r="A78">
        <v>72</v>
      </c>
      <c r="B78" t="s">
        <v>3068</v>
      </c>
      <c r="C78" t="s">
        <v>315</v>
      </c>
      <c r="D78" t="s">
        <v>97</v>
      </c>
      <c r="E78">
        <v>43</v>
      </c>
      <c r="F78" t="s">
        <v>87</v>
      </c>
      <c r="G78" t="s">
        <v>76</v>
      </c>
      <c r="H78" t="s">
        <v>60</v>
      </c>
      <c r="I78" t="s">
        <v>113</v>
      </c>
      <c r="J78" t="s">
        <v>62</v>
      </c>
      <c r="K78" t="s">
        <v>63</v>
      </c>
      <c r="M78" t="s">
        <v>146</v>
      </c>
      <c r="N78" t="s">
        <v>316</v>
      </c>
      <c r="O78">
        <v>2</v>
      </c>
      <c r="P78" s="1">
        <v>19500</v>
      </c>
      <c r="Q78" s="1">
        <v>0</v>
      </c>
      <c r="R78" t="s">
        <v>318</v>
      </c>
      <c r="S78" s="7">
        <v>11500</v>
      </c>
      <c r="T78" t="s">
        <v>319</v>
      </c>
      <c r="U78" s="5">
        <v>8000</v>
      </c>
      <c r="V78" s="3" t="s">
        <v>70</v>
      </c>
      <c r="W78" s="5">
        <v>0</v>
      </c>
      <c r="X78" t="s">
        <v>83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 t="s">
        <v>84</v>
      </c>
      <c r="AQ78" t="s">
        <v>321</v>
      </c>
      <c r="AR78">
        <v>1</v>
      </c>
      <c r="AS78" s="2">
        <v>0.25</v>
      </c>
      <c r="AT78" t="s">
        <v>509</v>
      </c>
      <c r="AU78">
        <v>0</v>
      </c>
      <c r="AV78">
        <v>1</v>
      </c>
      <c r="AW78">
        <v>0</v>
      </c>
      <c r="AX78">
        <v>0</v>
      </c>
      <c r="AY78">
        <v>0</v>
      </c>
      <c r="AZ78" t="s">
        <v>529</v>
      </c>
      <c r="BA78" t="s">
        <v>71</v>
      </c>
      <c r="BB78" t="s">
        <v>569</v>
      </c>
      <c r="BD78" t="s">
        <v>507</v>
      </c>
      <c r="BE78">
        <v>2016</v>
      </c>
      <c r="BF78">
        <v>7</v>
      </c>
      <c r="BG78" t="s">
        <v>508</v>
      </c>
      <c r="BH78">
        <v>1</v>
      </c>
      <c r="BI78">
        <v>0</v>
      </c>
      <c r="BJ78">
        <v>0</v>
      </c>
      <c r="BK78">
        <v>0</v>
      </c>
      <c r="BL78">
        <v>0</v>
      </c>
      <c r="BM78" t="s">
        <v>63</v>
      </c>
      <c r="BN78" t="s">
        <v>84</v>
      </c>
      <c r="CM78" t="s">
        <v>785</v>
      </c>
      <c r="CN78" t="s">
        <v>84</v>
      </c>
      <c r="CO78" t="s">
        <v>84</v>
      </c>
      <c r="CZ78" s="26"/>
      <c r="DA78" s="27"/>
      <c r="DB78" t="s">
        <v>2996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 t="s">
        <v>3069</v>
      </c>
      <c r="DJ78" t="s">
        <v>84</v>
      </c>
      <c r="DK78" s="35"/>
      <c r="DL78" s="37"/>
      <c r="FI78" t="s">
        <v>736</v>
      </c>
      <c r="FJ78" t="s">
        <v>3070</v>
      </c>
      <c r="FK78" t="s">
        <v>736</v>
      </c>
      <c r="FL78" t="s">
        <v>3070</v>
      </c>
      <c r="FM78" t="s">
        <v>736</v>
      </c>
      <c r="FN78" t="s">
        <v>3070</v>
      </c>
      <c r="FO78" t="s">
        <v>736</v>
      </c>
      <c r="FP78" t="s">
        <v>3070</v>
      </c>
      <c r="FQ78" t="s">
        <v>736</v>
      </c>
      <c r="FR78" t="s">
        <v>3070</v>
      </c>
      <c r="FS78" t="s">
        <v>736</v>
      </c>
      <c r="FT78" t="s">
        <v>3070</v>
      </c>
      <c r="FU78" t="s">
        <v>736</v>
      </c>
      <c r="FV78" t="s">
        <v>3070</v>
      </c>
      <c r="FW78" t="s">
        <v>736</v>
      </c>
      <c r="FX78" t="s">
        <v>3070</v>
      </c>
      <c r="FY78" t="s">
        <v>736</v>
      </c>
      <c r="FZ78" t="s">
        <v>3070</v>
      </c>
      <c r="GA78" t="s">
        <v>736</v>
      </c>
      <c r="GB78" t="s">
        <v>3070</v>
      </c>
      <c r="GC78" t="s">
        <v>736</v>
      </c>
      <c r="GD78" t="s">
        <v>3070</v>
      </c>
      <c r="GE78" t="s">
        <v>736</v>
      </c>
      <c r="GF78" t="s">
        <v>3070</v>
      </c>
      <c r="GG78" t="s">
        <v>736</v>
      </c>
      <c r="GH78" t="s">
        <v>3070</v>
      </c>
      <c r="GI78" t="s">
        <v>736</v>
      </c>
      <c r="GJ78" t="s">
        <v>3070</v>
      </c>
      <c r="GK78" t="s">
        <v>736</v>
      </c>
      <c r="GL78" t="s">
        <v>3070</v>
      </c>
      <c r="GM78" t="s">
        <v>736</v>
      </c>
      <c r="GN78" t="s">
        <v>3070</v>
      </c>
      <c r="GO78" t="s">
        <v>736</v>
      </c>
      <c r="GP78" t="s">
        <v>3070</v>
      </c>
      <c r="GQ78" t="s">
        <v>736</v>
      </c>
      <c r="GR78" t="s">
        <v>3070</v>
      </c>
      <c r="GS78" t="s">
        <v>736</v>
      </c>
      <c r="GT78" t="s">
        <v>3070</v>
      </c>
      <c r="GU78" t="s">
        <v>736</v>
      </c>
      <c r="GV78" t="s">
        <v>3070</v>
      </c>
      <c r="GW78" t="s">
        <v>736</v>
      </c>
      <c r="GX78" t="s">
        <v>3070</v>
      </c>
      <c r="GY78" t="s">
        <v>736</v>
      </c>
      <c r="GZ78" t="s">
        <v>3070</v>
      </c>
      <c r="HA78" t="s">
        <v>736</v>
      </c>
      <c r="HB78" t="s">
        <v>3070</v>
      </c>
      <c r="HC78" t="s">
        <v>736</v>
      </c>
      <c r="HD78" t="s">
        <v>3070</v>
      </c>
      <c r="HE78" t="s">
        <v>798</v>
      </c>
      <c r="HF78" t="s">
        <v>3070</v>
      </c>
      <c r="HG78" t="s">
        <v>736</v>
      </c>
      <c r="HH78" t="s">
        <v>3070</v>
      </c>
      <c r="HI78" t="s">
        <v>736</v>
      </c>
      <c r="HJ78" t="s">
        <v>3070</v>
      </c>
      <c r="HK78" t="s">
        <v>736</v>
      </c>
      <c r="HL78" t="s">
        <v>3070</v>
      </c>
      <c r="HM78" t="s">
        <v>736</v>
      </c>
      <c r="HN78" t="s">
        <v>3070</v>
      </c>
      <c r="HO78" t="s">
        <v>736</v>
      </c>
      <c r="HP78" t="s">
        <v>3070</v>
      </c>
      <c r="HQ78" t="s">
        <v>736</v>
      </c>
      <c r="HR78" t="s">
        <v>3070</v>
      </c>
      <c r="HS78" t="s">
        <v>736</v>
      </c>
      <c r="HT78" t="s">
        <v>3070</v>
      </c>
      <c r="HU78" t="s">
        <v>736</v>
      </c>
      <c r="HV78" t="s">
        <v>3070</v>
      </c>
      <c r="HW78" t="s">
        <v>736</v>
      </c>
      <c r="HX78" t="s">
        <v>3070</v>
      </c>
      <c r="HY78" t="s">
        <v>736</v>
      </c>
      <c r="HZ78" t="s">
        <v>3070</v>
      </c>
      <c r="IA78" t="s">
        <v>736</v>
      </c>
      <c r="IB78" t="s">
        <v>3070</v>
      </c>
      <c r="IC78" t="s">
        <v>736</v>
      </c>
      <c r="ID78" t="s">
        <v>3070</v>
      </c>
      <c r="IE78" t="s">
        <v>736</v>
      </c>
      <c r="IF78" t="s">
        <v>3070</v>
      </c>
      <c r="IG78" t="s">
        <v>736</v>
      </c>
      <c r="IH78" t="s">
        <v>3070</v>
      </c>
      <c r="II78" t="s">
        <v>736</v>
      </c>
      <c r="IJ78" t="s">
        <v>3070</v>
      </c>
      <c r="IK78" t="s">
        <v>736</v>
      </c>
      <c r="IL78" t="s">
        <v>3070</v>
      </c>
      <c r="IM78" t="s">
        <v>736</v>
      </c>
      <c r="IN78" t="s">
        <v>3070</v>
      </c>
      <c r="IO78" t="s">
        <v>736</v>
      </c>
      <c r="IP78" t="s">
        <v>3070</v>
      </c>
      <c r="IQ78" t="s">
        <v>736</v>
      </c>
      <c r="IR78" t="s">
        <v>3070</v>
      </c>
      <c r="IS78" t="s">
        <v>736</v>
      </c>
      <c r="IT78" t="s">
        <v>3070</v>
      </c>
      <c r="IU78" t="s">
        <v>736</v>
      </c>
      <c r="IV78" t="s">
        <v>3070</v>
      </c>
      <c r="IW78" t="s">
        <v>736</v>
      </c>
      <c r="IX78" t="s">
        <v>3070</v>
      </c>
      <c r="IY78" t="s">
        <v>736</v>
      </c>
      <c r="IZ78" t="s">
        <v>3070</v>
      </c>
      <c r="JA78" t="s">
        <v>736</v>
      </c>
      <c r="JB78" t="s">
        <v>3070</v>
      </c>
      <c r="JC78" t="s">
        <v>736</v>
      </c>
      <c r="JD78" t="s">
        <v>3070</v>
      </c>
      <c r="JE78" t="s">
        <v>736</v>
      </c>
      <c r="JF78" t="s">
        <v>3070</v>
      </c>
      <c r="JG78" t="s">
        <v>736</v>
      </c>
      <c r="JH78" t="s">
        <v>3070</v>
      </c>
      <c r="JI78" t="s">
        <v>736</v>
      </c>
      <c r="JJ78" t="s">
        <v>3070</v>
      </c>
      <c r="JK78" t="s">
        <v>736</v>
      </c>
      <c r="JL78" t="s">
        <v>3070</v>
      </c>
      <c r="JM78" t="s">
        <v>736</v>
      </c>
      <c r="JN78" t="s">
        <v>3070</v>
      </c>
      <c r="JO78" t="s">
        <v>736</v>
      </c>
      <c r="JP78" t="s">
        <v>3070</v>
      </c>
      <c r="JQ78" t="s">
        <v>736</v>
      </c>
      <c r="JR78" t="s">
        <v>3070</v>
      </c>
      <c r="JS78" t="s">
        <v>736</v>
      </c>
      <c r="JT78" t="s">
        <v>3070</v>
      </c>
      <c r="JU78" t="s">
        <v>736</v>
      </c>
      <c r="JV78" t="s">
        <v>3070</v>
      </c>
      <c r="JW78" t="s">
        <v>736</v>
      </c>
      <c r="JX78" t="s">
        <v>3070</v>
      </c>
      <c r="JY78" t="s">
        <v>736</v>
      </c>
      <c r="JZ78" t="s">
        <v>3070</v>
      </c>
      <c r="KA78" t="s">
        <v>736</v>
      </c>
      <c r="KB78" t="s">
        <v>3070</v>
      </c>
      <c r="KC78" t="s">
        <v>736</v>
      </c>
      <c r="KD78" t="s">
        <v>3070</v>
      </c>
      <c r="KE78" t="s">
        <v>736</v>
      </c>
      <c r="KF78" t="s">
        <v>3070</v>
      </c>
      <c r="KG78" t="s">
        <v>736</v>
      </c>
      <c r="KH78" t="s">
        <v>3070</v>
      </c>
      <c r="KI78" t="s">
        <v>736</v>
      </c>
      <c r="KJ78" t="s">
        <v>3070</v>
      </c>
      <c r="KK78" t="s">
        <v>736</v>
      </c>
      <c r="KL78" t="s">
        <v>3070</v>
      </c>
      <c r="KM78" t="s">
        <v>736</v>
      </c>
      <c r="KN78" t="s">
        <v>3070</v>
      </c>
      <c r="KO78" t="s">
        <v>736</v>
      </c>
      <c r="KP78" t="s">
        <v>3070</v>
      </c>
      <c r="KQ78" t="s">
        <v>736</v>
      </c>
      <c r="KR78" t="s">
        <v>3070</v>
      </c>
      <c r="KS78" t="s">
        <v>736</v>
      </c>
      <c r="KT78" t="s">
        <v>3070</v>
      </c>
      <c r="KU78" t="s">
        <v>736</v>
      </c>
      <c r="KV78" t="s">
        <v>3070</v>
      </c>
      <c r="KW78" t="s">
        <v>736</v>
      </c>
      <c r="KX78" t="s">
        <v>3070</v>
      </c>
      <c r="KY78" t="s">
        <v>736</v>
      </c>
      <c r="KZ78" t="s">
        <v>3070</v>
      </c>
      <c r="LA78" t="s">
        <v>736</v>
      </c>
      <c r="LB78" t="s">
        <v>3070</v>
      </c>
      <c r="LC78" t="s">
        <v>736</v>
      </c>
      <c r="LD78" t="s">
        <v>3070</v>
      </c>
      <c r="LE78" t="s">
        <v>736</v>
      </c>
      <c r="LF78" t="s">
        <v>3070</v>
      </c>
      <c r="LG78" t="s">
        <v>736</v>
      </c>
      <c r="LH78" t="s">
        <v>3070</v>
      </c>
      <c r="LI78" t="s">
        <v>736</v>
      </c>
      <c r="LJ78" t="s">
        <v>3070</v>
      </c>
      <c r="LK78" t="s">
        <v>736</v>
      </c>
      <c r="LL78" t="s">
        <v>3070</v>
      </c>
      <c r="LM78" t="s">
        <v>736</v>
      </c>
      <c r="LN78" t="s">
        <v>3070</v>
      </c>
      <c r="LO78" t="s">
        <v>736</v>
      </c>
      <c r="LP78" t="s">
        <v>3070</v>
      </c>
      <c r="LQ78" t="s">
        <v>736</v>
      </c>
      <c r="LR78" t="s">
        <v>3070</v>
      </c>
      <c r="LS78" t="s">
        <v>736</v>
      </c>
      <c r="LT78" t="s">
        <v>3070</v>
      </c>
      <c r="LU78" t="s">
        <v>736</v>
      </c>
      <c r="LV78" t="s">
        <v>3070</v>
      </c>
      <c r="LW78" t="s">
        <v>736</v>
      </c>
      <c r="LX78" t="s">
        <v>3070</v>
      </c>
      <c r="LY78" t="s">
        <v>736</v>
      </c>
      <c r="LZ78" t="s">
        <v>3070</v>
      </c>
      <c r="MA78" t="s">
        <v>736</v>
      </c>
      <c r="MB78" t="s">
        <v>3070</v>
      </c>
      <c r="MC78" t="s">
        <v>736</v>
      </c>
      <c r="MD78" t="s">
        <v>3070</v>
      </c>
      <c r="ME78" t="s">
        <v>736</v>
      </c>
      <c r="MF78" t="s">
        <v>3070</v>
      </c>
      <c r="MG78" t="s">
        <v>736</v>
      </c>
      <c r="MH78" t="s">
        <v>3070</v>
      </c>
      <c r="MI78" t="s">
        <v>736</v>
      </c>
      <c r="MJ78" t="s">
        <v>3070</v>
      </c>
      <c r="MK78" t="s">
        <v>736</v>
      </c>
      <c r="ML78" t="s">
        <v>3070</v>
      </c>
      <c r="MO78" t="s">
        <v>783</v>
      </c>
      <c r="MP78" t="s">
        <v>783</v>
      </c>
      <c r="MQ78" t="s">
        <v>783</v>
      </c>
      <c r="MR78" t="s">
        <v>783</v>
      </c>
      <c r="MS78" t="s">
        <v>783</v>
      </c>
      <c r="MT78" t="s">
        <v>783</v>
      </c>
      <c r="MU78" t="s">
        <v>783</v>
      </c>
      <c r="MV78" t="s">
        <v>783</v>
      </c>
      <c r="MW78" t="s">
        <v>783</v>
      </c>
      <c r="MX78" t="s">
        <v>783</v>
      </c>
      <c r="MZ78" t="s">
        <v>783</v>
      </c>
      <c r="NA78" t="s">
        <v>783</v>
      </c>
      <c r="NB78" t="s">
        <v>783</v>
      </c>
      <c r="NC78" t="s">
        <v>783</v>
      </c>
      <c r="ND78" t="s">
        <v>783</v>
      </c>
      <c r="NE78" t="s">
        <v>783</v>
      </c>
      <c r="NF78" t="s">
        <v>783</v>
      </c>
      <c r="NG78" t="s">
        <v>783</v>
      </c>
      <c r="NH78" t="s">
        <v>783</v>
      </c>
      <c r="NI78" t="s">
        <v>783</v>
      </c>
      <c r="NJ78" t="s">
        <v>783</v>
      </c>
      <c r="NK78" t="s">
        <v>783</v>
      </c>
      <c r="NL78" t="s">
        <v>783</v>
      </c>
      <c r="NM78" t="s">
        <v>783</v>
      </c>
      <c r="NN78" t="s">
        <v>783</v>
      </c>
      <c r="NO78" t="s">
        <v>784</v>
      </c>
      <c r="NP78" t="s">
        <v>783</v>
      </c>
      <c r="NQ78" t="s">
        <v>783</v>
      </c>
      <c r="NR78" t="s">
        <v>783</v>
      </c>
      <c r="NS78" t="s">
        <v>784</v>
      </c>
      <c r="NT78" t="s">
        <v>784</v>
      </c>
      <c r="NU78" t="s">
        <v>783</v>
      </c>
      <c r="NV78" t="s">
        <v>784</v>
      </c>
      <c r="NW78" t="s">
        <v>784</v>
      </c>
      <c r="NX78" t="s">
        <v>783</v>
      </c>
      <c r="NY78" t="s">
        <v>784</v>
      </c>
      <c r="NZ78" t="s">
        <v>783</v>
      </c>
      <c r="OA78" t="s">
        <v>784</v>
      </c>
      <c r="OB78" t="s">
        <v>784</v>
      </c>
      <c r="OC78" t="s">
        <v>784</v>
      </c>
      <c r="OD78" t="s">
        <v>783</v>
      </c>
      <c r="OE78" t="s">
        <v>783</v>
      </c>
      <c r="OF78" t="s">
        <v>783</v>
      </c>
      <c r="OG78" t="s">
        <v>783</v>
      </c>
      <c r="OH78" t="s">
        <v>783</v>
      </c>
      <c r="OI78" t="s">
        <v>783</v>
      </c>
      <c r="OJ78" t="s">
        <v>783</v>
      </c>
    </row>
    <row r="79" spans="1:400" x14ac:dyDescent="0.25">
      <c r="A79">
        <v>73</v>
      </c>
      <c r="B79" t="s">
        <v>362</v>
      </c>
      <c r="C79" t="s">
        <v>363</v>
      </c>
      <c r="D79" t="s">
        <v>97</v>
      </c>
      <c r="E79">
        <v>52</v>
      </c>
      <c r="F79" t="s">
        <v>87</v>
      </c>
      <c r="G79" t="s">
        <v>76</v>
      </c>
      <c r="H79" t="s">
        <v>60</v>
      </c>
      <c r="I79" t="s">
        <v>113</v>
      </c>
      <c r="J79" t="s">
        <v>62</v>
      </c>
      <c r="K79" t="s">
        <v>63</v>
      </c>
      <c r="M79" t="s">
        <v>146</v>
      </c>
      <c r="N79" t="s">
        <v>316</v>
      </c>
      <c r="O79">
        <v>4</v>
      </c>
      <c r="P79" s="1">
        <v>50000</v>
      </c>
      <c r="Q79" s="1">
        <v>0</v>
      </c>
      <c r="R79" t="s">
        <v>364</v>
      </c>
      <c r="S79" s="7">
        <v>40000</v>
      </c>
      <c r="T79" t="s">
        <v>365</v>
      </c>
      <c r="U79" s="5">
        <v>10000</v>
      </c>
      <c r="V79" s="3" t="s">
        <v>70</v>
      </c>
      <c r="W79" s="5">
        <v>0</v>
      </c>
      <c r="X79" t="s">
        <v>94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 t="s">
        <v>63</v>
      </c>
      <c r="AR79">
        <v>1</v>
      </c>
      <c r="AS79" s="2">
        <v>5</v>
      </c>
      <c r="AT79" t="s">
        <v>516</v>
      </c>
      <c r="AU79">
        <v>1</v>
      </c>
      <c r="AV79">
        <v>0</v>
      </c>
      <c r="AW79">
        <v>0</v>
      </c>
      <c r="AX79">
        <v>0</v>
      </c>
      <c r="AY79">
        <v>0</v>
      </c>
      <c r="AZ79" t="s">
        <v>577</v>
      </c>
      <c r="BA79" t="s">
        <v>511</v>
      </c>
      <c r="BB79" t="s">
        <v>533</v>
      </c>
      <c r="BC79" t="s">
        <v>533</v>
      </c>
      <c r="BD79" t="s">
        <v>578</v>
      </c>
      <c r="BE79">
        <v>2019</v>
      </c>
      <c r="BF79">
        <v>4</v>
      </c>
      <c r="BG79" t="s">
        <v>508</v>
      </c>
      <c r="BH79">
        <v>1</v>
      </c>
      <c r="BI79">
        <v>0</v>
      </c>
      <c r="BJ79">
        <v>0</v>
      </c>
      <c r="BK79">
        <v>0</v>
      </c>
      <c r="BL79">
        <v>0</v>
      </c>
      <c r="BM79" t="s">
        <v>84</v>
      </c>
      <c r="BN79" t="s">
        <v>84</v>
      </c>
      <c r="CM79" t="s">
        <v>1072</v>
      </c>
      <c r="CN79" t="s">
        <v>63</v>
      </c>
      <c r="CO79" t="s">
        <v>732</v>
      </c>
      <c r="CP79" t="s">
        <v>4041</v>
      </c>
      <c r="CQ79" t="s">
        <v>2996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 t="s">
        <v>4042</v>
      </c>
      <c r="CY79" t="s">
        <v>3887</v>
      </c>
      <c r="CZ79" s="26" t="s">
        <v>4210</v>
      </c>
      <c r="DA79" s="27" t="s">
        <v>4192</v>
      </c>
      <c r="DJ79" t="s">
        <v>84</v>
      </c>
      <c r="DK79" s="35"/>
      <c r="DL79" s="37"/>
      <c r="FI79" t="s">
        <v>736</v>
      </c>
      <c r="FJ79" t="s">
        <v>2825</v>
      </c>
      <c r="FK79" t="s">
        <v>736</v>
      </c>
      <c r="FL79" t="s">
        <v>2825</v>
      </c>
      <c r="FM79" t="s">
        <v>736</v>
      </c>
      <c r="FN79" t="s">
        <v>2825</v>
      </c>
      <c r="FO79" t="s">
        <v>736</v>
      </c>
      <c r="FP79" t="s">
        <v>2825</v>
      </c>
      <c r="FQ79" t="s">
        <v>736</v>
      </c>
      <c r="FR79" t="s">
        <v>2825</v>
      </c>
      <c r="FS79" t="s">
        <v>736</v>
      </c>
      <c r="FT79" t="s">
        <v>2825</v>
      </c>
      <c r="FU79" t="s">
        <v>736</v>
      </c>
      <c r="FV79" t="s">
        <v>2825</v>
      </c>
      <c r="FW79" t="s">
        <v>736</v>
      </c>
      <c r="FX79" t="s">
        <v>2825</v>
      </c>
      <c r="FY79" t="s">
        <v>736</v>
      </c>
      <c r="FZ79" t="s">
        <v>2825</v>
      </c>
      <c r="GA79" t="s">
        <v>736</v>
      </c>
      <c r="GB79" t="s">
        <v>2825</v>
      </c>
      <c r="GC79" t="s">
        <v>736</v>
      </c>
      <c r="GD79" t="s">
        <v>2825</v>
      </c>
      <c r="GE79" t="s">
        <v>736</v>
      </c>
      <c r="GF79" t="s">
        <v>2825</v>
      </c>
      <c r="GG79" t="s">
        <v>736</v>
      </c>
      <c r="GH79" t="s">
        <v>2825</v>
      </c>
      <c r="GI79" t="s">
        <v>736</v>
      </c>
      <c r="GJ79" t="s">
        <v>2825</v>
      </c>
      <c r="GK79" t="s">
        <v>736</v>
      </c>
      <c r="GL79" t="s">
        <v>2825</v>
      </c>
      <c r="GM79" t="s">
        <v>736</v>
      </c>
      <c r="GN79" t="s">
        <v>2825</v>
      </c>
      <c r="GO79" t="s">
        <v>736</v>
      </c>
      <c r="GP79" t="s">
        <v>2825</v>
      </c>
      <c r="GQ79" t="s">
        <v>736</v>
      </c>
      <c r="GR79" t="s">
        <v>2825</v>
      </c>
      <c r="GS79" t="s">
        <v>736</v>
      </c>
      <c r="GT79" t="s">
        <v>2825</v>
      </c>
      <c r="GU79" t="s">
        <v>733</v>
      </c>
      <c r="GV79" t="s">
        <v>2825</v>
      </c>
      <c r="GW79" t="s">
        <v>736</v>
      </c>
      <c r="GX79" t="s">
        <v>2825</v>
      </c>
      <c r="GY79" t="s">
        <v>736</v>
      </c>
      <c r="GZ79" t="s">
        <v>2825</v>
      </c>
      <c r="HA79" t="s">
        <v>736</v>
      </c>
      <c r="HB79" t="s">
        <v>2825</v>
      </c>
      <c r="HC79" t="s">
        <v>736</v>
      </c>
      <c r="HD79" t="s">
        <v>2825</v>
      </c>
      <c r="HE79" t="s">
        <v>798</v>
      </c>
      <c r="HF79" t="s">
        <v>2825</v>
      </c>
      <c r="HG79" t="s">
        <v>736</v>
      </c>
      <c r="HH79" t="s">
        <v>2825</v>
      </c>
      <c r="HI79" t="s">
        <v>736</v>
      </c>
      <c r="HJ79" t="s">
        <v>2825</v>
      </c>
      <c r="HK79" t="s">
        <v>736</v>
      </c>
      <c r="HL79" t="s">
        <v>2825</v>
      </c>
      <c r="HM79" t="s">
        <v>736</v>
      </c>
      <c r="HN79" t="s">
        <v>2825</v>
      </c>
      <c r="HO79" t="s">
        <v>736</v>
      </c>
      <c r="HP79" t="s">
        <v>2825</v>
      </c>
      <c r="HQ79" t="s">
        <v>736</v>
      </c>
      <c r="HR79" t="s">
        <v>2825</v>
      </c>
      <c r="HS79" t="s">
        <v>736</v>
      </c>
      <c r="HT79" t="s">
        <v>2825</v>
      </c>
      <c r="HU79" t="s">
        <v>736</v>
      </c>
      <c r="HV79" t="s">
        <v>2825</v>
      </c>
      <c r="HW79" t="s">
        <v>736</v>
      </c>
      <c r="HX79" t="s">
        <v>2825</v>
      </c>
      <c r="HY79" t="s">
        <v>736</v>
      </c>
      <c r="HZ79" t="s">
        <v>2825</v>
      </c>
      <c r="IA79" t="s">
        <v>736</v>
      </c>
      <c r="IB79" t="s">
        <v>2825</v>
      </c>
      <c r="IC79" t="s">
        <v>736</v>
      </c>
      <c r="ID79" t="s">
        <v>2825</v>
      </c>
      <c r="IE79" t="s">
        <v>736</v>
      </c>
      <c r="IF79" t="s">
        <v>2825</v>
      </c>
      <c r="IG79" t="s">
        <v>736</v>
      </c>
      <c r="IH79" t="s">
        <v>2825</v>
      </c>
      <c r="II79" t="s">
        <v>736</v>
      </c>
      <c r="IJ79" t="s">
        <v>2825</v>
      </c>
      <c r="IK79" t="s">
        <v>736</v>
      </c>
      <c r="IL79" t="s">
        <v>2825</v>
      </c>
      <c r="IM79" t="s">
        <v>736</v>
      </c>
      <c r="IN79" t="s">
        <v>2825</v>
      </c>
      <c r="IO79" t="s">
        <v>736</v>
      </c>
      <c r="IP79" t="s">
        <v>2825</v>
      </c>
      <c r="IQ79" t="s">
        <v>736</v>
      </c>
      <c r="IR79" t="s">
        <v>2825</v>
      </c>
      <c r="IS79" t="s">
        <v>736</v>
      </c>
      <c r="IT79" t="s">
        <v>2825</v>
      </c>
      <c r="IU79" t="s">
        <v>736</v>
      </c>
      <c r="IV79" t="s">
        <v>2825</v>
      </c>
      <c r="IW79" t="s">
        <v>736</v>
      </c>
      <c r="IX79" t="s">
        <v>2825</v>
      </c>
      <c r="IY79" t="s">
        <v>736</v>
      </c>
      <c r="IZ79" t="s">
        <v>2825</v>
      </c>
      <c r="JA79" t="s">
        <v>736</v>
      </c>
      <c r="JB79" t="s">
        <v>2825</v>
      </c>
      <c r="JC79" t="s">
        <v>736</v>
      </c>
      <c r="JD79" t="s">
        <v>2825</v>
      </c>
      <c r="JE79" t="s">
        <v>736</v>
      </c>
      <c r="JF79" t="s">
        <v>2825</v>
      </c>
      <c r="JG79" t="s">
        <v>736</v>
      </c>
      <c r="JH79" t="s">
        <v>2825</v>
      </c>
      <c r="JI79" t="s">
        <v>736</v>
      </c>
      <c r="JJ79" t="s">
        <v>2825</v>
      </c>
      <c r="JK79" t="s">
        <v>736</v>
      </c>
      <c r="JL79" t="s">
        <v>2825</v>
      </c>
      <c r="JM79" t="s">
        <v>736</v>
      </c>
      <c r="JN79" t="s">
        <v>2825</v>
      </c>
      <c r="JO79" t="s">
        <v>736</v>
      </c>
      <c r="JP79" t="s">
        <v>2825</v>
      </c>
      <c r="JQ79" t="s">
        <v>736</v>
      </c>
      <c r="JR79" t="s">
        <v>2825</v>
      </c>
      <c r="JS79" t="s">
        <v>736</v>
      </c>
      <c r="JT79" t="s">
        <v>2825</v>
      </c>
      <c r="JU79" t="s">
        <v>736</v>
      </c>
      <c r="JV79" t="s">
        <v>2825</v>
      </c>
      <c r="JW79" t="s">
        <v>736</v>
      </c>
      <c r="JX79" t="s">
        <v>2825</v>
      </c>
      <c r="JY79" t="s">
        <v>736</v>
      </c>
      <c r="JZ79" t="s">
        <v>2825</v>
      </c>
      <c r="KA79" t="s">
        <v>736</v>
      </c>
      <c r="KB79" t="s">
        <v>2825</v>
      </c>
      <c r="KC79" t="s">
        <v>736</v>
      </c>
      <c r="KD79" t="s">
        <v>2825</v>
      </c>
      <c r="KE79" t="s">
        <v>736</v>
      </c>
      <c r="KF79" t="s">
        <v>2825</v>
      </c>
      <c r="KG79" t="s">
        <v>736</v>
      </c>
      <c r="KH79" t="s">
        <v>2825</v>
      </c>
      <c r="KI79" t="s">
        <v>736</v>
      </c>
      <c r="KJ79" t="s">
        <v>2825</v>
      </c>
      <c r="KK79" t="s">
        <v>736</v>
      </c>
      <c r="KL79" t="s">
        <v>2825</v>
      </c>
      <c r="KM79" t="s">
        <v>736</v>
      </c>
      <c r="KN79" t="s">
        <v>2825</v>
      </c>
      <c r="KO79" t="s">
        <v>736</v>
      </c>
      <c r="KP79" t="s">
        <v>2825</v>
      </c>
      <c r="KQ79" t="s">
        <v>736</v>
      </c>
      <c r="KR79" t="s">
        <v>2825</v>
      </c>
      <c r="KS79" t="s">
        <v>736</v>
      </c>
      <c r="KT79" t="s">
        <v>2825</v>
      </c>
      <c r="KU79" t="s">
        <v>736</v>
      </c>
      <c r="KV79" t="s">
        <v>2825</v>
      </c>
      <c r="KW79" t="s">
        <v>736</v>
      </c>
      <c r="KX79" t="s">
        <v>2825</v>
      </c>
      <c r="KY79" t="s">
        <v>736</v>
      </c>
      <c r="KZ79" t="s">
        <v>2825</v>
      </c>
      <c r="LA79" t="s">
        <v>736</v>
      </c>
      <c r="LB79" t="s">
        <v>2825</v>
      </c>
      <c r="LC79" t="s">
        <v>736</v>
      </c>
      <c r="LD79" t="s">
        <v>2825</v>
      </c>
      <c r="LE79" t="s">
        <v>736</v>
      </c>
      <c r="LF79" t="s">
        <v>2825</v>
      </c>
      <c r="LG79" t="s">
        <v>736</v>
      </c>
      <c r="LH79" t="s">
        <v>2825</v>
      </c>
      <c r="LI79" t="s">
        <v>736</v>
      </c>
      <c r="LJ79" t="s">
        <v>2825</v>
      </c>
      <c r="LK79" t="s">
        <v>736</v>
      </c>
      <c r="LL79" t="s">
        <v>2825</v>
      </c>
      <c r="LM79" t="s">
        <v>736</v>
      </c>
      <c r="LN79" t="s">
        <v>2825</v>
      </c>
      <c r="LO79" t="s">
        <v>736</v>
      </c>
      <c r="LP79" t="s">
        <v>2825</v>
      </c>
      <c r="LQ79" t="s">
        <v>736</v>
      </c>
      <c r="LR79" t="s">
        <v>2825</v>
      </c>
      <c r="LS79" t="s">
        <v>736</v>
      </c>
      <c r="LT79" t="s">
        <v>2825</v>
      </c>
      <c r="LU79" t="s">
        <v>736</v>
      </c>
      <c r="LV79" t="s">
        <v>2825</v>
      </c>
      <c r="LW79" t="s">
        <v>736</v>
      </c>
      <c r="LX79" t="s">
        <v>2825</v>
      </c>
      <c r="LY79" t="s">
        <v>736</v>
      </c>
      <c r="LZ79" t="s">
        <v>2825</v>
      </c>
      <c r="MA79" t="s">
        <v>736</v>
      </c>
      <c r="MB79" t="s">
        <v>2825</v>
      </c>
      <c r="MC79" t="s">
        <v>736</v>
      </c>
      <c r="MD79" t="s">
        <v>2825</v>
      </c>
      <c r="ME79" t="s">
        <v>736</v>
      </c>
      <c r="MF79" t="s">
        <v>2825</v>
      </c>
      <c r="MG79" t="s">
        <v>736</v>
      </c>
      <c r="MH79" t="s">
        <v>2825</v>
      </c>
      <c r="MI79" t="s">
        <v>736</v>
      </c>
      <c r="MJ79" t="s">
        <v>2825</v>
      </c>
      <c r="MK79" t="s">
        <v>736</v>
      </c>
      <c r="ML79" t="s">
        <v>2825</v>
      </c>
      <c r="MM79" t="s">
        <v>70</v>
      </c>
      <c r="MO79" t="s">
        <v>783</v>
      </c>
      <c r="MP79" t="s">
        <v>784</v>
      </c>
      <c r="MQ79" t="s">
        <v>783</v>
      </c>
      <c r="MR79" t="s">
        <v>783</v>
      </c>
      <c r="MS79" t="s">
        <v>783</v>
      </c>
      <c r="MT79" t="s">
        <v>783</v>
      </c>
      <c r="MU79" t="s">
        <v>783</v>
      </c>
      <c r="MV79" t="s">
        <v>783</v>
      </c>
      <c r="MW79" t="s">
        <v>783</v>
      </c>
      <c r="MX79" t="s">
        <v>783</v>
      </c>
      <c r="MZ79" t="s">
        <v>907</v>
      </c>
      <c r="NA79" t="s">
        <v>783</v>
      </c>
      <c r="NB79" t="s">
        <v>783</v>
      </c>
      <c r="NC79" t="s">
        <v>783</v>
      </c>
      <c r="ND79" t="s">
        <v>783</v>
      </c>
      <c r="NE79" t="s">
        <v>784</v>
      </c>
      <c r="NF79" t="s">
        <v>784</v>
      </c>
      <c r="NG79" t="s">
        <v>781</v>
      </c>
      <c r="NH79" t="s">
        <v>784</v>
      </c>
      <c r="NI79" t="s">
        <v>783</v>
      </c>
      <c r="NJ79" t="s">
        <v>783</v>
      </c>
      <c r="NK79" t="s">
        <v>783</v>
      </c>
      <c r="NL79" t="s">
        <v>783</v>
      </c>
      <c r="NM79" t="s">
        <v>783</v>
      </c>
      <c r="NN79" t="s">
        <v>784</v>
      </c>
      <c r="NO79" t="s">
        <v>783</v>
      </c>
      <c r="NP79" t="s">
        <v>783</v>
      </c>
      <c r="NQ79" t="s">
        <v>783</v>
      </c>
      <c r="NR79" t="s">
        <v>783</v>
      </c>
      <c r="NS79" t="s">
        <v>783</v>
      </c>
      <c r="NT79" t="s">
        <v>784</v>
      </c>
      <c r="NU79" t="s">
        <v>783</v>
      </c>
      <c r="NV79" t="s">
        <v>784</v>
      </c>
      <c r="NW79" t="s">
        <v>784</v>
      </c>
      <c r="NX79" t="s">
        <v>783</v>
      </c>
      <c r="NY79" t="s">
        <v>784</v>
      </c>
      <c r="NZ79" t="s">
        <v>783</v>
      </c>
      <c r="OA79" t="s">
        <v>783</v>
      </c>
      <c r="OB79" t="s">
        <v>784</v>
      </c>
      <c r="OC79" t="s">
        <v>784</v>
      </c>
      <c r="OD79" t="s">
        <v>783</v>
      </c>
      <c r="OE79" t="s">
        <v>783</v>
      </c>
      <c r="OF79" t="s">
        <v>783</v>
      </c>
      <c r="OG79" t="s">
        <v>783</v>
      </c>
      <c r="OH79" t="s">
        <v>783</v>
      </c>
      <c r="OI79" t="s">
        <v>783</v>
      </c>
      <c r="OJ79" t="s">
        <v>783</v>
      </c>
    </row>
    <row r="80" spans="1:400" x14ac:dyDescent="0.25">
      <c r="A80">
        <v>74</v>
      </c>
      <c r="B80" t="s">
        <v>367</v>
      </c>
      <c r="C80" t="s">
        <v>70</v>
      </c>
      <c r="D80" t="s">
        <v>57</v>
      </c>
      <c r="E80">
        <v>60</v>
      </c>
      <c r="F80" t="s">
        <v>58</v>
      </c>
      <c r="G80" t="s">
        <v>59</v>
      </c>
      <c r="H80" t="s">
        <v>60</v>
      </c>
      <c r="I80" t="s">
        <v>61</v>
      </c>
      <c r="J80" t="s">
        <v>62</v>
      </c>
      <c r="K80" t="s">
        <v>63</v>
      </c>
      <c r="M80" t="s">
        <v>146</v>
      </c>
      <c r="N80" t="s">
        <v>368</v>
      </c>
      <c r="O80">
        <v>5</v>
      </c>
      <c r="P80" s="1">
        <v>15000</v>
      </c>
      <c r="Q80" s="1">
        <v>0</v>
      </c>
      <c r="R80" t="s">
        <v>370</v>
      </c>
      <c r="S80" s="7">
        <v>10000</v>
      </c>
      <c r="T80" t="s">
        <v>365</v>
      </c>
      <c r="U80" s="5">
        <v>5000</v>
      </c>
      <c r="V80" s="3" t="s">
        <v>70</v>
      </c>
      <c r="W80" s="5">
        <v>0</v>
      </c>
      <c r="X80" t="s">
        <v>372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P80" t="s">
        <v>63</v>
      </c>
      <c r="AR80">
        <v>1</v>
      </c>
      <c r="AS80" s="2">
        <v>0.75</v>
      </c>
      <c r="AT80" t="s">
        <v>531</v>
      </c>
      <c r="AU80">
        <v>0</v>
      </c>
      <c r="AV80">
        <v>0</v>
      </c>
      <c r="AW80">
        <v>1</v>
      </c>
      <c r="AX80">
        <v>0</v>
      </c>
      <c r="AY80">
        <v>0</v>
      </c>
      <c r="AZ80" t="s">
        <v>579</v>
      </c>
      <c r="BA80" t="s">
        <v>71</v>
      </c>
      <c r="BB80" t="s">
        <v>521</v>
      </c>
      <c r="BC80" t="s">
        <v>521</v>
      </c>
      <c r="BD80" t="s">
        <v>521</v>
      </c>
      <c r="BE80">
        <v>2012</v>
      </c>
      <c r="BF80">
        <v>11</v>
      </c>
      <c r="BG80" t="s">
        <v>508</v>
      </c>
      <c r="BH80">
        <v>1</v>
      </c>
      <c r="BI80">
        <v>0</v>
      </c>
      <c r="BJ80">
        <v>0</v>
      </c>
      <c r="BK80">
        <v>0</v>
      </c>
      <c r="BL80">
        <v>0</v>
      </c>
      <c r="BM80" t="s">
        <v>63</v>
      </c>
      <c r="BN80" t="s">
        <v>84</v>
      </c>
      <c r="CM80" t="s">
        <v>785</v>
      </c>
      <c r="CN80" t="s">
        <v>63</v>
      </c>
      <c r="CO80" t="s">
        <v>732</v>
      </c>
      <c r="CP80" t="s">
        <v>4005</v>
      </c>
      <c r="CQ80" t="s">
        <v>2996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 t="s">
        <v>4009</v>
      </c>
      <c r="CY80" t="s">
        <v>3854</v>
      </c>
      <c r="CZ80" s="26" t="s">
        <v>4210</v>
      </c>
      <c r="DA80" s="27" t="s">
        <v>4192</v>
      </c>
      <c r="DJ80" t="s">
        <v>84</v>
      </c>
      <c r="DK80" s="35"/>
      <c r="DL80" s="37"/>
      <c r="FI80" t="s">
        <v>733</v>
      </c>
      <c r="FJ80" t="s">
        <v>1316</v>
      </c>
      <c r="FK80" t="s">
        <v>743</v>
      </c>
      <c r="FL80" t="s">
        <v>3071</v>
      </c>
      <c r="FM80" t="s">
        <v>736</v>
      </c>
      <c r="FN80" t="s">
        <v>2238</v>
      </c>
      <c r="FO80" t="s">
        <v>736</v>
      </c>
      <c r="FP80" t="s">
        <v>2207</v>
      </c>
      <c r="FQ80" t="s">
        <v>733</v>
      </c>
      <c r="FR80" t="s">
        <v>3072</v>
      </c>
      <c r="FS80" t="s">
        <v>733</v>
      </c>
      <c r="FT80" t="s">
        <v>3073</v>
      </c>
      <c r="FU80" t="s">
        <v>733</v>
      </c>
      <c r="FV80" t="s">
        <v>3074</v>
      </c>
      <c r="FW80" t="s">
        <v>733</v>
      </c>
      <c r="FX80" t="s">
        <v>3075</v>
      </c>
      <c r="FY80" t="s">
        <v>733</v>
      </c>
      <c r="FZ80" t="s">
        <v>1316</v>
      </c>
      <c r="GA80" t="s">
        <v>733</v>
      </c>
      <c r="GB80" t="s">
        <v>3076</v>
      </c>
      <c r="GC80" t="s">
        <v>736</v>
      </c>
      <c r="GD80" t="s">
        <v>3077</v>
      </c>
      <c r="GE80" t="s">
        <v>733</v>
      </c>
      <c r="GF80" t="s">
        <v>1758</v>
      </c>
      <c r="GG80" t="s">
        <v>746</v>
      </c>
      <c r="GH80" t="s">
        <v>1375</v>
      </c>
      <c r="GI80" t="s">
        <v>736</v>
      </c>
      <c r="GJ80" t="s">
        <v>3078</v>
      </c>
      <c r="GK80" t="s">
        <v>733</v>
      </c>
      <c r="GL80" t="s">
        <v>1763</v>
      </c>
      <c r="GM80" t="s">
        <v>733</v>
      </c>
      <c r="GN80" t="s">
        <v>1316</v>
      </c>
      <c r="GO80" t="s">
        <v>733</v>
      </c>
      <c r="GP80" t="s">
        <v>3079</v>
      </c>
      <c r="GQ80" t="s">
        <v>733</v>
      </c>
      <c r="GR80" t="s">
        <v>3080</v>
      </c>
      <c r="GS80" t="s">
        <v>733</v>
      </c>
      <c r="GT80" t="s">
        <v>3081</v>
      </c>
      <c r="GU80" t="s">
        <v>733</v>
      </c>
      <c r="GV80" t="s">
        <v>3082</v>
      </c>
      <c r="GW80" t="s">
        <v>733</v>
      </c>
      <c r="GX80" t="s">
        <v>1415</v>
      </c>
      <c r="GY80" t="s">
        <v>733</v>
      </c>
      <c r="GZ80" t="s">
        <v>1415</v>
      </c>
      <c r="HA80" t="s">
        <v>777</v>
      </c>
      <c r="HB80" t="s">
        <v>3083</v>
      </c>
      <c r="HC80" t="s">
        <v>777</v>
      </c>
      <c r="HD80" t="s">
        <v>3084</v>
      </c>
      <c r="HE80" t="s">
        <v>990</v>
      </c>
      <c r="HF80" t="s">
        <v>1792</v>
      </c>
      <c r="HG80" t="s">
        <v>777</v>
      </c>
      <c r="HH80" t="s">
        <v>1764</v>
      </c>
      <c r="HI80" t="s">
        <v>733</v>
      </c>
      <c r="HJ80" t="s">
        <v>1415</v>
      </c>
      <c r="HK80" t="s">
        <v>743</v>
      </c>
      <c r="HL80" t="s">
        <v>1408</v>
      </c>
      <c r="HM80" t="s">
        <v>743</v>
      </c>
      <c r="HN80" t="s">
        <v>1319</v>
      </c>
      <c r="HO80" t="s">
        <v>746</v>
      </c>
      <c r="HP80" t="s">
        <v>1408</v>
      </c>
      <c r="HQ80" t="s">
        <v>746</v>
      </c>
      <c r="HR80" t="s">
        <v>1408</v>
      </c>
      <c r="HS80" t="s">
        <v>733</v>
      </c>
      <c r="HT80" t="s">
        <v>2220</v>
      </c>
      <c r="HU80" t="s">
        <v>733</v>
      </c>
      <c r="HV80" t="s">
        <v>3085</v>
      </c>
      <c r="HW80" t="s">
        <v>733</v>
      </c>
      <c r="HX80" t="s">
        <v>3079</v>
      </c>
      <c r="HY80" t="s">
        <v>733</v>
      </c>
      <c r="HZ80" t="s">
        <v>1316</v>
      </c>
      <c r="IA80" t="s">
        <v>746</v>
      </c>
      <c r="IB80" t="s">
        <v>1776</v>
      </c>
      <c r="IC80" t="s">
        <v>733</v>
      </c>
      <c r="ID80" t="s">
        <v>3086</v>
      </c>
      <c r="IE80" t="s">
        <v>733</v>
      </c>
      <c r="IF80" t="s">
        <v>1415</v>
      </c>
      <c r="IG80" t="s">
        <v>733</v>
      </c>
      <c r="IH80" t="s">
        <v>1415</v>
      </c>
      <c r="II80" t="s">
        <v>743</v>
      </c>
      <c r="IJ80" t="s">
        <v>1319</v>
      </c>
      <c r="IK80" t="s">
        <v>733</v>
      </c>
      <c r="IL80" t="s">
        <v>1415</v>
      </c>
      <c r="IM80" t="s">
        <v>733</v>
      </c>
      <c r="IN80" t="s">
        <v>3087</v>
      </c>
      <c r="IO80" t="s">
        <v>733</v>
      </c>
      <c r="IP80" t="s">
        <v>1365</v>
      </c>
      <c r="IQ80" t="s">
        <v>733</v>
      </c>
      <c r="IR80" t="s">
        <v>3088</v>
      </c>
      <c r="IS80" t="s">
        <v>733</v>
      </c>
      <c r="IT80" t="s">
        <v>3089</v>
      </c>
      <c r="IU80" t="s">
        <v>733</v>
      </c>
      <c r="IV80" t="s">
        <v>1378</v>
      </c>
      <c r="IW80" t="s">
        <v>733</v>
      </c>
      <c r="IX80" t="s">
        <v>3090</v>
      </c>
      <c r="IY80" t="s">
        <v>746</v>
      </c>
      <c r="IZ80" t="s">
        <v>1375</v>
      </c>
      <c r="JA80" t="s">
        <v>746</v>
      </c>
      <c r="JB80" t="s">
        <v>1408</v>
      </c>
      <c r="JC80" t="s">
        <v>733</v>
      </c>
      <c r="JD80" t="s">
        <v>3091</v>
      </c>
      <c r="JE80" t="s">
        <v>733</v>
      </c>
      <c r="JF80" t="s">
        <v>3092</v>
      </c>
      <c r="JG80" t="s">
        <v>746</v>
      </c>
      <c r="JH80" t="s">
        <v>1770</v>
      </c>
      <c r="JI80" t="s">
        <v>746</v>
      </c>
      <c r="JJ80" t="s">
        <v>1319</v>
      </c>
      <c r="JK80" t="s">
        <v>746</v>
      </c>
      <c r="JL80" t="s">
        <v>1770</v>
      </c>
      <c r="JM80" t="s">
        <v>746</v>
      </c>
      <c r="JN80" t="s">
        <v>1319</v>
      </c>
      <c r="JO80" t="s">
        <v>746</v>
      </c>
      <c r="JP80" t="s">
        <v>1770</v>
      </c>
      <c r="JQ80" t="s">
        <v>746</v>
      </c>
      <c r="JR80" t="s">
        <v>1319</v>
      </c>
      <c r="JS80" t="s">
        <v>733</v>
      </c>
      <c r="JT80" t="s">
        <v>2277</v>
      </c>
      <c r="JU80" t="s">
        <v>733</v>
      </c>
      <c r="JV80" t="s">
        <v>2280</v>
      </c>
      <c r="JW80" t="s">
        <v>746</v>
      </c>
      <c r="JX80" t="s">
        <v>1770</v>
      </c>
      <c r="JY80" t="s">
        <v>746</v>
      </c>
      <c r="JZ80" t="s">
        <v>1868</v>
      </c>
      <c r="KA80" t="s">
        <v>746</v>
      </c>
      <c r="KB80" t="s">
        <v>1770</v>
      </c>
      <c r="KC80" t="s">
        <v>746</v>
      </c>
      <c r="KD80" t="s">
        <v>1319</v>
      </c>
      <c r="KE80" t="s">
        <v>746</v>
      </c>
      <c r="KF80" t="s">
        <v>1770</v>
      </c>
      <c r="KG80" t="s">
        <v>746</v>
      </c>
      <c r="KH80" t="s">
        <v>1408</v>
      </c>
      <c r="KI80" t="s">
        <v>746</v>
      </c>
      <c r="KJ80" t="s">
        <v>1391</v>
      </c>
      <c r="KK80" t="s">
        <v>746</v>
      </c>
      <c r="KL80" t="s">
        <v>1408</v>
      </c>
      <c r="KM80" t="s">
        <v>746</v>
      </c>
      <c r="KN80" t="s">
        <v>1868</v>
      </c>
      <c r="KO80" t="s">
        <v>746</v>
      </c>
      <c r="KP80" t="s">
        <v>1319</v>
      </c>
      <c r="KQ80" t="s">
        <v>733</v>
      </c>
      <c r="KR80" t="s">
        <v>1423</v>
      </c>
      <c r="KS80" t="s">
        <v>733</v>
      </c>
      <c r="KT80" t="s">
        <v>1423</v>
      </c>
      <c r="KU80" t="s">
        <v>733</v>
      </c>
      <c r="KV80" t="s">
        <v>3093</v>
      </c>
      <c r="KW80" t="s">
        <v>733</v>
      </c>
      <c r="KX80" t="s">
        <v>2086</v>
      </c>
      <c r="KY80" t="s">
        <v>733</v>
      </c>
      <c r="KZ80" t="s">
        <v>1415</v>
      </c>
      <c r="LA80" t="s">
        <v>733</v>
      </c>
      <c r="LB80" t="s">
        <v>1415</v>
      </c>
      <c r="LC80" t="s">
        <v>736</v>
      </c>
      <c r="LD80" t="s">
        <v>3094</v>
      </c>
      <c r="LE80" t="s">
        <v>733</v>
      </c>
      <c r="LF80" t="s">
        <v>1415</v>
      </c>
      <c r="LG80" t="s">
        <v>746</v>
      </c>
      <c r="LH80" t="s">
        <v>1374</v>
      </c>
      <c r="LI80" t="s">
        <v>746</v>
      </c>
      <c r="LJ80" t="s">
        <v>1868</v>
      </c>
      <c r="LK80" t="s">
        <v>777</v>
      </c>
      <c r="LL80" t="s">
        <v>1764</v>
      </c>
      <c r="LM80" t="s">
        <v>733</v>
      </c>
      <c r="LN80" t="s">
        <v>1415</v>
      </c>
      <c r="LO80" t="s">
        <v>736</v>
      </c>
      <c r="LP80" t="s">
        <v>3095</v>
      </c>
      <c r="LQ80" t="s">
        <v>733</v>
      </c>
      <c r="LR80" t="s">
        <v>1415</v>
      </c>
      <c r="LS80" t="s">
        <v>746</v>
      </c>
      <c r="LT80" t="s">
        <v>3096</v>
      </c>
      <c r="LU80" t="s">
        <v>733</v>
      </c>
      <c r="LV80" t="s">
        <v>1415</v>
      </c>
      <c r="LW80" t="s">
        <v>736</v>
      </c>
      <c r="LX80" t="s">
        <v>3097</v>
      </c>
      <c r="LY80" t="s">
        <v>733</v>
      </c>
      <c r="LZ80" t="s">
        <v>1415</v>
      </c>
      <c r="MA80" t="s">
        <v>746</v>
      </c>
      <c r="MB80" t="s">
        <v>1273</v>
      </c>
      <c r="MC80" t="s">
        <v>733</v>
      </c>
      <c r="MD80" t="s">
        <v>1415</v>
      </c>
      <c r="ME80" t="s">
        <v>746</v>
      </c>
      <c r="MF80" t="s">
        <v>1408</v>
      </c>
      <c r="MG80" t="s">
        <v>733</v>
      </c>
      <c r="MH80" t="s">
        <v>1415</v>
      </c>
      <c r="MI80" t="s">
        <v>746</v>
      </c>
      <c r="MJ80" t="s">
        <v>3098</v>
      </c>
      <c r="MK80" t="s">
        <v>733</v>
      </c>
      <c r="ML80" t="s">
        <v>3099</v>
      </c>
      <c r="MM80" t="s">
        <v>70</v>
      </c>
      <c r="MO80" t="s">
        <v>783</v>
      </c>
      <c r="MP80" t="s">
        <v>783</v>
      </c>
      <c r="MQ80" t="s">
        <v>783</v>
      </c>
      <c r="MR80" t="s">
        <v>783</v>
      </c>
      <c r="MS80" t="s">
        <v>783</v>
      </c>
      <c r="MT80" t="s">
        <v>783</v>
      </c>
      <c r="MU80" t="s">
        <v>781</v>
      </c>
      <c r="MV80" t="s">
        <v>783</v>
      </c>
      <c r="MW80" t="s">
        <v>783</v>
      </c>
      <c r="MX80" t="s">
        <v>781</v>
      </c>
      <c r="MZ80" t="s">
        <v>781</v>
      </c>
      <c r="NA80" t="s">
        <v>783</v>
      </c>
      <c r="NB80" t="s">
        <v>783</v>
      </c>
      <c r="NC80" t="s">
        <v>783</v>
      </c>
      <c r="ND80" t="s">
        <v>783</v>
      </c>
      <c r="NE80" t="s">
        <v>784</v>
      </c>
      <c r="NF80" t="s">
        <v>783</v>
      </c>
      <c r="NG80" t="s">
        <v>783</v>
      </c>
      <c r="NH80" t="s">
        <v>784</v>
      </c>
      <c r="NI80" t="s">
        <v>783</v>
      </c>
      <c r="NJ80" t="s">
        <v>783</v>
      </c>
      <c r="NK80" t="s">
        <v>784</v>
      </c>
      <c r="NL80" t="s">
        <v>783</v>
      </c>
      <c r="NM80" t="s">
        <v>783</v>
      </c>
      <c r="NN80" t="s">
        <v>783</v>
      </c>
      <c r="NO80" t="s">
        <v>784</v>
      </c>
      <c r="NP80" t="s">
        <v>783</v>
      </c>
      <c r="NQ80" t="s">
        <v>783</v>
      </c>
      <c r="NR80" t="s">
        <v>783</v>
      </c>
      <c r="NS80" t="s">
        <v>784</v>
      </c>
      <c r="NT80" t="s">
        <v>784</v>
      </c>
      <c r="NU80" t="s">
        <v>783</v>
      </c>
      <c r="NV80" t="s">
        <v>784</v>
      </c>
      <c r="NW80" t="s">
        <v>784</v>
      </c>
      <c r="NX80" t="s">
        <v>784</v>
      </c>
      <c r="NY80" t="s">
        <v>784</v>
      </c>
      <c r="NZ80" t="s">
        <v>783</v>
      </c>
      <c r="OA80" t="s">
        <v>783</v>
      </c>
      <c r="OB80" t="s">
        <v>784</v>
      </c>
      <c r="OC80" t="s">
        <v>784</v>
      </c>
      <c r="OD80" t="s">
        <v>783</v>
      </c>
      <c r="OE80" t="s">
        <v>783</v>
      </c>
      <c r="OF80" t="s">
        <v>783</v>
      </c>
      <c r="OG80" t="s">
        <v>783</v>
      </c>
      <c r="OH80" t="s">
        <v>783</v>
      </c>
      <c r="OI80" t="s">
        <v>783</v>
      </c>
      <c r="OJ80" t="s">
        <v>783</v>
      </c>
    </row>
    <row r="81" spans="1:400" x14ac:dyDescent="0.25">
      <c r="A81">
        <v>75</v>
      </c>
      <c r="B81" t="s">
        <v>378</v>
      </c>
      <c r="C81" t="s">
        <v>70</v>
      </c>
      <c r="D81" t="s">
        <v>57</v>
      </c>
      <c r="E81">
        <v>30</v>
      </c>
      <c r="F81" t="s">
        <v>58</v>
      </c>
      <c r="G81" t="s">
        <v>76</v>
      </c>
      <c r="H81" t="s">
        <v>60</v>
      </c>
      <c r="I81" t="s">
        <v>61</v>
      </c>
      <c r="J81" t="s">
        <v>62</v>
      </c>
      <c r="K81" t="s">
        <v>63</v>
      </c>
      <c r="M81" t="s">
        <v>146</v>
      </c>
      <c r="N81" t="s">
        <v>234</v>
      </c>
      <c r="O81">
        <v>5</v>
      </c>
      <c r="P81" s="1">
        <v>15000</v>
      </c>
      <c r="Q81" s="1">
        <v>0</v>
      </c>
      <c r="R81" t="s">
        <v>376</v>
      </c>
      <c r="S81" s="7">
        <v>7500</v>
      </c>
      <c r="T81" t="s">
        <v>379</v>
      </c>
      <c r="U81" s="5">
        <v>5000</v>
      </c>
      <c r="V81" s="3" t="s">
        <v>70</v>
      </c>
      <c r="W81" s="5">
        <v>0</v>
      </c>
      <c r="X81" t="s">
        <v>94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 t="s">
        <v>63</v>
      </c>
      <c r="AR81">
        <v>1</v>
      </c>
      <c r="AS81" s="2">
        <v>0.75</v>
      </c>
      <c r="AT81" t="s">
        <v>531</v>
      </c>
      <c r="AU81">
        <v>0</v>
      </c>
      <c r="AV81">
        <v>0</v>
      </c>
      <c r="AW81">
        <v>1</v>
      </c>
      <c r="AX81">
        <v>0</v>
      </c>
      <c r="AY81">
        <v>0</v>
      </c>
      <c r="AZ81" t="s">
        <v>552</v>
      </c>
      <c r="BA81" t="s">
        <v>511</v>
      </c>
      <c r="BB81" t="s">
        <v>533</v>
      </c>
      <c r="BC81" t="s">
        <v>533</v>
      </c>
      <c r="BD81" t="s">
        <v>557</v>
      </c>
      <c r="BE81">
        <v>2013</v>
      </c>
      <c r="BF81">
        <v>10</v>
      </c>
      <c r="BG81" t="s">
        <v>508</v>
      </c>
      <c r="BH81">
        <v>1</v>
      </c>
      <c r="BI81">
        <v>0</v>
      </c>
      <c r="BJ81">
        <v>0</v>
      </c>
      <c r="BK81">
        <v>0</v>
      </c>
      <c r="BL81">
        <v>0</v>
      </c>
      <c r="BM81" t="s">
        <v>84</v>
      </c>
      <c r="BN81" t="s">
        <v>84</v>
      </c>
      <c r="CM81" t="s">
        <v>1072</v>
      </c>
      <c r="CN81" t="s">
        <v>84</v>
      </c>
      <c r="CO81" t="s">
        <v>84</v>
      </c>
      <c r="CZ81" s="26"/>
      <c r="DA81" s="27"/>
      <c r="DB81" t="s">
        <v>976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J81" t="s">
        <v>84</v>
      </c>
      <c r="DK81" s="35"/>
      <c r="DL81" s="37"/>
      <c r="FI81" t="s">
        <v>733</v>
      </c>
      <c r="FJ81" t="s">
        <v>1316</v>
      </c>
      <c r="FK81" t="s">
        <v>736</v>
      </c>
      <c r="FL81" t="s">
        <v>1764</v>
      </c>
      <c r="FM81" t="s">
        <v>736</v>
      </c>
      <c r="FN81" t="s">
        <v>3100</v>
      </c>
      <c r="FO81" t="s">
        <v>733</v>
      </c>
      <c r="FP81" t="s">
        <v>2066</v>
      </c>
      <c r="FQ81" t="s">
        <v>733</v>
      </c>
      <c r="FR81" t="s">
        <v>3101</v>
      </c>
      <c r="FS81" t="s">
        <v>733</v>
      </c>
      <c r="FT81" t="s">
        <v>3080</v>
      </c>
      <c r="FU81" t="s">
        <v>733</v>
      </c>
      <c r="FV81" t="s">
        <v>2210</v>
      </c>
      <c r="FW81" t="s">
        <v>777</v>
      </c>
      <c r="FX81" t="s">
        <v>3102</v>
      </c>
      <c r="FY81" t="s">
        <v>733</v>
      </c>
      <c r="FZ81" t="s">
        <v>3079</v>
      </c>
      <c r="GA81" t="s">
        <v>777</v>
      </c>
      <c r="GB81" t="s">
        <v>3103</v>
      </c>
      <c r="GC81" t="s">
        <v>733</v>
      </c>
      <c r="GD81" t="s">
        <v>3079</v>
      </c>
      <c r="GE81" t="s">
        <v>777</v>
      </c>
      <c r="GF81" t="s">
        <v>3104</v>
      </c>
      <c r="GG81" t="s">
        <v>746</v>
      </c>
      <c r="GH81" t="s">
        <v>2297</v>
      </c>
      <c r="GI81" t="s">
        <v>777</v>
      </c>
      <c r="GJ81" t="s">
        <v>3105</v>
      </c>
      <c r="GK81" t="s">
        <v>733</v>
      </c>
      <c r="GL81" t="s">
        <v>2221</v>
      </c>
      <c r="GM81" t="s">
        <v>733</v>
      </c>
      <c r="GN81" t="s">
        <v>1415</v>
      </c>
      <c r="GO81" t="s">
        <v>733</v>
      </c>
      <c r="GP81" t="s">
        <v>2241</v>
      </c>
      <c r="GQ81" t="s">
        <v>733</v>
      </c>
      <c r="GR81" t="s">
        <v>1316</v>
      </c>
      <c r="GS81" t="s">
        <v>733</v>
      </c>
      <c r="GT81" t="s">
        <v>2241</v>
      </c>
      <c r="GU81" t="s">
        <v>733</v>
      </c>
      <c r="GV81" t="s">
        <v>3106</v>
      </c>
      <c r="GW81" t="s">
        <v>736</v>
      </c>
      <c r="GX81" t="s">
        <v>1757</v>
      </c>
      <c r="GY81" t="s">
        <v>736</v>
      </c>
      <c r="GZ81" t="s">
        <v>1797</v>
      </c>
      <c r="HA81" t="s">
        <v>733</v>
      </c>
      <c r="HB81" t="s">
        <v>1415</v>
      </c>
      <c r="HC81" t="s">
        <v>733</v>
      </c>
      <c r="HD81" t="s">
        <v>1415</v>
      </c>
      <c r="HE81" t="s">
        <v>990</v>
      </c>
      <c r="HF81" t="s">
        <v>1757</v>
      </c>
      <c r="HG81" t="s">
        <v>736</v>
      </c>
      <c r="HH81" t="s">
        <v>1797</v>
      </c>
      <c r="HI81" t="s">
        <v>736</v>
      </c>
      <c r="HJ81" t="s">
        <v>1757</v>
      </c>
      <c r="HK81" t="s">
        <v>746</v>
      </c>
      <c r="HL81" t="s">
        <v>1408</v>
      </c>
      <c r="HM81" t="s">
        <v>746</v>
      </c>
      <c r="HN81" t="s">
        <v>1319</v>
      </c>
      <c r="HO81" t="s">
        <v>746</v>
      </c>
      <c r="HP81" t="s">
        <v>1408</v>
      </c>
      <c r="HQ81" t="s">
        <v>746</v>
      </c>
      <c r="HR81" t="s">
        <v>1336</v>
      </c>
      <c r="HS81" t="s">
        <v>733</v>
      </c>
      <c r="HT81" t="s">
        <v>1635</v>
      </c>
      <c r="HU81" t="s">
        <v>733</v>
      </c>
      <c r="HV81" t="s">
        <v>1489</v>
      </c>
      <c r="HW81" t="s">
        <v>733</v>
      </c>
      <c r="HX81" t="s">
        <v>2221</v>
      </c>
      <c r="HY81" t="s">
        <v>733</v>
      </c>
      <c r="HZ81" t="s">
        <v>3107</v>
      </c>
      <c r="IA81" t="s">
        <v>733</v>
      </c>
      <c r="IB81" t="s">
        <v>1316</v>
      </c>
      <c r="IC81" t="s">
        <v>733</v>
      </c>
      <c r="ID81" t="s">
        <v>1415</v>
      </c>
      <c r="IE81" t="s">
        <v>746</v>
      </c>
      <c r="IF81" t="s">
        <v>3108</v>
      </c>
      <c r="IG81" t="s">
        <v>746</v>
      </c>
      <c r="IH81" t="s">
        <v>1319</v>
      </c>
      <c r="II81" t="s">
        <v>736</v>
      </c>
      <c r="IJ81" t="s">
        <v>1757</v>
      </c>
      <c r="IK81" t="s">
        <v>733</v>
      </c>
      <c r="IL81" t="s">
        <v>1415</v>
      </c>
      <c r="IM81" t="s">
        <v>746</v>
      </c>
      <c r="IN81" t="s">
        <v>1771</v>
      </c>
      <c r="IO81" t="s">
        <v>746</v>
      </c>
      <c r="IP81" t="s">
        <v>1375</v>
      </c>
      <c r="IQ81" t="s">
        <v>746</v>
      </c>
      <c r="IR81" t="s">
        <v>1375</v>
      </c>
      <c r="IS81" t="s">
        <v>746</v>
      </c>
      <c r="IT81" t="s">
        <v>1319</v>
      </c>
      <c r="IU81" t="s">
        <v>746</v>
      </c>
      <c r="IV81" t="s">
        <v>1375</v>
      </c>
      <c r="IW81" t="s">
        <v>746</v>
      </c>
      <c r="IX81" t="s">
        <v>1375</v>
      </c>
      <c r="IY81" t="s">
        <v>746</v>
      </c>
      <c r="IZ81" t="s">
        <v>1408</v>
      </c>
      <c r="JA81" t="s">
        <v>746</v>
      </c>
      <c r="JB81" t="s">
        <v>3109</v>
      </c>
      <c r="JC81" t="s">
        <v>746</v>
      </c>
      <c r="JD81" t="s">
        <v>1771</v>
      </c>
      <c r="JE81" t="s">
        <v>746</v>
      </c>
      <c r="JF81" t="s">
        <v>1375</v>
      </c>
      <c r="JG81" t="s">
        <v>746</v>
      </c>
      <c r="JH81" t="s">
        <v>1868</v>
      </c>
      <c r="JI81" t="s">
        <v>746</v>
      </c>
      <c r="JJ81" t="s">
        <v>1375</v>
      </c>
      <c r="JK81" t="s">
        <v>746</v>
      </c>
      <c r="JL81" t="s">
        <v>1868</v>
      </c>
      <c r="JM81" t="s">
        <v>746</v>
      </c>
      <c r="JN81" t="s">
        <v>1375</v>
      </c>
      <c r="JO81" t="s">
        <v>746</v>
      </c>
      <c r="JP81" t="s">
        <v>1868</v>
      </c>
      <c r="JQ81" t="s">
        <v>746</v>
      </c>
      <c r="JR81" t="s">
        <v>1375</v>
      </c>
      <c r="JS81" t="s">
        <v>746</v>
      </c>
      <c r="JT81" t="s">
        <v>1868</v>
      </c>
      <c r="JU81" t="s">
        <v>746</v>
      </c>
      <c r="JV81" t="s">
        <v>3110</v>
      </c>
      <c r="JW81" t="s">
        <v>746</v>
      </c>
      <c r="JX81" t="s">
        <v>1375</v>
      </c>
      <c r="JY81" t="s">
        <v>746</v>
      </c>
      <c r="JZ81" t="s">
        <v>1319</v>
      </c>
      <c r="KA81" t="s">
        <v>746</v>
      </c>
      <c r="KB81" t="s">
        <v>1375</v>
      </c>
      <c r="KC81" t="s">
        <v>746</v>
      </c>
      <c r="KD81" t="s">
        <v>1771</v>
      </c>
      <c r="KE81" t="s">
        <v>746</v>
      </c>
      <c r="KF81" t="s">
        <v>1375</v>
      </c>
      <c r="KG81" t="s">
        <v>746</v>
      </c>
      <c r="KH81" t="s">
        <v>1771</v>
      </c>
      <c r="KI81" t="s">
        <v>746</v>
      </c>
      <c r="KJ81" t="s">
        <v>1375</v>
      </c>
      <c r="KK81" t="s">
        <v>746</v>
      </c>
      <c r="KL81" t="s">
        <v>1771</v>
      </c>
      <c r="KM81" t="s">
        <v>746</v>
      </c>
      <c r="KN81" t="s">
        <v>1375</v>
      </c>
      <c r="KO81" t="s">
        <v>746</v>
      </c>
      <c r="KP81" t="s">
        <v>1868</v>
      </c>
      <c r="KQ81" t="s">
        <v>746</v>
      </c>
      <c r="KR81" t="s">
        <v>1771</v>
      </c>
      <c r="KS81" t="s">
        <v>746</v>
      </c>
      <c r="KT81" t="s">
        <v>1868</v>
      </c>
      <c r="KU81" t="s">
        <v>746</v>
      </c>
      <c r="KV81" t="s">
        <v>3111</v>
      </c>
      <c r="KW81" t="s">
        <v>746</v>
      </c>
      <c r="KX81" t="s">
        <v>1375</v>
      </c>
      <c r="KY81" t="s">
        <v>746</v>
      </c>
      <c r="KZ81" t="s">
        <v>1374</v>
      </c>
      <c r="LA81" t="s">
        <v>746</v>
      </c>
      <c r="LB81" t="s">
        <v>1319</v>
      </c>
      <c r="LC81" t="s">
        <v>736</v>
      </c>
      <c r="LD81" t="s">
        <v>1345</v>
      </c>
      <c r="LE81" t="s">
        <v>733</v>
      </c>
      <c r="LF81" t="s">
        <v>1415</v>
      </c>
      <c r="LG81" t="s">
        <v>746</v>
      </c>
      <c r="LH81" t="s">
        <v>1771</v>
      </c>
      <c r="LI81" t="s">
        <v>746</v>
      </c>
      <c r="LJ81" t="s">
        <v>1375</v>
      </c>
      <c r="LK81" t="s">
        <v>746</v>
      </c>
      <c r="LL81" t="s">
        <v>1771</v>
      </c>
      <c r="LM81" t="s">
        <v>746</v>
      </c>
      <c r="LN81" t="s">
        <v>1868</v>
      </c>
      <c r="LO81" t="s">
        <v>746</v>
      </c>
      <c r="LP81" t="s">
        <v>1375</v>
      </c>
      <c r="LQ81" t="s">
        <v>746</v>
      </c>
      <c r="LR81" t="s">
        <v>1375</v>
      </c>
      <c r="LS81" t="s">
        <v>733</v>
      </c>
      <c r="LT81" t="s">
        <v>3112</v>
      </c>
      <c r="LU81" t="s">
        <v>733</v>
      </c>
      <c r="LV81" t="s">
        <v>1415</v>
      </c>
      <c r="LW81" t="s">
        <v>746</v>
      </c>
      <c r="LX81" t="s">
        <v>1771</v>
      </c>
      <c r="LY81" t="s">
        <v>746</v>
      </c>
      <c r="LZ81" t="s">
        <v>3113</v>
      </c>
      <c r="MA81" t="s">
        <v>746</v>
      </c>
      <c r="MB81" t="s">
        <v>1319</v>
      </c>
      <c r="MC81" t="s">
        <v>746</v>
      </c>
      <c r="MD81" t="s">
        <v>1319</v>
      </c>
      <c r="ME81" t="s">
        <v>733</v>
      </c>
      <c r="MF81" t="s">
        <v>1415</v>
      </c>
      <c r="MG81" t="s">
        <v>733</v>
      </c>
      <c r="MH81" t="s">
        <v>1415</v>
      </c>
      <c r="MI81" t="s">
        <v>746</v>
      </c>
      <c r="MJ81" t="s">
        <v>3114</v>
      </c>
      <c r="MK81" t="s">
        <v>746</v>
      </c>
      <c r="ML81" t="s">
        <v>1319</v>
      </c>
      <c r="MM81" t="s">
        <v>70</v>
      </c>
      <c r="MO81" t="s">
        <v>783</v>
      </c>
      <c r="MP81" t="s">
        <v>784</v>
      </c>
      <c r="MQ81" t="s">
        <v>783</v>
      </c>
      <c r="MR81" t="s">
        <v>783</v>
      </c>
      <c r="MS81" t="s">
        <v>783</v>
      </c>
      <c r="MT81" t="s">
        <v>783</v>
      </c>
      <c r="MU81" t="s">
        <v>783</v>
      </c>
      <c r="MV81" t="s">
        <v>783</v>
      </c>
      <c r="MW81" t="s">
        <v>783</v>
      </c>
      <c r="MX81" t="s">
        <v>783</v>
      </c>
      <c r="MZ81" t="s">
        <v>783</v>
      </c>
      <c r="NA81" t="s">
        <v>783</v>
      </c>
      <c r="NB81" t="s">
        <v>783</v>
      </c>
      <c r="NC81" t="s">
        <v>783</v>
      </c>
      <c r="ND81" t="s">
        <v>783</v>
      </c>
      <c r="NE81" t="s">
        <v>783</v>
      </c>
      <c r="NF81" t="s">
        <v>783</v>
      </c>
      <c r="NG81" t="s">
        <v>784</v>
      </c>
      <c r="NH81" t="s">
        <v>781</v>
      </c>
      <c r="NI81" t="s">
        <v>783</v>
      </c>
      <c r="NJ81" t="s">
        <v>783</v>
      </c>
      <c r="NK81" t="s">
        <v>784</v>
      </c>
      <c r="NL81" t="s">
        <v>783</v>
      </c>
      <c r="NM81" t="s">
        <v>784</v>
      </c>
      <c r="NN81" t="s">
        <v>784</v>
      </c>
      <c r="NO81" t="s">
        <v>783</v>
      </c>
      <c r="NP81" t="s">
        <v>784</v>
      </c>
      <c r="NQ81" t="s">
        <v>783</v>
      </c>
      <c r="NR81" t="s">
        <v>783</v>
      </c>
      <c r="NS81" t="s">
        <v>783</v>
      </c>
      <c r="NT81" t="s">
        <v>784</v>
      </c>
      <c r="NU81" t="s">
        <v>783</v>
      </c>
      <c r="NV81" t="s">
        <v>784</v>
      </c>
      <c r="NW81" t="s">
        <v>784</v>
      </c>
      <c r="NX81" t="s">
        <v>783</v>
      </c>
      <c r="NY81" t="s">
        <v>783</v>
      </c>
      <c r="NZ81" t="s">
        <v>907</v>
      </c>
      <c r="OA81" t="s">
        <v>783</v>
      </c>
      <c r="OB81" t="s">
        <v>784</v>
      </c>
      <c r="OC81" t="s">
        <v>784</v>
      </c>
      <c r="OD81" t="s">
        <v>784</v>
      </c>
      <c r="OE81" t="s">
        <v>783</v>
      </c>
      <c r="OF81" t="s">
        <v>783</v>
      </c>
      <c r="OG81" t="s">
        <v>783</v>
      </c>
      <c r="OH81" t="s">
        <v>783</v>
      </c>
      <c r="OI81" t="s">
        <v>783</v>
      </c>
      <c r="OJ81" t="s">
        <v>783</v>
      </c>
    </row>
    <row r="82" spans="1:400" x14ac:dyDescent="0.25">
      <c r="A82">
        <v>76</v>
      </c>
      <c r="B82" t="s">
        <v>380</v>
      </c>
      <c r="C82" t="s">
        <v>70</v>
      </c>
      <c r="D82" t="s">
        <v>97</v>
      </c>
      <c r="E82">
        <v>64</v>
      </c>
      <c r="F82" t="s">
        <v>58</v>
      </c>
      <c r="G82" t="s">
        <v>381</v>
      </c>
      <c r="H82" t="s">
        <v>60</v>
      </c>
      <c r="I82" t="s">
        <v>61</v>
      </c>
      <c r="J82" t="s">
        <v>62</v>
      </c>
      <c r="K82" t="s">
        <v>84</v>
      </c>
      <c r="L82" t="s">
        <v>98</v>
      </c>
      <c r="M82" t="s">
        <v>146</v>
      </c>
      <c r="N82" t="s">
        <v>368</v>
      </c>
      <c r="O82">
        <v>5</v>
      </c>
      <c r="P82" s="1">
        <v>10000</v>
      </c>
      <c r="Q82" s="1">
        <v>0</v>
      </c>
      <c r="R82" t="s">
        <v>382</v>
      </c>
      <c r="S82" s="7">
        <v>10000</v>
      </c>
      <c r="T82" t="s">
        <v>383</v>
      </c>
      <c r="U82" s="5">
        <v>3000</v>
      </c>
      <c r="V82" s="3" t="s">
        <v>70</v>
      </c>
      <c r="W82" s="5">
        <v>0</v>
      </c>
      <c r="X82" t="s">
        <v>94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 t="s">
        <v>63</v>
      </c>
      <c r="AR82">
        <v>1</v>
      </c>
      <c r="AS82" s="2">
        <v>0.5</v>
      </c>
      <c r="AT82" t="s">
        <v>503</v>
      </c>
      <c r="AU82">
        <v>0</v>
      </c>
      <c r="AV82">
        <v>0</v>
      </c>
      <c r="AW82">
        <v>0</v>
      </c>
      <c r="AX82">
        <v>1</v>
      </c>
      <c r="AY82">
        <v>0</v>
      </c>
      <c r="AZ82" t="s">
        <v>580</v>
      </c>
      <c r="BA82" t="s">
        <v>511</v>
      </c>
      <c r="BD82" t="s">
        <v>581</v>
      </c>
      <c r="BE82">
        <v>1992</v>
      </c>
      <c r="BF82">
        <v>31</v>
      </c>
      <c r="BG82" t="s">
        <v>582</v>
      </c>
      <c r="BH82">
        <v>1</v>
      </c>
      <c r="BI82">
        <v>1</v>
      </c>
      <c r="BJ82">
        <v>0</v>
      </c>
      <c r="BK82">
        <v>0</v>
      </c>
      <c r="BL82">
        <v>0</v>
      </c>
      <c r="BM82" t="s">
        <v>63</v>
      </c>
      <c r="BN82" t="s">
        <v>63</v>
      </c>
      <c r="BO82" t="s">
        <v>3844</v>
      </c>
      <c r="BP82" t="s">
        <v>3845</v>
      </c>
      <c r="BR82" t="s">
        <v>3887</v>
      </c>
      <c r="BS82" t="s">
        <v>71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 t="s">
        <v>3914</v>
      </c>
      <c r="CA82" t="s">
        <v>3839</v>
      </c>
      <c r="CC82" t="s">
        <v>3840</v>
      </c>
      <c r="CD82" t="s">
        <v>70</v>
      </c>
      <c r="CE82" t="s">
        <v>3867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N82" t="s">
        <v>84</v>
      </c>
      <c r="CO82" t="s">
        <v>84</v>
      </c>
      <c r="CZ82" s="26"/>
      <c r="DA82" s="27"/>
      <c r="DB82" t="s">
        <v>976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J82" t="s">
        <v>84</v>
      </c>
      <c r="DK82" s="35"/>
      <c r="DL82" s="37"/>
      <c r="FI82" t="s">
        <v>736</v>
      </c>
      <c r="FJ82" t="s">
        <v>3115</v>
      </c>
      <c r="FK82" t="s">
        <v>736</v>
      </c>
      <c r="FL82" t="s">
        <v>3116</v>
      </c>
      <c r="FM82" t="s">
        <v>736</v>
      </c>
      <c r="FN82" t="s">
        <v>3117</v>
      </c>
      <c r="FO82" t="s">
        <v>736</v>
      </c>
      <c r="FP82" t="s">
        <v>3118</v>
      </c>
      <c r="FQ82" t="s">
        <v>733</v>
      </c>
      <c r="FR82" t="s">
        <v>1763</v>
      </c>
      <c r="FS82" t="s">
        <v>733</v>
      </c>
      <c r="FT82" t="s">
        <v>3119</v>
      </c>
      <c r="FU82" t="s">
        <v>733</v>
      </c>
      <c r="FV82" t="s">
        <v>3120</v>
      </c>
      <c r="FW82" t="s">
        <v>733</v>
      </c>
      <c r="FX82" t="s">
        <v>3075</v>
      </c>
      <c r="FY82" t="s">
        <v>733</v>
      </c>
      <c r="FZ82" t="s">
        <v>3088</v>
      </c>
      <c r="GA82" t="s">
        <v>733</v>
      </c>
      <c r="GB82" t="s">
        <v>3121</v>
      </c>
      <c r="GC82" t="s">
        <v>733</v>
      </c>
      <c r="GD82" t="s">
        <v>2221</v>
      </c>
      <c r="GE82" t="s">
        <v>733</v>
      </c>
      <c r="GF82" t="s">
        <v>3121</v>
      </c>
      <c r="GG82" t="s">
        <v>733</v>
      </c>
      <c r="GH82" t="s">
        <v>3122</v>
      </c>
      <c r="GI82" t="s">
        <v>733</v>
      </c>
      <c r="GJ82" t="s">
        <v>3121</v>
      </c>
      <c r="GK82" t="s">
        <v>733</v>
      </c>
      <c r="GL82" t="s">
        <v>3079</v>
      </c>
      <c r="GM82" t="s">
        <v>733</v>
      </c>
      <c r="GN82" t="s">
        <v>1415</v>
      </c>
      <c r="GO82" t="s">
        <v>733</v>
      </c>
      <c r="GP82" t="s">
        <v>3079</v>
      </c>
      <c r="GQ82" t="s">
        <v>733</v>
      </c>
      <c r="GR82" t="s">
        <v>1390</v>
      </c>
      <c r="GS82" t="s">
        <v>733</v>
      </c>
      <c r="GT82" t="s">
        <v>1316</v>
      </c>
      <c r="GU82" t="s">
        <v>733</v>
      </c>
      <c r="GV82" t="s">
        <v>1766</v>
      </c>
      <c r="GW82" t="s">
        <v>733</v>
      </c>
      <c r="GX82" t="s">
        <v>3079</v>
      </c>
      <c r="GY82" t="s">
        <v>736</v>
      </c>
      <c r="GZ82" t="s">
        <v>1319</v>
      </c>
      <c r="HA82" t="s">
        <v>736</v>
      </c>
      <c r="HB82" t="s">
        <v>1335</v>
      </c>
      <c r="HC82" t="s">
        <v>736</v>
      </c>
      <c r="HD82" t="s">
        <v>1319</v>
      </c>
      <c r="HE82" t="s">
        <v>798</v>
      </c>
      <c r="HF82" t="s">
        <v>1770</v>
      </c>
      <c r="HG82" t="s">
        <v>733</v>
      </c>
      <c r="HH82" t="s">
        <v>1335</v>
      </c>
      <c r="HI82" t="s">
        <v>736</v>
      </c>
      <c r="HJ82" t="s">
        <v>1319</v>
      </c>
      <c r="HK82" t="s">
        <v>733</v>
      </c>
      <c r="HL82" t="s">
        <v>2221</v>
      </c>
      <c r="HM82" t="s">
        <v>733</v>
      </c>
      <c r="HN82" t="s">
        <v>1415</v>
      </c>
      <c r="HO82" t="s">
        <v>746</v>
      </c>
      <c r="HP82" t="s">
        <v>1349</v>
      </c>
      <c r="HQ82" t="s">
        <v>746</v>
      </c>
      <c r="HR82" t="s">
        <v>1757</v>
      </c>
      <c r="HS82" t="s">
        <v>733</v>
      </c>
      <c r="HT82" t="s">
        <v>3123</v>
      </c>
      <c r="HU82" t="s">
        <v>733</v>
      </c>
      <c r="HV82" t="s">
        <v>2040</v>
      </c>
      <c r="HW82" t="s">
        <v>733</v>
      </c>
      <c r="HX82" t="s">
        <v>3124</v>
      </c>
      <c r="HY82" t="s">
        <v>733</v>
      </c>
      <c r="HZ82" t="s">
        <v>1316</v>
      </c>
      <c r="IA82" t="s">
        <v>733</v>
      </c>
      <c r="IB82" t="s">
        <v>3088</v>
      </c>
      <c r="IC82" t="s">
        <v>733</v>
      </c>
      <c r="ID82" t="s">
        <v>1316</v>
      </c>
      <c r="IE82" t="s">
        <v>733</v>
      </c>
      <c r="IF82" t="s">
        <v>3125</v>
      </c>
      <c r="IG82" t="s">
        <v>733</v>
      </c>
      <c r="IH82" t="s">
        <v>1415</v>
      </c>
      <c r="II82" t="s">
        <v>733</v>
      </c>
      <c r="IJ82" t="s">
        <v>1316</v>
      </c>
      <c r="IK82" t="s">
        <v>733</v>
      </c>
      <c r="IL82" t="s">
        <v>1415</v>
      </c>
      <c r="IM82" t="s">
        <v>733</v>
      </c>
      <c r="IN82" t="s">
        <v>3087</v>
      </c>
      <c r="IO82" t="s">
        <v>733</v>
      </c>
      <c r="IP82" t="s">
        <v>2277</v>
      </c>
      <c r="IQ82" t="s">
        <v>733</v>
      </c>
      <c r="IR82" t="s">
        <v>2241</v>
      </c>
      <c r="IS82" t="s">
        <v>733</v>
      </c>
      <c r="IT82" t="s">
        <v>1751</v>
      </c>
      <c r="IU82" t="s">
        <v>733</v>
      </c>
      <c r="IV82" t="s">
        <v>1365</v>
      </c>
      <c r="IW82" t="s">
        <v>733</v>
      </c>
      <c r="IX82" t="s">
        <v>2040</v>
      </c>
      <c r="IY82" t="s">
        <v>746</v>
      </c>
      <c r="IZ82" t="s">
        <v>1757</v>
      </c>
      <c r="JA82" t="s">
        <v>746</v>
      </c>
      <c r="JB82" t="s">
        <v>1349</v>
      </c>
      <c r="JC82" t="s">
        <v>733</v>
      </c>
      <c r="JD82" t="s">
        <v>3126</v>
      </c>
      <c r="JE82" t="s">
        <v>733</v>
      </c>
      <c r="JF82" t="s">
        <v>3127</v>
      </c>
      <c r="JG82" t="s">
        <v>746</v>
      </c>
      <c r="JH82" t="s">
        <v>1757</v>
      </c>
      <c r="JI82" t="s">
        <v>746</v>
      </c>
      <c r="JJ82" t="s">
        <v>1349</v>
      </c>
      <c r="JK82" t="s">
        <v>746</v>
      </c>
      <c r="JL82" t="s">
        <v>1757</v>
      </c>
      <c r="JM82" t="s">
        <v>746</v>
      </c>
      <c r="JN82" t="s">
        <v>1764</v>
      </c>
      <c r="JO82" t="s">
        <v>746</v>
      </c>
      <c r="JP82" t="s">
        <v>1358</v>
      </c>
      <c r="JQ82" t="s">
        <v>746</v>
      </c>
      <c r="JR82" t="s">
        <v>1764</v>
      </c>
      <c r="JS82" t="s">
        <v>733</v>
      </c>
      <c r="JT82" t="s">
        <v>1378</v>
      </c>
      <c r="JU82" t="s">
        <v>733</v>
      </c>
      <c r="JV82" t="s">
        <v>3128</v>
      </c>
      <c r="JW82" t="s">
        <v>746</v>
      </c>
      <c r="JX82" t="s">
        <v>3129</v>
      </c>
      <c r="JY82" t="s">
        <v>733</v>
      </c>
      <c r="JZ82" t="s">
        <v>1341</v>
      </c>
      <c r="KA82" t="s">
        <v>733</v>
      </c>
      <c r="KB82" t="s">
        <v>3130</v>
      </c>
      <c r="KC82" t="s">
        <v>733</v>
      </c>
      <c r="KD82" t="s">
        <v>2280</v>
      </c>
      <c r="KE82" t="s">
        <v>746</v>
      </c>
      <c r="KF82" t="s">
        <v>1358</v>
      </c>
      <c r="KG82" t="s">
        <v>746</v>
      </c>
      <c r="KH82" t="s">
        <v>1349</v>
      </c>
      <c r="KI82" t="s">
        <v>746</v>
      </c>
      <c r="KJ82" t="s">
        <v>1349</v>
      </c>
      <c r="KK82" t="s">
        <v>746</v>
      </c>
      <c r="KL82" t="s">
        <v>1764</v>
      </c>
      <c r="KM82" t="s">
        <v>733</v>
      </c>
      <c r="KN82" t="s">
        <v>3131</v>
      </c>
      <c r="KO82" t="s">
        <v>733</v>
      </c>
      <c r="KP82" t="s">
        <v>1423</v>
      </c>
      <c r="KQ82" t="s">
        <v>733</v>
      </c>
      <c r="KR82" t="s">
        <v>1365</v>
      </c>
      <c r="KS82" t="s">
        <v>733</v>
      </c>
      <c r="KT82" t="s">
        <v>1423</v>
      </c>
      <c r="KU82" t="s">
        <v>733</v>
      </c>
      <c r="KV82" t="s">
        <v>3132</v>
      </c>
      <c r="KW82" t="s">
        <v>733</v>
      </c>
      <c r="KX82" t="s">
        <v>1415</v>
      </c>
      <c r="KY82" t="s">
        <v>733</v>
      </c>
      <c r="KZ82" t="s">
        <v>3133</v>
      </c>
      <c r="LA82" t="s">
        <v>733</v>
      </c>
      <c r="LB82" t="s">
        <v>3134</v>
      </c>
      <c r="LC82" t="s">
        <v>733</v>
      </c>
      <c r="LD82" t="s">
        <v>3135</v>
      </c>
      <c r="LE82" t="s">
        <v>733</v>
      </c>
      <c r="LF82" t="s">
        <v>1415</v>
      </c>
      <c r="LG82" t="s">
        <v>733</v>
      </c>
      <c r="LH82" t="s">
        <v>3136</v>
      </c>
      <c r="LI82" t="s">
        <v>733</v>
      </c>
      <c r="LJ82" t="s">
        <v>3133</v>
      </c>
      <c r="LK82" t="s">
        <v>733</v>
      </c>
      <c r="LL82" t="s">
        <v>2277</v>
      </c>
      <c r="LM82" t="s">
        <v>733</v>
      </c>
      <c r="LN82" t="s">
        <v>3137</v>
      </c>
      <c r="LO82" t="s">
        <v>733</v>
      </c>
      <c r="LP82" t="s">
        <v>1316</v>
      </c>
      <c r="LQ82" t="s">
        <v>733</v>
      </c>
      <c r="LR82" t="s">
        <v>1502</v>
      </c>
      <c r="LS82" t="s">
        <v>736</v>
      </c>
      <c r="LT82" t="s">
        <v>3138</v>
      </c>
      <c r="LU82" t="s">
        <v>736</v>
      </c>
      <c r="LV82" t="s">
        <v>1319</v>
      </c>
      <c r="LW82" t="s">
        <v>733</v>
      </c>
      <c r="LX82" t="s">
        <v>3139</v>
      </c>
      <c r="LY82" t="s">
        <v>733</v>
      </c>
      <c r="LZ82" t="s">
        <v>3140</v>
      </c>
      <c r="MA82" t="s">
        <v>733</v>
      </c>
      <c r="MB82" t="s">
        <v>3139</v>
      </c>
      <c r="MC82" t="s">
        <v>733</v>
      </c>
      <c r="MD82" t="s">
        <v>3141</v>
      </c>
      <c r="ME82" t="s">
        <v>733</v>
      </c>
      <c r="MF82" t="s">
        <v>3142</v>
      </c>
      <c r="MG82" t="s">
        <v>733</v>
      </c>
      <c r="MH82" t="s">
        <v>3141</v>
      </c>
      <c r="MI82" t="s">
        <v>733</v>
      </c>
      <c r="MJ82" t="s">
        <v>3143</v>
      </c>
      <c r="MK82" t="s">
        <v>733</v>
      </c>
      <c r="ML82" t="s">
        <v>3144</v>
      </c>
      <c r="MM82" t="s">
        <v>70</v>
      </c>
      <c r="MO82" t="s">
        <v>783</v>
      </c>
      <c r="MP82" t="s">
        <v>784</v>
      </c>
      <c r="MQ82" t="s">
        <v>783</v>
      </c>
      <c r="MR82" t="s">
        <v>783</v>
      </c>
      <c r="MS82" t="s">
        <v>783</v>
      </c>
      <c r="MT82" t="s">
        <v>783</v>
      </c>
      <c r="MU82" t="s">
        <v>783</v>
      </c>
      <c r="MV82" t="s">
        <v>783</v>
      </c>
      <c r="MW82" t="s">
        <v>783</v>
      </c>
      <c r="MX82" t="s">
        <v>783</v>
      </c>
      <c r="MZ82" t="s">
        <v>783</v>
      </c>
      <c r="NA82" t="s">
        <v>783</v>
      </c>
      <c r="NB82" t="s">
        <v>783</v>
      </c>
      <c r="NC82" t="s">
        <v>783</v>
      </c>
      <c r="ND82" t="s">
        <v>783</v>
      </c>
      <c r="NE82" t="s">
        <v>783</v>
      </c>
      <c r="NF82" t="s">
        <v>783</v>
      </c>
      <c r="NG82" t="s">
        <v>783</v>
      </c>
      <c r="NH82" t="s">
        <v>784</v>
      </c>
      <c r="NI82" t="s">
        <v>783</v>
      </c>
      <c r="NJ82" t="s">
        <v>783</v>
      </c>
      <c r="NK82" t="s">
        <v>783</v>
      </c>
      <c r="NL82" t="s">
        <v>783</v>
      </c>
      <c r="NM82" t="s">
        <v>783</v>
      </c>
      <c r="NN82" t="s">
        <v>784</v>
      </c>
      <c r="NO82" t="s">
        <v>783</v>
      </c>
      <c r="NP82" t="s">
        <v>783</v>
      </c>
      <c r="NQ82" t="s">
        <v>783</v>
      </c>
      <c r="NR82" t="s">
        <v>783</v>
      </c>
      <c r="NS82" t="s">
        <v>784</v>
      </c>
      <c r="NT82" t="s">
        <v>784</v>
      </c>
      <c r="NU82" t="s">
        <v>783</v>
      </c>
      <c r="NV82" t="s">
        <v>784</v>
      </c>
      <c r="NW82" t="s">
        <v>784</v>
      </c>
      <c r="NX82" t="s">
        <v>783</v>
      </c>
      <c r="NY82" t="s">
        <v>783</v>
      </c>
      <c r="NZ82" t="s">
        <v>783</v>
      </c>
      <c r="OA82" t="s">
        <v>783</v>
      </c>
      <c r="OB82" t="s">
        <v>783</v>
      </c>
      <c r="OC82" t="s">
        <v>784</v>
      </c>
      <c r="OD82" t="s">
        <v>783</v>
      </c>
      <c r="OE82" t="s">
        <v>783</v>
      </c>
      <c r="OF82" t="s">
        <v>783</v>
      </c>
      <c r="OG82" t="s">
        <v>783</v>
      </c>
      <c r="OH82" t="s">
        <v>783</v>
      </c>
      <c r="OI82" t="s">
        <v>783</v>
      </c>
      <c r="OJ82" t="s">
        <v>783</v>
      </c>
    </row>
    <row r="83" spans="1:400" x14ac:dyDescent="0.25">
      <c r="A83">
        <v>77</v>
      </c>
      <c r="B83" t="s">
        <v>385</v>
      </c>
      <c r="C83" t="s">
        <v>70</v>
      </c>
      <c r="D83" t="s">
        <v>57</v>
      </c>
      <c r="E83">
        <v>24</v>
      </c>
      <c r="F83" t="s">
        <v>58</v>
      </c>
      <c r="G83" t="s">
        <v>76</v>
      </c>
      <c r="H83" t="s">
        <v>60</v>
      </c>
      <c r="I83" t="s">
        <v>113</v>
      </c>
      <c r="J83" t="s">
        <v>62</v>
      </c>
      <c r="K83" t="s">
        <v>63</v>
      </c>
      <c r="M83" t="s">
        <v>146</v>
      </c>
      <c r="N83" t="s">
        <v>70</v>
      </c>
      <c r="O83">
        <v>3</v>
      </c>
      <c r="P83" s="1">
        <v>50000</v>
      </c>
      <c r="Q83" s="1">
        <v>0</v>
      </c>
      <c r="R83" t="s">
        <v>376</v>
      </c>
      <c r="S83" s="7">
        <v>15000</v>
      </c>
      <c r="T83" t="s">
        <v>70</v>
      </c>
      <c r="U83" s="5">
        <v>0</v>
      </c>
      <c r="V83" s="3" t="s">
        <v>70</v>
      </c>
      <c r="W83" s="5">
        <v>0</v>
      </c>
      <c r="X83" t="s">
        <v>94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P83" t="s">
        <v>63</v>
      </c>
      <c r="AR83">
        <v>1</v>
      </c>
      <c r="AS83" s="2">
        <v>0.5</v>
      </c>
      <c r="AT83" t="s">
        <v>531</v>
      </c>
      <c r="AU83">
        <v>0</v>
      </c>
      <c r="AV83">
        <v>0</v>
      </c>
      <c r="AW83">
        <v>1</v>
      </c>
      <c r="AX83">
        <v>0</v>
      </c>
      <c r="AY83">
        <v>0</v>
      </c>
      <c r="AZ83" t="s">
        <v>553</v>
      </c>
      <c r="BA83" t="s">
        <v>511</v>
      </c>
      <c r="BB83" t="s">
        <v>521</v>
      </c>
      <c r="BC83" t="s">
        <v>521</v>
      </c>
      <c r="BD83" t="s">
        <v>557</v>
      </c>
      <c r="BE83">
        <v>2022</v>
      </c>
      <c r="BF83">
        <v>1</v>
      </c>
      <c r="BG83" t="s">
        <v>508</v>
      </c>
      <c r="BH83">
        <v>1</v>
      </c>
      <c r="BI83">
        <v>0</v>
      </c>
      <c r="BJ83">
        <v>0</v>
      </c>
      <c r="BK83">
        <v>0</v>
      </c>
      <c r="BL83">
        <v>0</v>
      </c>
      <c r="BM83" t="s">
        <v>84</v>
      </c>
      <c r="BN83" t="s">
        <v>84</v>
      </c>
      <c r="CM83" t="s">
        <v>1072</v>
      </c>
      <c r="CN83" t="s">
        <v>84</v>
      </c>
      <c r="CO83" t="s">
        <v>84</v>
      </c>
      <c r="CZ83" s="26"/>
      <c r="DA83" s="27"/>
      <c r="DB83" t="s">
        <v>976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J83" t="s">
        <v>84</v>
      </c>
      <c r="DK83" s="35"/>
      <c r="DL83" s="37"/>
      <c r="FI83" t="s">
        <v>746</v>
      </c>
      <c r="FJ83" t="s">
        <v>3145</v>
      </c>
      <c r="FK83" t="s">
        <v>733</v>
      </c>
      <c r="FL83" t="s">
        <v>1332</v>
      </c>
      <c r="FM83" t="s">
        <v>733</v>
      </c>
      <c r="FN83" t="s">
        <v>3146</v>
      </c>
      <c r="FO83" t="s">
        <v>733</v>
      </c>
      <c r="FP83" t="s">
        <v>3121</v>
      </c>
      <c r="FQ83" t="s">
        <v>733</v>
      </c>
      <c r="FR83" t="s">
        <v>3147</v>
      </c>
      <c r="FS83" t="s">
        <v>733</v>
      </c>
      <c r="FT83" t="s">
        <v>1758</v>
      </c>
      <c r="FU83" t="s">
        <v>733</v>
      </c>
      <c r="FV83" t="s">
        <v>3148</v>
      </c>
      <c r="FW83" t="s">
        <v>733</v>
      </c>
      <c r="FX83" t="s">
        <v>3148</v>
      </c>
      <c r="FY83" t="s">
        <v>733</v>
      </c>
      <c r="FZ83" t="s">
        <v>3149</v>
      </c>
      <c r="GA83" t="s">
        <v>733</v>
      </c>
      <c r="GB83" t="s">
        <v>3119</v>
      </c>
      <c r="GC83" t="s">
        <v>733</v>
      </c>
      <c r="GD83" t="s">
        <v>1316</v>
      </c>
      <c r="GE83" t="s">
        <v>733</v>
      </c>
      <c r="GF83" t="s">
        <v>3150</v>
      </c>
      <c r="GG83" t="s">
        <v>746</v>
      </c>
      <c r="GH83" t="s">
        <v>3151</v>
      </c>
      <c r="GI83" t="s">
        <v>733</v>
      </c>
      <c r="GJ83" t="s">
        <v>3152</v>
      </c>
      <c r="GK83" t="s">
        <v>733</v>
      </c>
      <c r="GL83" t="s">
        <v>3079</v>
      </c>
      <c r="GM83" t="s">
        <v>733</v>
      </c>
      <c r="GN83" t="s">
        <v>2216</v>
      </c>
      <c r="GO83" t="s">
        <v>733</v>
      </c>
      <c r="GP83" t="s">
        <v>3079</v>
      </c>
      <c r="GQ83" t="s">
        <v>733</v>
      </c>
      <c r="GR83" t="s">
        <v>3153</v>
      </c>
      <c r="GS83" t="s">
        <v>733</v>
      </c>
      <c r="GT83" t="s">
        <v>2300</v>
      </c>
      <c r="GU83" t="s">
        <v>733</v>
      </c>
      <c r="GV83" t="s">
        <v>1758</v>
      </c>
      <c r="GW83" t="s">
        <v>736</v>
      </c>
      <c r="GX83" t="s">
        <v>1792</v>
      </c>
      <c r="GY83" t="s">
        <v>736</v>
      </c>
      <c r="GZ83" t="s">
        <v>1797</v>
      </c>
      <c r="HA83" t="s">
        <v>736</v>
      </c>
      <c r="HB83" t="s">
        <v>1792</v>
      </c>
      <c r="HC83" t="s">
        <v>736</v>
      </c>
      <c r="HD83" t="s">
        <v>1764</v>
      </c>
      <c r="HE83" t="s">
        <v>798</v>
      </c>
      <c r="HF83" t="s">
        <v>1792</v>
      </c>
      <c r="HG83" t="s">
        <v>736</v>
      </c>
      <c r="HH83" t="s">
        <v>1797</v>
      </c>
      <c r="HI83" t="s">
        <v>736</v>
      </c>
      <c r="HJ83" t="s">
        <v>1764</v>
      </c>
      <c r="HK83" t="s">
        <v>746</v>
      </c>
      <c r="HL83" t="s">
        <v>1408</v>
      </c>
      <c r="HM83" t="s">
        <v>746</v>
      </c>
      <c r="HN83" t="s">
        <v>2095</v>
      </c>
      <c r="HO83" t="s">
        <v>746</v>
      </c>
      <c r="HP83" t="s">
        <v>1408</v>
      </c>
      <c r="HQ83" t="s">
        <v>746</v>
      </c>
      <c r="HR83" t="s">
        <v>1336</v>
      </c>
      <c r="HS83" t="s">
        <v>736</v>
      </c>
      <c r="HT83" t="s">
        <v>1797</v>
      </c>
      <c r="HU83" t="s">
        <v>736</v>
      </c>
      <c r="HV83" t="s">
        <v>1764</v>
      </c>
      <c r="HW83" t="s">
        <v>733</v>
      </c>
      <c r="HX83" t="s">
        <v>3079</v>
      </c>
      <c r="HY83" t="s">
        <v>733</v>
      </c>
      <c r="HZ83" t="s">
        <v>1814</v>
      </c>
      <c r="IA83" t="s">
        <v>733</v>
      </c>
      <c r="IB83" t="s">
        <v>3088</v>
      </c>
      <c r="IC83" t="s">
        <v>733</v>
      </c>
      <c r="ID83" t="s">
        <v>3154</v>
      </c>
      <c r="IE83" t="s">
        <v>743</v>
      </c>
      <c r="IF83" t="s">
        <v>1319</v>
      </c>
      <c r="IG83" t="s">
        <v>746</v>
      </c>
      <c r="IH83" t="s">
        <v>3108</v>
      </c>
      <c r="II83" t="s">
        <v>733</v>
      </c>
      <c r="IJ83" t="s">
        <v>1764</v>
      </c>
      <c r="IK83" t="s">
        <v>733</v>
      </c>
      <c r="IL83" t="s">
        <v>2247</v>
      </c>
      <c r="IM83" t="s">
        <v>746</v>
      </c>
      <c r="IN83" t="s">
        <v>1770</v>
      </c>
      <c r="IO83" t="s">
        <v>746</v>
      </c>
      <c r="IP83" t="s">
        <v>1771</v>
      </c>
      <c r="IQ83" t="s">
        <v>746</v>
      </c>
      <c r="IR83" t="s">
        <v>3155</v>
      </c>
      <c r="IS83" t="s">
        <v>746</v>
      </c>
      <c r="IT83" t="s">
        <v>3156</v>
      </c>
      <c r="IU83" t="s">
        <v>746</v>
      </c>
      <c r="IV83" t="s">
        <v>1770</v>
      </c>
      <c r="IW83" t="s">
        <v>746</v>
      </c>
      <c r="IX83" t="s">
        <v>1771</v>
      </c>
      <c r="IY83" t="s">
        <v>746</v>
      </c>
      <c r="IZ83" t="s">
        <v>3157</v>
      </c>
      <c r="JA83" t="s">
        <v>746</v>
      </c>
      <c r="JB83" t="s">
        <v>3158</v>
      </c>
      <c r="JC83" t="s">
        <v>746</v>
      </c>
      <c r="JD83" t="s">
        <v>1771</v>
      </c>
      <c r="JE83" t="s">
        <v>746</v>
      </c>
      <c r="JF83" t="s">
        <v>1868</v>
      </c>
      <c r="JG83" t="s">
        <v>746</v>
      </c>
      <c r="JH83" t="s">
        <v>1375</v>
      </c>
      <c r="JI83" t="s">
        <v>746</v>
      </c>
      <c r="JJ83" t="s">
        <v>1771</v>
      </c>
      <c r="JK83" t="s">
        <v>746</v>
      </c>
      <c r="JL83" t="s">
        <v>1375</v>
      </c>
      <c r="JM83" t="s">
        <v>746</v>
      </c>
      <c r="JN83" t="s">
        <v>1771</v>
      </c>
      <c r="JO83" t="s">
        <v>746</v>
      </c>
      <c r="JP83" t="s">
        <v>1771</v>
      </c>
      <c r="JQ83" t="s">
        <v>746</v>
      </c>
      <c r="JR83" t="s">
        <v>1868</v>
      </c>
      <c r="JS83" t="s">
        <v>746</v>
      </c>
      <c r="JT83" t="s">
        <v>1771</v>
      </c>
      <c r="JU83" t="s">
        <v>746</v>
      </c>
      <c r="JV83" t="s">
        <v>1868</v>
      </c>
      <c r="JW83" t="s">
        <v>746</v>
      </c>
      <c r="JX83" t="s">
        <v>1375</v>
      </c>
      <c r="JY83" t="s">
        <v>746</v>
      </c>
      <c r="JZ83" t="s">
        <v>1375</v>
      </c>
      <c r="KA83" t="s">
        <v>746</v>
      </c>
      <c r="KB83" t="s">
        <v>1375</v>
      </c>
      <c r="KC83" t="s">
        <v>746</v>
      </c>
      <c r="KD83" t="s">
        <v>1771</v>
      </c>
      <c r="KE83" t="s">
        <v>746</v>
      </c>
      <c r="KF83" t="s">
        <v>2229</v>
      </c>
      <c r="KG83" t="s">
        <v>746</v>
      </c>
      <c r="KH83" t="s">
        <v>1375</v>
      </c>
      <c r="KI83" t="s">
        <v>746</v>
      </c>
      <c r="KJ83" t="s">
        <v>1375</v>
      </c>
      <c r="KK83" t="s">
        <v>746</v>
      </c>
      <c r="KL83" t="s">
        <v>1336</v>
      </c>
      <c r="KM83" t="s">
        <v>746</v>
      </c>
      <c r="KN83" t="s">
        <v>1375</v>
      </c>
      <c r="KO83" t="s">
        <v>746</v>
      </c>
      <c r="KP83" t="s">
        <v>1868</v>
      </c>
      <c r="KQ83" t="s">
        <v>746</v>
      </c>
      <c r="KR83" t="s">
        <v>2093</v>
      </c>
      <c r="KS83" t="s">
        <v>746</v>
      </c>
      <c r="KT83" t="s">
        <v>1868</v>
      </c>
      <c r="KU83" t="s">
        <v>746</v>
      </c>
      <c r="KV83" t="s">
        <v>3159</v>
      </c>
      <c r="KW83" t="s">
        <v>746</v>
      </c>
      <c r="KX83" t="s">
        <v>3160</v>
      </c>
      <c r="KY83" t="s">
        <v>746</v>
      </c>
      <c r="KZ83" t="s">
        <v>2307</v>
      </c>
      <c r="LA83" t="s">
        <v>746</v>
      </c>
      <c r="LB83" t="s">
        <v>1375</v>
      </c>
      <c r="LC83" t="s">
        <v>746</v>
      </c>
      <c r="LD83" t="s">
        <v>1771</v>
      </c>
      <c r="LE83" t="s">
        <v>746</v>
      </c>
      <c r="LF83" t="s">
        <v>1771</v>
      </c>
      <c r="LG83" t="s">
        <v>746</v>
      </c>
      <c r="LH83" t="s">
        <v>3161</v>
      </c>
      <c r="LI83" t="s">
        <v>746</v>
      </c>
      <c r="LJ83" t="s">
        <v>1375</v>
      </c>
      <c r="LK83" t="s">
        <v>746</v>
      </c>
      <c r="LL83" t="s">
        <v>1375</v>
      </c>
      <c r="LM83" t="s">
        <v>746</v>
      </c>
      <c r="LN83" t="s">
        <v>1771</v>
      </c>
      <c r="LO83" t="s">
        <v>746</v>
      </c>
      <c r="LP83" t="s">
        <v>1771</v>
      </c>
      <c r="LQ83" t="s">
        <v>746</v>
      </c>
      <c r="LR83" t="s">
        <v>1771</v>
      </c>
      <c r="LS83" t="s">
        <v>746</v>
      </c>
      <c r="LT83" t="s">
        <v>3162</v>
      </c>
      <c r="LU83" t="s">
        <v>746</v>
      </c>
      <c r="LV83" t="s">
        <v>3163</v>
      </c>
      <c r="LW83" t="s">
        <v>746</v>
      </c>
      <c r="LX83" t="s">
        <v>3164</v>
      </c>
      <c r="LY83" t="s">
        <v>746</v>
      </c>
      <c r="LZ83" t="s">
        <v>1319</v>
      </c>
      <c r="MA83" t="s">
        <v>746</v>
      </c>
      <c r="MB83" t="s">
        <v>1319</v>
      </c>
      <c r="MC83" t="s">
        <v>746</v>
      </c>
      <c r="MD83" t="s">
        <v>1319</v>
      </c>
      <c r="ME83" t="s">
        <v>733</v>
      </c>
      <c r="MF83" t="s">
        <v>3165</v>
      </c>
      <c r="MG83" t="s">
        <v>733</v>
      </c>
      <c r="MH83" t="s">
        <v>2216</v>
      </c>
      <c r="MI83" t="s">
        <v>746</v>
      </c>
      <c r="MJ83" t="s">
        <v>1771</v>
      </c>
      <c r="MK83" t="s">
        <v>746</v>
      </c>
      <c r="ML83" t="s">
        <v>3166</v>
      </c>
      <c r="MM83" t="s">
        <v>70</v>
      </c>
      <c r="MO83" t="s">
        <v>783</v>
      </c>
      <c r="MP83" t="s">
        <v>784</v>
      </c>
      <c r="MQ83" t="s">
        <v>783</v>
      </c>
      <c r="MR83" t="s">
        <v>783</v>
      </c>
      <c r="MS83" t="s">
        <v>783</v>
      </c>
      <c r="MT83" t="s">
        <v>783</v>
      </c>
      <c r="MU83" t="s">
        <v>783</v>
      </c>
      <c r="MV83" t="s">
        <v>783</v>
      </c>
      <c r="MW83" t="s">
        <v>783</v>
      </c>
      <c r="MX83" t="s">
        <v>783</v>
      </c>
      <c r="MZ83" t="s">
        <v>783</v>
      </c>
      <c r="NA83" t="s">
        <v>783</v>
      </c>
      <c r="NB83" t="s">
        <v>783</v>
      </c>
      <c r="NC83" t="s">
        <v>783</v>
      </c>
      <c r="ND83" t="s">
        <v>784</v>
      </c>
      <c r="NE83" t="s">
        <v>783</v>
      </c>
      <c r="NF83" t="s">
        <v>784</v>
      </c>
      <c r="NG83" t="s">
        <v>783</v>
      </c>
      <c r="NH83" t="s">
        <v>783</v>
      </c>
      <c r="NI83" t="s">
        <v>783</v>
      </c>
      <c r="NJ83" t="s">
        <v>783</v>
      </c>
      <c r="NK83" t="s">
        <v>783</v>
      </c>
      <c r="NL83" t="s">
        <v>783</v>
      </c>
      <c r="NM83" t="s">
        <v>784</v>
      </c>
      <c r="NN83" t="s">
        <v>783</v>
      </c>
      <c r="NO83" t="s">
        <v>783</v>
      </c>
      <c r="NP83" t="s">
        <v>783</v>
      </c>
      <c r="NQ83" t="s">
        <v>783</v>
      </c>
      <c r="NR83" t="s">
        <v>783</v>
      </c>
      <c r="NS83" t="s">
        <v>784</v>
      </c>
      <c r="NT83" t="s">
        <v>784</v>
      </c>
      <c r="NU83" t="s">
        <v>783</v>
      </c>
      <c r="NV83" t="s">
        <v>784</v>
      </c>
      <c r="NW83" t="s">
        <v>783</v>
      </c>
      <c r="NX83" t="s">
        <v>783</v>
      </c>
      <c r="NY83" t="s">
        <v>783</v>
      </c>
      <c r="NZ83" t="s">
        <v>783</v>
      </c>
      <c r="OA83" t="s">
        <v>783</v>
      </c>
      <c r="OB83" t="s">
        <v>784</v>
      </c>
      <c r="OC83" t="s">
        <v>784</v>
      </c>
      <c r="OD83" t="s">
        <v>783</v>
      </c>
      <c r="OE83" t="s">
        <v>784</v>
      </c>
      <c r="OF83" t="s">
        <v>783</v>
      </c>
      <c r="OG83" t="s">
        <v>783</v>
      </c>
      <c r="OH83" t="s">
        <v>783</v>
      </c>
      <c r="OI83" t="s">
        <v>783</v>
      </c>
      <c r="OJ83" t="s">
        <v>783</v>
      </c>
    </row>
    <row r="84" spans="1:400" x14ac:dyDescent="0.25">
      <c r="A84">
        <v>78</v>
      </c>
      <c r="B84" t="s">
        <v>386</v>
      </c>
      <c r="C84" t="s">
        <v>387</v>
      </c>
      <c r="D84" t="s">
        <v>57</v>
      </c>
      <c r="E84">
        <v>28</v>
      </c>
      <c r="F84" t="s">
        <v>87</v>
      </c>
      <c r="G84" t="s">
        <v>76</v>
      </c>
      <c r="H84" t="s">
        <v>388</v>
      </c>
      <c r="I84" t="s">
        <v>113</v>
      </c>
      <c r="J84" t="s">
        <v>62</v>
      </c>
      <c r="K84" t="s">
        <v>63</v>
      </c>
      <c r="M84" t="s">
        <v>146</v>
      </c>
      <c r="N84" t="s">
        <v>70</v>
      </c>
      <c r="O84">
        <v>3</v>
      </c>
      <c r="P84" s="1">
        <v>30000</v>
      </c>
      <c r="Q84" s="1">
        <v>0</v>
      </c>
      <c r="R84" t="s">
        <v>376</v>
      </c>
      <c r="S84" s="7">
        <v>30000</v>
      </c>
      <c r="T84" t="s">
        <v>70</v>
      </c>
      <c r="U84" s="5">
        <v>0</v>
      </c>
      <c r="V84" s="3" t="s">
        <v>70</v>
      </c>
      <c r="W84" s="5">
        <v>0</v>
      </c>
      <c r="X84" t="s">
        <v>73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 t="s">
        <v>63</v>
      </c>
      <c r="AR84">
        <v>1</v>
      </c>
      <c r="AS84" s="2">
        <v>0.75</v>
      </c>
      <c r="AT84" t="s">
        <v>509</v>
      </c>
      <c r="AU84">
        <v>0</v>
      </c>
      <c r="AV84">
        <v>1</v>
      </c>
      <c r="AW84">
        <v>0</v>
      </c>
      <c r="AX84">
        <v>0</v>
      </c>
      <c r="AY84">
        <v>0</v>
      </c>
      <c r="AZ84" t="s">
        <v>552</v>
      </c>
      <c r="BA84" t="s">
        <v>511</v>
      </c>
      <c r="BB84" t="s">
        <v>521</v>
      </c>
      <c r="BC84" t="s">
        <v>521</v>
      </c>
      <c r="BD84" t="s">
        <v>521</v>
      </c>
      <c r="BE84">
        <v>2022</v>
      </c>
      <c r="BF84">
        <v>1</v>
      </c>
      <c r="BG84" t="s">
        <v>508</v>
      </c>
      <c r="BH84">
        <v>1</v>
      </c>
      <c r="BI84">
        <v>0</v>
      </c>
      <c r="BJ84">
        <v>0</v>
      </c>
      <c r="BK84">
        <v>0</v>
      </c>
      <c r="BL84">
        <v>0</v>
      </c>
      <c r="BM84" t="s">
        <v>63</v>
      </c>
      <c r="BN84" t="s">
        <v>84</v>
      </c>
      <c r="CM84" t="s">
        <v>785</v>
      </c>
      <c r="CN84" t="s">
        <v>84</v>
      </c>
      <c r="CO84" t="s">
        <v>84</v>
      </c>
      <c r="CZ84" s="26"/>
      <c r="DA84" s="27"/>
      <c r="DB84" t="s">
        <v>976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J84" t="s">
        <v>84</v>
      </c>
      <c r="DK84" s="35"/>
      <c r="DL84" s="37"/>
      <c r="FI84" t="s">
        <v>746</v>
      </c>
      <c r="FJ84" t="s">
        <v>3145</v>
      </c>
      <c r="FK84" t="s">
        <v>733</v>
      </c>
      <c r="FL84" t="s">
        <v>3167</v>
      </c>
      <c r="FM84" t="s">
        <v>733</v>
      </c>
      <c r="FN84" t="s">
        <v>3168</v>
      </c>
      <c r="FO84" t="s">
        <v>733</v>
      </c>
      <c r="FP84" t="s">
        <v>3169</v>
      </c>
      <c r="FQ84" t="s">
        <v>733</v>
      </c>
      <c r="FR84" t="s">
        <v>3170</v>
      </c>
      <c r="FS84" t="s">
        <v>733</v>
      </c>
      <c r="FT84" t="s">
        <v>3171</v>
      </c>
      <c r="FU84" t="s">
        <v>733</v>
      </c>
      <c r="FV84" t="s">
        <v>3172</v>
      </c>
      <c r="FW84" t="s">
        <v>733</v>
      </c>
      <c r="FX84" t="s">
        <v>3148</v>
      </c>
      <c r="FY84" t="s">
        <v>733</v>
      </c>
      <c r="FZ84" t="s">
        <v>3079</v>
      </c>
      <c r="GA84" t="s">
        <v>733</v>
      </c>
      <c r="GB84" t="s">
        <v>3173</v>
      </c>
      <c r="GC84" t="s">
        <v>733</v>
      </c>
      <c r="GD84" t="s">
        <v>3174</v>
      </c>
      <c r="GE84" t="s">
        <v>733</v>
      </c>
      <c r="GF84" t="s">
        <v>3175</v>
      </c>
      <c r="GG84" t="s">
        <v>746</v>
      </c>
      <c r="GH84" t="s">
        <v>3176</v>
      </c>
      <c r="GI84" t="s">
        <v>746</v>
      </c>
      <c r="GJ84" t="s">
        <v>3177</v>
      </c>
      <c r="GK84" t="s">
        <v>733</v>
      </c>
      <c r="GL84" t="s">
        <v>3079</v>
      </c>
      <c r="GM84" t="s">
        <v>733</v>
      </c>
      <c r="GN84" t="s">
        <v>2216</v>
      </c>
      <c r="GO84" t="s">
        <v>733</v>
      </c>
      <c r="GP84" t="s">
        <v>3178</v>
      </c>
      <c r="GQ84" t="s">
        <v>733</v>
      </c>
      <c r="GR84" t="s">
        <v>3179</v>
      </c>
      <c r="GS84" t="s">
        <v>733</v>
      </c>
      <c r="GT84" t="s">
        <v>3180</v>
      </c>
      <c r="GU84" t="s">
        <v>733</v>
      </c>
      <c r="GV84" t="s">
        <v>3181</v>
      </c>
      <c r="GW84" t="s">
        <v>733</v>
      </c>
      <c r="GX84" t="s">
        <v>3182</v>
      </c>
      <c r="GY84" t="s">
        <v>733</v>
      </c>
      <c r="GZ84" t="s">
        <v>2216</v>
      </c>
      <c r="HA84" t="s">
        <v>733</v>
      </c>
      <c r="HB84" t="s">
        <v>3182</v>
      </c>
      <c r="HC84" t="s">
        <v>733</v>
      </c>
      <c r="HD84" t="s">
        <v>3183</v>
      </c>
      <c r="HE84" t="s">
        <v>733</v>
      </c>
      <c r="HF84" t="s">
        <v>3184</v>
      </c>
      <c r="HG84" t="s">
        <v>733</v>
      </c>
      <c r="HH84" t="s">
        <v>1316</v>
      </c>
      <c r="HI84" t="s">
        <v>733</v>
      </c>
      <c r="HJ84" t="s">
        <v>1316</v>
      </c>
      <c r="HK84" t="s">
        <v>746</v>
      </c>
      <c r="HL84" t="s">
        <v>1408</v>
      </c>
      <c r="HM84" t="s">
        <v>746</v>
      </c>
      <c r="HN84" t="s">
        <v>1319</v>
      </c>
      <c r="HO84" t="s">
        <v>746</v>
      </c>
      <c r="HP84" t="s">
        <v>3185</v>
      </c>
      <c r="HQ84" t="s">
        <v>746</v>
      </c>
      <c r="HR84" t="s">
        <v>1319</v>
      </c>
      <c r="HS84" t="s">
        <v>733</v>
      </c>
      <c r="HT84" t="s">
        <v>3186</v>
      </c>
      <c r="HU84" t="s">
        <v>733</v>
      </c>
      <c r="HV84" t="s">
        <v>1316</v>
      </c>
      <c r="HW84" t="s">
        <v>733</v>
      </c>
      <c r="HX84" t="s">
        <v>3088</v>
      </c>
      <c r="HY84" t="s">
        <v>733</v>
      </c>
      <c r="HZ84" t="s">
        <v>3187</v>
      </c>
      <c r="IA84" t="s">
        <v>733</v>
      </c>
      <c r="IB84" t="s">
        <v>3188</v>
      </c>
      <c r="IC84" t="s">
        <v>733</v>
      </c>
      <c r="ID84" t="s">
        <v>1316</v>
      </c>
      <c r="IE84" t="s">
        <v>733</v>
      </c>
      <c r="IF84" t="s">
        <v>3189</v>
      </c>
      <c r="IG84" t="s">
        <v>733</v>
      </c>
      <c r="IH84" t="s">
        <v>3190</v>
      </c>
      <c r="II84" t="s">
        <v>733</v>
      </c>
      <c r="IJ84" t="s">
        <v>3182</v>
      </c>
      <c r="IK84" t="s">
        <v>733</v>
      </c>
      <c r="IL84" t="s">
        <v>3191</v>
      </c>
      <c r="IM84" t="s">
        <v>746</v>
      </c>
      <c r="IN84" t="s">
        <v>3192</v>
      </c>
      <c r="IO84" t="s">
        <v>746</v>
      </c>
      <c r="IP84" t="s">
        <v>1375</v>
      </c>
      <c r="IQ84" t="s">
        <v>746</v>
      </c>
      <c r="IR84" t="s">
        <v>3193</v>
      </c>
      <c r="IS84" t="s">
        <v>746</v>
      </c>
      <c r="IT84" t="s">
        <v>3194</v>
      </c>
      <c r="IU84" t="s">
        <v>746</v>
      </c>
      <c r="IV84" t="s">
        <v>3195</v>
      </c>
      <c r="IW84" t="s">
        <v>746</v>
      </c>
      <c r="IX84" t="s">
        <v>1375</v>
      </c>
      <c r="IY84" t="s">
        <v>746</v>
      </c>
      <c r="IZ84" t="s">
        <v>1391</v>
      </c>
      <c r="JA84" t="s">
        <v>746</v>
      </c>
      <c r="JB84" t="s">
        <v>3196</v>
      </c>
      <c r="JC84" t="s">
        <v>746</v>
      </c>
      <c r="JD84" t="s">
        <v>1391</v>
      </c>
      <c r="JE84" t="s">
        <v>746</v>
      </c>
      <c r="JF84" t="s">
        <v>1319</v>
      </c>
      <c r="JG84" t="s">
        <v>746</v>
      </c>
      <c r="JH84" t="s">
        <v>1375</v>
      </c>
      <c r="JI84" t="s">
        <v>746</v>
      </c>
      <c r="JJ84" t="s">
        <v>1868</v>
      </c>
      <c r="JK84" t="s">
        <v>746</v>
      </c>
      <c r="JL84" t="s">
        <v>1375</v>
      </c>
      <c r="JM84" t="s">
        <v>746</v>
      </c>
      <c r="JN84" t="s">
        <v>1319</v>
      </c>
      <c r="JO84" t="s">
        <v>746</v>
      </c>
      <c r="JP84" t="s">
        <v>1375</v>
      </c>
      <c r="JQ84" t="s">
        <v>746</v>
      </c>
      <c r="JR84" t="s">
        <v>1319</v>
      </c>
      <c r="JS84" t="s">
        <v>746</v>
      </c>
      <c r="JT84" t="s">
        <v>1391</v>
      </c>
      <c r="JU84" t="s">
        <v>746</v>
      </c>
      <c r="JV84" t="s">
        <v>1375</v>
      </c>
      <c r="JW84" t="s">
        <v>746</v>
      </c>
      <c r="JX84" t="s">
        <v>1375</v>
      </c>
      <c r="JY84" t="s">
        <v>746</v>
      </c>
      <c r="JZ84" t="s">
        <v>3197</v>
      </c>
      <c r="KA84" t="s">
        <v>746</v>
      </c>
      <c r="KB84" t="s">
        <v>1375</v>
      </c>
      <c r="KC84" t="s">
        <v>746</v>
      </c>
      <c r="KD84" t="s">
        <v>1375</v>
      </c>
      <c r="KE84" t="s">
        <v>746</v>
      </c>
      <c r="KF84" t="s">
        <v>3198</v>
      </c>
      <c r="KG84" t="s">
        <v>746</v>
      </c>
      <c r="KH84" t="s">
        <v>1806</v>
      </c>
      <c r="KI84" t="s">
        <v>746</v>
      </c>
      <c r="KJ84" t="s">
        <v>1375</v>
      </c>
      <c r="KK84" t="s">
        <v>746</v>
      </c>
      <c r="KL84" t="s">
        <v>1868</v>
      </c>
      <c r="KM84" t="s">
        <v>746</v>
      </c>
      <c r="KN84" t="s">
        <v>3199</v>
      </c>
      <c r="KO84" t="s">
        <v>746</v>
      </c>
      <c r="KP84" t="s">
        <v>1868</v>
      </c>
      <c r="KQ84" t="s">
        <v>746</v>
      </c>
      <c r="KR84" t="s">
        <v>1868</v>
      </c>
      <c r="KS84" t="s">
        <v>746</v>
      </c>
      <c r="KT84" t="s">
        <v>1868</v>
      </c>
      <c r="KU84" t="s">
        <v>746</v>
      </c>
      <c r="KV84" t="s">
        <v>3200</v>
      </c>
      <c r="KW84" t="s">
        <v>746</v>
      </c>
      <c r="KX84" t="s">
        <v>3201</v>
      </c>
      <c r="KY84" t="s">
        <v>746</v>
      </c>
      <c r="KZ84" t="s">
        <v>1375</v>
      </c>
      <c r="LA84" t="s">
        <v>746</v>
      </c>
      <c r="LB84" t="s">
        <v>1806</v>
      </c>
      <c r="LC84" t="s">
        <v>746</v>
      </c>
      <c r="LD84" t="s">
        <v>1771</v>
      </c>
      <c r="LE84" t="s">
        <v>746</v>
      </c>
      <c r="LF84" t="s">
        <v>1771</v>
      </c>
      <c r="LG84" t="s">
        <v>746</v>
      </c>
      <c r="LH84" t="s">
        <v>3202</v>
      </c>
      <c r="LI84" t="s">
        <v>746</v>
      </c>
      <c r="LJ84" t="s">
        <v>1868</v>
      </c>
      <c r="LK84" t="s">
        <v>746</v>
      </c>
      <c r="LL84" t="s">
        <v>3176</v>
      </c>
      <c r="LM84" t="s">
        <v>746</v>
      </c>
      <c r="LN84" t="s">
        <v>3203</v>
      </c>
      <c r="LO84" t="s">
        <v>746</v>
      </c>
      <c r="LP84" t="s">
        <v>3176</v>
      </c>
      <c r="LQ84" t="s">
        <v>746</v>
      </c>
      <c r="LR84" t="s">
        <v>1771</v>
      </c>
      <c r="LS84" t="s">
        <v>746</v>
      </c>
      <c r="LT84" t="s">
        <v>3185</v>
      </c>
      <c r="LU84" t="s">
        <v>746</v>
      </c>
      <c r="LV84" t="s">
        <v>3204</v>
      </c>
      <c r="LW84" t="s">
        <v>746</v>
      </c>
      <c r="LX84" t="s">
        <v>1319</v>
      </c>
      <c r="LY84" t="s">
        <v>746</v>
      </c>
      <c r="LZ84" t="s">
        <v>3205</v>
      </c>
      <c r="MA84" t="s">
        <v>746</v>
      </c>
      <c r="MB84" t="s">
        <v>1319</v>
      </c>
      <c r="MC84" t="s">
        <v>746</v>
      </c>
      <c r="MD84" t="s">
        <v>1319</v>
      </c>
      <c r="ME84" t="s">
        <v>733</v>
      </c>
      <c r="MF84" t="s">
        <v>3182</v>
      </c>
      <c r="MG84" t="s">
        <v>746</v>
      </c>
      <c r="MH84" t="s">
        <v>3206</v>
      </c>
      <c r="MI84" t="s">
        <v>746</v>
      </c>
      <c r="MJ84" t="s">
        <v>3207</v>
      </c>
      <c r="MK84" t="s">
        <v>746</v>
      </c>
      <c r="ML84" t="s">
        <v>3208</v>
      </c>
      <c r="MM84" t="s">
        <v>70</v>
      </c>
      <c r="MO84" t="s">
        <v>783</v>
      </c>
      <c r="MP84" t="s">
        <v>784</v>
      </c>
      <c r="MQ84" t="s">
        <v>783</v>
      </c>
      <c r="MR84" t="s">
        <v>783</v>
      </c>
      <c r="MS84" t="s">
        <v>783</v>
      </c>
      <c r="MT84" t="s">
        <v>783</v>
      </c>
      <c r="MU84" t="s">
        <v>783</v>
      </c>
      <c r="MV84" t="s">
        <v>783</v>
      </c>
      <c r="MW84" t="s">
        <v>783</v>
      </c>
      <c r="MX84" t="s">
        <v>783</v>
      </c>
      <c r="MZ84" t="s">
        <v>783</v>
      </c>
      <c r="NA84" t="s">
        <v>783</v>
      </c>
      <c r="NB84" t="s">
        <v>783</v>
      </c>
      <c r="NC84" t="s">
        <v>784</v>
      </c>
      <c r="ND84" t="s">
        <v>784</v>
      </c>
      <c r="NE84" t="s">
        <v>783</v>
      </c>
      <c r="NF84" t="s">
        <v>783</v>
      </c>
      <c r="NG84" t="s">
        <v>784</v>
      </c>
      <c r="NH84" t="s">
        <v>783</v>
      </c>
      <c r="NI84" t="s">
        <v>783</v>
      </c>
      <c r="NJ84" t="s">
        <v>783</v>
      </c>
      <c r="NK84" t="s">
        <v>783</v>
      </c>
      <c r="NL84" t="s">
        <v>783</v>
      </c>
      <c r="NM84" t="s">
        <v>784</v>
      </c>
      <c r="NN84" t="s">
        <v>784</v>
      </c>
      <c r="NO84" t="s">
        <v>784</v>
      </c>
      <c r="NP84" t="s">
        <v>784</v>
      </c>
      <c r="NQ84" t="s">
        <v>783</v>
      </c>
      <c r="NR84" t="s">
        <v>783</v>
      </c>
      <c r="NS84" t="s">
        <v>784</v>
      </c>
      <c r="NT84" t="s">
        <v>784</v>
      </c>
      <c r="NU84" t="s">
        <v>783</v>
      </c>
      <c r="NV84" t="s">
        <v>784</v>
      </c>
      <c r="NW84" t="s">
        <v>784</v>
      </c>
      <c r="NX84" t="s">
        <v>783</v>
      </c>
      <c r="NY84" t="s">
        <v>784</v>
      </c>
      <c r="NZ84" t="s">
        <v>783</v>
      </c>
      <c r="OA84" t="s">
        <v>783</v>
      </c>
      <c r="OB84" t="s">
        <v>783</v>
      </c>
      <c r="OC84" t="s">
        <v>784</v>
      </c>
      <c r="OD84" t="s">
        <v>783</v>
      </c>
      <c r="OE84" t="s">
        <v>783</v>
      </c>
      <c r="OF84" t="s">
        <v>783</v>
      </c>
      <c r="OG84" t="s">
        <v>784</v>
      </c>
      <c r="OH84" t="s">
        <v>783</v>
      </c>
      <c r="OI84" t="s">
        <v>783</v>
      </c>
      <c r="OJ84" t="s">
        <v>784</v>
      </c>
    </row>
    <row r="85" spans="1:400" x14ac:dyDescent="0.25">
      <c r="A85">
        <v>79</v>
      </c>
      <c r="B85" t="s">
        <v>389</v>
      </c>
      <c r="C85" t="s">
        <v>390</v>
      </c>
      <c r="D85" t="s">
        <v>57</v>
      </c>
      <c r="E85">
        <v>50</v>
      </c>
      <c r="F85" t="s">
        <v>58</v>
      </c>
      <c r="G85" t="s">
        <v>59</v>
      </c>
      <c r="H85" t="s">
        <v>60</v>
      </c>
      <c r="I85" t="s">
        <v>113</v>
      </c>
      <c r="J85" t="s">
        <v>62</v>
      </c>
      <c r="K85" t="s">
        <v>63</v>
      </c>
      <c r="M85" t="s">
        <v>146</v>
      </c>
      <c r="N85" t="s">
        <v>70</v>
      </c>
      <c r="O85">
        <v>3</v>
      </c>
      <c r="P85" s="1">
        <v>70000</v>
      </c>
      <c r="Q85" s="1">
        <v>0</v>
      </c>
      <c r="R85" t="s">
        <v>376</v>
      </c>
      <c r="S85" s="7">
        <v>50000</v>
      </c>
      <c r="T85" t="s">
        <v>70</v>
      </c>
      <c r="U85" s="5">
        <v>0</v>
      </c>
      <c r="V85" s="3" t="s">
        <v>70</v>
      </c>
      <c r="W85" s="5">
        <v>0</v>
      </c>
      <c r="X85" t="s">
        <v>94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P85" t="s">
        <v>63</v>
      </c>
      <c r="AR85">
        <v>1</v>
      </c>
      <c r="AS85" s="2">
        <v>0.75</v>
      </c>
      <c r="AT85" t="s">
        <v>503</v>
      </c>
      <c r="AU85">
        <v>0</v>
      </c>
      <c r="AV85">
        <v>0</v>
      </c>
      <c r="AW85">
        <v>0</v>
      </c>
      <c r="AX85">
        <v>1</v>
      </c>
      <c r="AY85">
        <v>0</v>
      </c>
      <c r="AZ85" t="s">
        <v>534</v>
      </c>
      <c r="BA85" t="s">
        <v>511</v>
      </c>
      <c r="BC85" t="s">
        <v>515</v>
      </c>
      <c r="BD85" t="s">
        <v>507</v>
      </c>
      <c r="BE85">
        <v>1998</v>
      </c>
      <c r="BF85">
        <v>25</v>
      </c>
      <c r="BG85" t="s">
        <v>508</v>
      </c>
      <c r="BH85">
        <v>1</v>
      </c>
      <c r="BI85">
        <v>0</v>
      </c>
      <c r="BJ85">
        <v>0</v>
      </c>
      <c r="BK85">
        <v>0</v>
      </c>
      <c r="BL85">
        <v>0</v>
      </c>
      <c r="BM85" t="s">
        <v>63</v>
      </c>
      <c r="BN85" t="s">
        <v>63</v>
      </c>
      <c r="BO85" t="s">
        <v>3835</v>
      </c>
      <c r="BP85" t="s">
        <v>3845</v>
      </c>
      <c r="BR85" t="s">
        <v>3915</v>
      </c>
      <c r="BS85" t="s">
        <v>3838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CA85" t="s">
        <v>3839</v>
      </c>
      <c r="CC85" t="s">
        <v>3840</v>
      </c>
      <c r="CD85" t="s">
        <v>70</v>
      </c>
      <c r="CE85" t="s">
        <v>3867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N85" t="s">
        <v>63</v>
      </c>
      <c r="CO85" t="s">
        <v>732</v>
      </c>
      <c r="CP85" t="s">
        <v>4005</v>
      </c>
      <c r="CQ85" t="s">
        <v>3959</v>
      </c>
      <c r="CR85">
        <v>0</v>
      </c>
      <c r="CS85">
        <v>0</v>
      </c>
      <c r="CT85">
        <v>1</v>
      </c>
      <c r="CU85">
        <v>0</v>
      </c>
      <c r="CV85">
        <v>0</v>
      </c>
      <c r="CW85">
        <v>0</v>
      </c>
      <c r="CY85" t="s">
        <v>3866</v>
      </c>
      <c r="CZ85" s="26" t="s">
        <v>4210</v>
      </c>
      <c r="DA85" s="27" t="s">
        <v>4192</v>
      </c>
      <c r="DJ85" t="s">
        <v>84</v>
      </c>
      <c r="DK85" s="35"/>
      <c r="DL85" s="37"/>
      <c r="FI85" t="s">
        <v>733</v>
      </c>
      <c r="FJ85" t="s">
        <v>3209</v>
      </c>
      <c r="FK85" t="s">
        <v>736</v>
      </c>
      <c r="FL85" t="s">
        <v>3210</v>
      </c>
      <c r="FM85" t="s">
        <v>736</v>
      </c>
      <c r="FN85" t="s">
        <v>1411</v>
      </c>
      <c r="FO85" t="s">
        <v>736</v>
      </c>
      <c r="FP85" t="s">
        <v>3211</v>
      </c>
      <c r="FQ85" t="s">
        <v>736</v>
      </c>
      <c r="FR85" t="s">
        <v>1358</v>
      </c>
      <c r="FS85" t="s">
        <v>736</v>
      </c>
      <c r="FT85" t="s">
        <v>1358</v>
      </c>
      <c r="FU85" t="s">
        <v>733</v>
      </c>
      <c r="FV85" t="s">
        <v>3212</v>
      </c>
      <c r="FW85" t="s">
        <v>733</v>
      </c>
      <c r="FX85" t="s">
        <v>1790</v>
      </c>
      <c r="FY85" t="s">
        <v>743</v>
      </c>
      <c r="FZ85" t="s">
        <v>3213</v>
      </c>
      <c r="GA85" t="s">
        <v>733</v>
      </c>
      <c r="GB85" t="s">
        <v>3214</v>
      </c>
      <c r="GC85" t="s">
        <v>736</v>
      </c>
      <c r="GD85" t="s">
        <v>3215</v>
      </c>
      <c r="GE85" t="s">
        <v>733</v>
      </c>
      <c r="GF85" t="s">
        <v>3216</v>
      </c>
      <c r="GG85" t="s">
        <v>746</v>
      </c>
      <c r="GH85" t="s">
        <v>3217</v>
      </c>
      <c r="GI85" t="s">
        <v>733</v>
      </c>
      <c r="GJ85" t="s">
        <v>3218</v>
      </c>
      <c r="GK85" t="s">
        <v>733</v>
      </c>
      <c r="GL85" t="s">
        <v>3079</v>
      </c>
      <c r="GM85" t="s">
        <v>733</v>
      </c>
      <c r="GN85" t="s">
        <v>3219</v>
      </c>
      <c r="GO85" t="s">
        <v>733</v>
      </c>
      <c r="GP85" t="s">
        <v>3178</v>
      </c>
      <c r="GQ85" t="s">
        <v>733</v>
      </c>
      <c r="GR85" t="s">
        <v>3107</v>
      </c>
      <c r="GS85" t="s">
        <v>733</v>
      </c>
      <c r="GT85" t="s">
        <v>3220</v>
      </c>
      <c r="GU85" t="s">
        <v>733</v>
      </c>
      <c r="GV85" t="s">
        <v>3221</v>
      </c>
      <c r="GW85" t="s">
        <v>736</v>
      </c>
      <c r="GX85" t="s">
        <v>1358</v>
      </c>
      <c r="GY85" t="s">
        <v>736</v>
      </c>
      <c r="GZ85" t="s">
        <v>3222</v>
      </c>
      <c r="HA85" t="s">
        <v>736</v>
      </c>
      <c r="HB85" t="s">
        <v>1358</v>
      </c>
      <c r="HC85" t="s">
        <v>736</v>
      </c>
      <c r="HD85" t="s">
        <v>1797</v>
      </c>
      <c r="HE85" t="s">
        <v>798</v>
      </c>
      <c r="HF85" t="s">
        <v>1358</v>
      </c>
      <c r="HG85" t="s">
        <v>736</v>
      </c>
      <c r="HH85" t="s">
        <v>1797</v>
      </c>
      <c r="HI85" t="s">
        <v>736</v>
      </c>
      <c r="HJ85" t="s">
        <v>1797</v>
      </c>
      <c r="HK85" t="s">
        <v>746</v>
      </c>
      <c r="HL85" t="s">
        <v>1797</v>
      </c>
      <c r="HM85" t="s">
        <v>736</v>
      </c>
      <c r="HN85" t="s">
        <v>1764</v>
      </c>
      <c r="HO85" t="s">
        <v>746</v>
      </c>
      <c r="HP85" t="s">
        <v>1408</v>
      </c>
      <c r="HQ85" t="s">
        <v>746</v>
      </c>
      <c r="HR85" t="s">
        <v>3223</v>
      </c>
      <c r="HS85" t="s">
        <v>736</v>
      </c>
      <c r="HT85" t="s">
        <v>1764</v>
      </c>
      <c r="HU85" t="s">
        <v>736</v>
      </c>
      <c r="HV85" t="s">
        <v>1797</v>
      </c>
      <c r="HW85" t="s">
        <v>733</v>
      </c>
      <c r="HX85" t="s">
        <v>3224</v>
      </c>
      <c r="HY85" t="s">
        <v>733</v>
      </c>
      <c r="HZ85" t="s">
        <v>3225</v>
      </c>
      <c r="IA85" t="s">
        <v>736</v>
      </c>
      <c r="IB85" t="s">
        <v>1358</v>
      </c>
      <c r="IC85" t="s">
        <v>733</v>
      </c>
      <c r="ID85" t="s">
        <v>3226</v>
      </c>
      <c r="IE85" t="s">
        <v>746</v>
      </c>
      <c r="IF85" t="s">
        <v>3227</v>
      </c>
      <c r="IG85" t="s">
        <v>746</v>
      </c>
      <c r="IH85" t="s">
        <v>1319</v>
      </c>
      <c r="II85" t="s">
        <v>736</v>
      </c>
      <c r="IJ85" t="s">
        <v>1764</v>
      </c>
      <c r="IK85" t="s">
        <v>733</v>
      </c>
      <c r="IL85" t="s">
        <v>3228</v>
      </c>
      <c r="IM85" t="s">
        <v>746</v>
      </c>
      <c r="IN85" t="s">
        <v>3229</v>
      </c>
      <c r="IO85" t="s">
        <v>746</v>
      </c>
      <c r="IP85" t="s">
        <v>1827</v>
      </c>
      <c r="IQ85" t="s">
        <v>746</v>
      </c>
      <c r="IR85" t="s">
        <v>3230</v>
      </c>
      <c r="IS85" t="s">
        <v>746</v>
      </c>
      <c r="IT85" t="s">
        <v>3231</v>
      </c>
      <c r="IU85" t="s">
        <v>746</v>
      </c>
      <c r="IV85" t="s">
        <v>3232</v>
      </c>
      <c r="IW85" t="s">
        <v>746</v>
      </c>
      <c r="IX85" t="s">
        <v>3233</v>
      </c>
      <c r="IY85" t="s">
        <v>746</v>
      </c>
      <c r="IZ85" t="s">
        <v>3234</v>
      </c>
      <c r="JA85" t="s">
        <v>746</v>
      </c>
      <c r="JB85" t="s">
        <v>3235</v>
      </c>
      <c r="JC85" t="s">
        <v>746</v>
      </c>
      <c r="JD85" t="s">
        <v>3236</v>
      </c>
      <c r="JE85" t="s">
        <v>746</v>
      </c>
      <c r="JF85" t="s">
        <v>3237</v>
      </c>
      <c r="JG85" t="s">
        <v>746</v>
      </c>
      <c r="JH85" t="s">
        <v>3238</v>
      </c>
      <c r="JI85" t="s">
        <v>746</v>
      </c>
      <c r="JJ85" t="s">
        <v>3239</v>
      </c>
      <c r="JK85" t="s">
        <v>746</v>
      </c>
      <c r="JL85" t="s">
        <v>3237</v>
      </c>
      <c r="JM85" t="s">
        <v>746</v>
      </c>
      <c r="JN85" t="s">
        <v>3239</v>
      </c>
      <c r="JO85" t="s">
        <v>746</v>
      </c>
      <c r="JP85" t="s">
        <v>3240</v>
      </c>
      <c r="JQ85" t="s">
        <v>746</v>
      </c>
      <c r="JR85" t="s">
        <v>3232</v>
      </c>
      <c r="JS85" t="s">
        <v>746</v>
      </c>
      <c r="JT85" t="s">
        <v>3241</v>
      </c>
      <c r="JU85" t="s">
        <v>746</v>
      </c>
      <c r="JV85" t="s">
        <v>1842</v>
      </c>
      <c r="JW85" t="s">
        <v>746</v>
      </c>
      <c r="JX85" t="s">
        <v>3242</v>
      </c>
      <c r="JY85" t="s">
        <v>746</v>
      </c>
      <c r="JZ85" t="s">
        <v>3240</v>
      </c>
      <c r="KA85" t="s">
        <v>746</v>
      </c>
      <c r="KB85" t="s">
        <v>3243</v>
      </c>
      <c r="KC85" t="s">
        <v>746</v>
      </c>
      <c r="KD85" t="s">
        <v>3244</v>
      </c>
      <c r="KE85" t="s">
        <v>746</v>
      </c>
      <c r="KF85" t="s">
        <v>3245</v>
      </c>
      <c r="KG85" t="s">
        <v>746</v>
      </c>
      <c r="KH85" t="s">
        <v>3246</v>
      </c>
      <c r="KI85" t="s">
        <v>746</v>
      </c>
      <c r="KJ85" t="s">
        <v>3247</v>
      </c>
      <c r="KK85" t="s">
        <v>746</v>
      </c>
      <c r="KL85" t="s">
        <v>3248</v>
      </c>
      <c r="KM85" t="s">
        <v>746</v>
      </c>
      <c r="KN85" t="s">
        <v>3249</v>
      </c>
      <c r="KO85" t="s">
        <v>746</v>
      </c>
      <c r="KP85" t="s">
        <v>3250</v>
      </c>
      <c r="KQ85" t="s">
        <v>746</v>
      </c>
      <c r="KR85" t="s">
        <v>3251</v>
      </c>
      <c r="KS85" t="s">
        <v>746</v>
      </c>
      <c r="KT85" t="s">
        <v>3252</v>
      </c>
      <c r="KU85" t="s">
        <v>746</v>
      </c>
      <c r="KV85" t="s">
        <v>3253</v>
      </c>
      <c r="KW85" t="s">
        <v>746</v>
      </c>
      <c r="KX85" t="s">
        <v>3254</v>
      </c>
      <c r="KY85" t="s">
        <v>746</v>
      </c>
      <c r="KZ85" t="s">
        <v>3255</v>
      </c>
      <c r="LA85" t="s">
        <v>746</v>
      </c>
      <c r="LB85" t="s">
        <v>3256</v>
      </c>
      <c r="LC85" t="s">
        <v>746</v>
      </c>
      <c r="LD85" t="s">
        <v>1849</v>
      </c>
      <c r="LE85" t="s">
        <v>746</v>
      </c>
      <c r="LF85" t="s">
        <v>3257</v>
      </c>
      <c r="LG85" t="s">
        <v>746</v>
      </c>
      <c r="LH85" t="s">
        <v>3258</v>
      </c>
      <c r="LI85" t="s">
        <v>746</v>
      </c>
      <c r="LJ85" t="s">
        <v>1833</v>
      </c>
      <c r="LK85" t="s">
        <v>746</v>
      </c>
      <c r="LL85" t="s">
        <v>3229</v>
      </c>
      <c r="LM85" t="s">
        <v>746</v>
      </c>
      <c r="LN85" t="s">
        <v>3259</v>
      </c>
      <c r="LO85" t="s">
        <v>746</v>
      </c>
      <c r="LP85" t="s">
        <v>3229</v>
      </c>
      <c r="LQ85" t="s">
        <v>746</v>
      </c>
      <c r="LR85" t="s">
        <v>1833</v>
      </c>
      <c r="LS85" t="s">
        <v>746</v>
      </c>
      <c r="LT85" t="s">
        <v>1834</v>
      </c>
      <c r="LU85" t="s">
        <v>746</v>
      </c>
      <c r="LV85" t="s">
        <v>3260</v>
      </c>
      <c r="LW85" t="s">
        <v>746</v>
      </c>
      <c r="LX85" t="s">
        <v>1827</v>
      </c>
      <c r="LY85" t="s">
        <v>746</v>
      </c>
      <c r="LZ85" t="s">
        <v>3261</v>
      </c>
      <c r="MA85" t="s">
        <v>746</v>
      </c>
      <c r="MB85" t="s">
        <v>3262</v>
      </c>
      <c r="MC85" t="s">
        <v>746</v>
      </c>
      <c r="MD85" t="s">
        <v>3263</v>
      </c>
      <c r="ME85" t="s">
        <v>746</v>
      </c>
      <c r="MF85" t="s">
        <v>3264</v>
      </c>
      <c r="MG85" t="s">
        <v>746</v>
      </c>
      <c r="MH85" t="s">
        <v>3265</v>
      </c>
      <c r="MI85" t="s">
        <v>746</v>
      </c>
      <c r="MJ85" t="s">
        <v>1827</v>
      </c>
      <c r="MK85" t="s">
        <v>746</v>
      </c>
      <c r="ML85" t="s">
        <v>3266</v>
      </c>
      <c r="MM85" t="s">
        <v>70</v>
      </c>
      <c r="MO85" t="s">
        <v>783</v>
      </c>
      <c r="MP85" t="s">
        <v>783</v>
      </c>
      <c r="MQ85" t="s">
        <v>783</v>
      </c>
      <c r="MR85" t="s">
        <v>783</v>
      </c>
      <c r="MS85" t="s">
        <v>783</v>
      </c>
      <c r="MT85" t="s">
        <v>783</v>
      </c>
      <c r="MU85" t="s">
        <v>783</v>
      </c>
      <c r="MV85" t="s">
        <v>783</v>
      </c>
      <c r="MW85" t="s">
        <v>783</v>
      </c>
      <c r="MX85" t="s">
        <v>783</v>
      </c>
      <c r="MZ85" t="s">
        <v>781</v>
      </c>
      <c r="NA85" t="s">
        <v>783</v>
      </c>
      <c r="NB85" t="s">
        <v>783</v>
      </c>
      <c r="NC85" t="s">
        <v>783</v>
      </c>
      <c r="ND85" t="s">
        <v>783</v>
      </c>
      <c r="NE85" t="s">
        <v>784</v>
      </c>
      <c r="NF85" t="s">
        <v>783</v>
      </c>
      <c r="NG85" t="s">
        <v>784</v>
      </c>
      <c r="NH85" t="s">
        <v>783</v>
      </c>
      <c r="NI85" t="s">
        <v>783</v>
      </c>
      <c r="NJ85" t="s">
        <v>783</v>
      </c>
      <c r="NK85" t="s">
        <v>783</v>
      </c>
      <c r="NL85" t="s">
        <v>783</v>
      </c>
      <c r="NM85" t="s">
        <v>783</v>
      </c>
      <c r="NN85" t="s">
        <v>784</v>
      </c>
      <c r="NO85" t="s">
        <v>784</v>
      </c>
      <c r="NP85" t="s">
        <v>783</v>
      </c>
      <c r="NQ85" t="s">
        <v>783</v>
      </c>
      <c r="NR85" t="s">
        <v>783</v>
      </c>
      <c r="NS85" t="s">
        <v>784</v>
      </c>
      <c r="NT85" t="s">
        <v>784</v>
      </c>
      <c r="NU85" t="s">
        <v>783</v>
      </c>
      <c r="NV85" t="s">
        <v>784</v>
      </c>
      <c r="NW85" t="s">
        <v>784</v>
      </c>
      <c r="NX85" t="s">
        <v>783</v>
      </c>
      <c r="NY85" t="s">
        <v>783</v>
      </c>
      <c r="NZ85" t="s">
        <v>783</v>
      </c>
      <c r="OA85" t="s">
        <v>783</v>
      </c>
      <c r="OB85" t="s">
        <v>784</v>
      </c>
      <c r="OC85" t="s">
        <v>784</v>
      </c>
      <c r="OD85" t="s">
        <v>783</v>
      </c>
      <c r="OE85" t="s">
        <v>783</v>
      </c>
      <c r="OF85" t="s">
        <v>783</v>
      </c>
      <c r="OG85" t="s">
        <v>783</v>
      </c>
      <c r="OH85" t="s">
        <v>783</v>
      </c>
      <c r="OI85" t="s">
        <v>783</v>
      </c>
      <c r="OJ85" t="s">
        <v>783</v>
      </c>
    </row>
    <row r="86" spans="1:400" x14ac:dyDescent="0.25">
      <c r="A86">
        <v>80</v>
      </c>
      <c r="B86" t="s">
        <v>391</v>
      </c>
      <c r="C86" t="s">
        <v>70</v>
      </c>
      <c r="D86" t="s">
        <v>57</v>
      </c>
      <c r="E86">
        <v>42</v>
      </c>
      <c r="F86" t="s">
        <v>58</v>
      </c>
      <c r="G86" t="s">
        <v>76</v>
      </c>
      <c r="H86" t="s">
        <v>60</v>
      </c>
      <c r="I86" t="s">
        <v>113</v>
      </c>
      <c r="J86" t="s">
        <v>62</v>
      </c>
      <c r="K86" t="s">
        <v>63</v>
      </c>
      <c r="M86" t="s">
        <v>146</v>
      </c>
      <c r="N86" t="s">
        <v>70</v>
      </c>
      <c r="O86">
        <v>4</v>
      </c>
      <c r="P86" s="1">
        <v>50000</v>
      </c>
      <c r="Q86" s="1">
        <v>0</v>
      </c>
      <c r="R86" t="s">
        <v>376</v>
      </c>
      <c r="S86" s="7">
        <v>50000</v>
      </c>
      <c r="T86" t="s">
        <v>70</v>
      </c>
      <c r="U86" s="5">
        <v>0</v>
      </c>
      <c r="V86" s="3" t="s">
        <v>70</v>
      </c>
      <c r="W86" s="5">
        <v>0</v>
      </c>
      <c r="X86" t="s">
        <v>83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P86" t="s">
        <v>63</v>
      </c>
      <c r="AR86">
        <v>1</v>
      </c>
      <c r="AS86" s="2">
        <v>0.5</v>
      </c>
      <c r="AT86" t="s">
        <v>509</v>
      </c>
      <c r="AU86">
        <v>0</v>
      </c>
      <c r="AV86">
        <v>1</v>
      </c>
      <c r="AW86">
        <v>0</v>
      </c>
      <c r="AX86">
        <v>0</v>
      </c>
      <c r="AY86">
        <v>0</v>
      </c>
      <c r="AZ86" t="s">
        <v>552</v>
      </c>
      <c r="BA86" t="s">
        <v>511</v>
      </c>
      <c r="BC86" t="s">
        <v>512</v>
      </c>
      <c r="BD86" t="s">
        <v>507</v>
      </c>
      <c r="BE86">
        <v>2002</v>
      </c>
      <c r="BF86">
        <v>21</v>
      </c>
      <c r="BG86" t="s">
        <v>508</v>
      </c>
      <c r="BH86">
        <v>1</v>
      </c>
      <c r="BI86">
        <v>0</v>
      </c>
      <c r="BJ86">
        <v>0</v>
      </c>
      <c r="BK86">
        <v>0</v>
      </c>
      <c r="BL86">
        <v>0</v>
      </c>
      <c r="BM86" t="s">
        <v>63</v>
      </c>
      <c r="BN86" t="s">
        <v>63</v>
      </c>
      <c r="BO86" t="s">
        <v>3844</v>
      </c>
      <c r="BP86" t="s">
        <v>3845</v>
      </c>
      <c r="BR86" t="s">
        <v>3887</v>
      </c>
      <c r="BS86" t="s">
        <v>3838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CA86" t="s">
        <v>3847</v>
      </c>
      <c r="CB86" t="s">
        <v>3916</v>
      </c>
      <c r="CC86" t="s">
        <v>3840</v>
      </c>
      <c r="CD86" t="s">
        <v>70</v>
      </c>
      <c r="CN86" t="s">
        <v>63</v>
      </c>
      <c r="CO86" t="s">
        <v>732</v>
      </c>
      <c r="CP86" t="s">
        <v>4043</v>
      </c>
      <c r="CQ86" t="s">
        <v>3959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Y86" t="s">
        <v>3866</v>
      </c>
      <c r="CZ86" s="26" t="s">
        <v>4211</v>
      </c>
      <c r="DA86" s="27" t="s">
        <v>4192</v>
      </c>
      <c r="DJ86" t="s">
        <v>84</v>
      </c>
      <c r="DK86" s="35"/>
      <c r="DL86" s="37"/>
      <c r="FI86" t="s">
        <v>733</v>
      </c>
      <c r="FJ86" t="s">
        <v>3146</v>
      </c>
      <c r="FK86" t="s">
        <v>733</v>
      </c>
      <c r="FL86" t="s">
        <v>3173</v>
      </c>
      <c r="FM86" t="s">
        <v>733</v>
      </c>
      <c r="FN86" t="s">
        <v>3173</v>
      </c>
      <c r="FO86" t="s">
        <v>733</v>
      </c>
      <c r="FP86" t="s">
        <v>3267</v>
      </c>
      <c r="FQ86" t="s">
        <v>733</v>
      </c>
      <c r="FR86" t="s">
        <v>2300</v>
      </c>
      <c r="FS86" t="s">
        <v>733</v>
      </c>
      <c r="FT86" t="s">
        <v>3187</v>
      </c>
      <c r="FU86" t="s">
        <v>733</v>
      </c>
      <c r="FV86" t="s">
        <v>3268</v>
      </c>
      <c r="FW86" t="s">
        <v>733</v>
      </c>
      <c r="FX86" t="s">
        <v>3269</v>
      </c>
      <c r="FY86" t="s">
        <v>733</v>
      </c>
      <c r="FZ86" t="s">
        <v>3270</v>
      </c>
      <c r="GA86" t="s">
        <v>733</v>
      </c>
      <c r="GB86" t="s">
        <v>3271</v>
      </c>
      <c r="GC86" t="s">
        <v>733</v>
      </c>
      <c r="GD86" t="s">
        <v>3272</v>
      </c>
      <c r="GE86" t="s">
        <v>733</v>
      </c>
      <c r="GF86" t="s">
        <v>3273</v>
      </c>
      <c r="GG86" t="s">
        <v>746</v>
      </c>
      <c r="GH86" t="s">
        <v>3274</v>
      </c>
      <c r="GI86" t="s">
        <v>733</v>
      </c>
      <c r="GJ86" t="s">
        <v>3275</v>
      </c>
      <c r="GK86" t="s">
        <v>733</v>
      </c>
      <c r="GL86" t="s">
        <v>3276</v>
      </c>
      <c r="GM86" t="s">
        <v>733</v>
      </c>
      <c r="GN86" t="s">
        <v>3187</v>
      </c>
      <c r="GO86" t="s">
        <v>733</v>
      </c>
      <c r="GP86" t="s">
        <v>3277</v>
      </c>
      <c r="GQ86" t="s">
        <v>733</v>
      </c>
      <c r="GR86" t="s">
        <v>3278</v>
      </c>
      <c r="GS86" t="s">
        <v>733</v>
      </c>
      <c r="GT86" t="s">
        <v>3279</v>
      </c>
      <c r="GU86" t="s">
        <v>733</v>
      </c>
      <c r="GV86" t="s">
        <v>3280</v>
      </c>
      <c r="GW86" t="s">
        <v>736</v>
      </c>
      <c r="GX86" t="s">
        <v>1541</v>
      </c>
      <c r="GY86" t="s">
        <v>736</v>
      </c>
      <c r="GZ86" t="s">
        <v>1797</v>
      </c>
      <c r="HA86" t="s">
        <v>736</v>
      </c>
      <c r="HB86" t="s">
        <v>1541</v>
      </c>
      <c r="HC86" t="s">
        <v>736</v>
      </c>
      <c r="HD86" t="s">
        <v>1797</v>
      </c>
      <c r="HE86" t="s">
        <v>798</v>
      </c>
      <c r="HF86" t="s">
        <v>1358</v>
      </c>
      <c r="HG86" t="s">
        <v>736</v>
      </c>
      <c r="HH86" t="s">
        <v>1358</v>
      </c>
      <c r="HI86" t="s">
        <v>736</v>
      </c>
      <c r="HJ86" t="s">
        <v>3281</v>
      </c>
      <c r="HK86" t="s">
        <v>746</v>
      </c>
      <c r="HL86" t="s">
        <v>3282</v>
      </c>
      <c r="HM86" t="s">
        <v>746</v>
      </c>
      <c r="HN86" t="s">
        <v>3283</v>
      </c>
      <c r="HO86" t="s">
        <v>746</v>
      </c>
      <c r="HP86" t="s">
        <v>1391</v>
      </c>
      <c r="HQ86" t="s">
        <v>746</v>
      </c>
      <c r="HR86" t="s">
        <v>1773</v>
      </c>
      <c r="HS86" t="s">
        <v>736</v>
      </c>
      <c r="HT86" t="s">
        <v>1792</v>
      </c>
      <c r="HU86" t="s">
        <v>736</v>
      </c>
      <c r="HV86" t="s">
        <v>1797</v>
      </c>
      <c r="HW86" t="s">
        <v>733</v>
      </c>
      <c r="HX86" t="s">
        <v>3284</v>
      </c>
      <c r="HY86" t="s">
        <v>733</v>
      </c>
      <c r="HZ86" t="s">
        <v>3285</v>
      </c>
      <c r="IA86" t="s">
        <v>733</v>
      </c>
      <c r="IB86" t="s">
        <v>3286</v>
      </c>
      <c r="IC86" t="s">
        <v>733</v>
      </c>
      <c r="ID86" t="s">
        <v>3287</v>
      </c>
      <c r="IE86" t="s">
        <v>733</v>
      </c>
      <c r="IF86" t="s">
        <v>3288</v>
      </c>
      <c r="IG86" t="s">
        <v>733</v>
      </c>
      <c r="IH86" t="s">
        <v>3289</v>
      </c>
      <c r="II86" t="s">
        <v>733</v>
      </c>
      <c r="IJ86" t="s">
        <v>3290</v>
      </c>
      <c r="IK86" t="s">
        <v>733</v>
      </c>
      <c r="IL86" t="s">
        <v>3291</v>
      </c>
      <c r="IM86" t="s">
        <v>746</v>
      </c>
      <c r="IN86" t="s">
        <v>3292</v>
      </c>
      <c r="IO86" t="s">
        <v>733</v>
      </c>
      <c r="IP86" t="s">
        <v>3293</v>
      </c>
      <c r="IQ86" t="s">
        <v>746</v>
      </c>
      <c r="IR86" t="s">
        <v>3294</v>
      </c>
      <c r="IS86" t="s">
        <v>746</v>
      </c>
      <c r="IT86" t="s">
        <v>3295</v>
      </c>
      <c r="IU86" t="s">
        <v>746</v>
      </c>
      <c r="IV86" t="s">
        <v>1375</v>
      </c>
      <c r="IW86" t="s">
        <v>746</v>
      </c>
      <c r="IX86" t="s">
        <v>1868</v>
      </c>
      <c r="IY86" t="s">
        <v>746</v>
      </c>
      <c r="IZ86" t="s">
        <v>1375</v>
      </c>
      <c r="JA86" t="s">
        <v>746</v>
      </c>
      <c r="JB86" t="s">
        <v>1375</v>
      </c>
      <c r="JC86" t="s">
        <v>746</v>
      </c>
      <c r="JD86" t="s">
        <v>1375</v>
      </c>
      <c r="JE86" t="s">
        <v>746</v>
      </c>
      <c r="JF86" t="s">
        <v>3296</v>
      </c>
      <c r="JG86" t="s">
        <v>746</v>
      </c>
      <c r="JH86" t="s">
        <v>1375</v>
      </c>
      <c r="JI86" t="s">
        <v>746</v>
      </c>
      <c r="JJ86" t="s">
        <v>1375</v>
      </c>
      <c r="JK86" t="s">
        <v>746</v>
      </c>
      <c r="JL86" t="s">
        <v>1391</v>
      </c>
      <c r="JM86" t="s">
        <v>746</v>
      </c>
      <c r="JN86" t="s">
        <v>1771</v>
      </c>
      <c r="JO86" t="s">
        <v>746</v>
      </c>
      <c r="JP86" t="s">
        <v>1375</v>
      </c>
      <c r="JQ86" t="s">
        <v>746</v>
      </c>
      <c r="JR86" t="s">
        <v>1375</v>
      </c>
      <c r="JS86" t="s">
        <v>746</v>
      </c>
      <c r="JT86" t="s">
        <v>3297</v>
      </c>
      <c r="JU86" t="s">
        <v>746</v>
      </c>
      <c r="JV86" t="s">
        <v>1868</v>
      </c>
      <c r="JW86" t="s">
        <v>746</v>
      </c>
      <c r="JX86" t="s">
        <v>2229</v>
      </c>
      <c r="JY86" t="s">
        <v>746</v>
      </c>
      <c r="JZ86" t="s">
        <v>3298</v>
      </c>
      <c r="KA86" t="s">
        <v>746</v>
      </c>
      <c r="KB86" t="s">
        <v>1375</v>
      </c>
      <c r="KC86" t="s">
        <v>746</v>
      </c>
      <c r="KD86" t="s">
        <v>1868</v>
      </c>
      <c r="KE86" t="s">
        <v>746</v>
      </c>
      <c r="KF86" t="s">
        <v>1375</v>
      </c>
      <c r="KG86" t="s">
        <v>746</v>
      </c>
      <c r="KH86" t="s">
        <v>3299</v>
      </c>
      <c r="KI86" t="s">
        <v>746</v>
      </c>
      <c r="KJ86" t="s">
        <v>1375</v>
      </c>
      <c r="KK86" t="s">
        <v>746</v>
      </c>
      <c r="KL86" t="s">
        <v>3300</v>
      </c>
      <c r="KM86" t="s">
        <v>746</v>
      </c>
      <c r="KN86" t="s">
        <v>3301</v>
      </c>
      <c r="KO86" t="s">
        <v>746</v>
      </c>
      <c r="KP86" t="s">
        <v>3302</v>
      </c>
      <c r="KQ86" t="s">
        <v>746</v>
      </c>
      <c r="KR86" t="s">
        <v>1806</v>
      </c>
      <c r="KS86" t="s">
        <v>746</v>
      </c>
      <c r="KT86" t="s">
        <v>3303</v>
      </c>
      <c r="KU86" t="s">
        <v>746</v>
      </c>
      <c r="KV86" t="s">
        <v>3304</v>
      </c>
      <c r="KW86" t="s">
        <v>746</v>
      </c>
      <c r="KX86" t="s">
        <v>3305</v>
      </c>
      <c r="KY86" t="s">
        <v>746</v>
      </c>
      <c r="KZ86" t="s">
        <v>1806</v>
      </c>
      <c r="LA86" t="s">
        <v>746</v>
      </c>
      <c r="LB86" t="s">
        <v>3306</v>
      </c>
      <c r="LC86" t="s">
        <v>736</v>
      </c>
      <c r="LD86" t="s">
        <v>3307</v>
      </c>
      <c r="LE86" t="s">
        <v>736</v>
      </c>
      <c r="LF86" t="s">
        <v>3308</v>
      </c>
      <c r="LG86" t="s">
        <v>736</v>
      </c>
      <c r="LH86" t="s">
        <v>3309</v>
      </c>
      <c r="LI86" t="s">
        <v>736</v>
      </c>
      <c r="LJ86" t="s">
        <v>3310</v>
      </c>
      <c r="LK86" t="s">
        <v>746</v>
      </c>
      <c r="LL86" t="s">
        <v>3311</v>
      </c>
      <c r="LM86" t="s">
        <v>746</v>
      </c>
      <c r="LN86" t="s">
        <v>3312</v>
      </c>
      <c r="LO86" t="s">
        <v>746</v>
      </c>
      <c r="LP86" t="s">
        <v>3313</v>
      </c>
      <c r="LQ86" t="s">
        <v>746</v>
      </c>
      <c r="LR86" t="s">
        <v>3314</v>
      </c>
      <c r="LS86" t="s">
        <v>736</v>
      </c>
      <c r="LT86" t="s">
        <v>3315</v>
      </c>
      <c r="LU86" t="s">
        <v>736</v>
      </c>
      <c r="LV86" t="s">
        <v>3316</v>
      </c>
      <c r="LW86" t="s">
        <v>746</v>
      </c>
      <c r="LX86" t="s">
        <v>3317</v>
      </c>
      <c r="LY86" t="s">
        <v>746</v>
      </c>
      <c r="LZ86" t="s">
        <v>3318</v>
      </c>
      <c r="MA86" t="s">
        <v>746</v>
      </c>
      <c r="MB86" t="s">
        <v>1319</v>
      </c>
      <c r="MC86" t="s">
        <v>746</v>
      </c>
      <c r="MD86" t="s">
        <v>1771</v>
      </c>
      <c r="ME86" t="s">
        <v>736</v>
      </c>
      <c r="MF86" t="s">
        <v>1764</v>
      </c>
      <c r="MG86" t="s">
        <v>736</v>
      </c>
      <c r="MH86" t="s">
        <v>3319</v>
      </c>
      <c r="MI86" t="s">
        <v>746</v>
      </c>
      <c r="MJ86" t="s">
        <v>1868</v>
      </c>
      <c r="MK86" t="s">
        <v>746</v>
      </c>
      <c r="ML86" t="s">
        <v>3320</v>
      </c>
      <c r="MM86" t="s">
        <v>70</v>
      </c>
      <c r="MO86" t="s">
        <v>783</v>
      </c>
      <c r="MP86" t="s">
        <v>784</v>
      </c>
      <c r="MQ86" t="s">
        <v>783</v>
      </c>
      <c r="MR86" t="s">
        <v>783</v>
      </c>
      <c r="MS86" t="s">
        <v>783</v>
      </c>
      <c r="MT86" t="s">
        <v>783</v>
      </c>
      <c r="MU86" t="s">
        <v>783</v>
      </c>
      <c r="MV86" t="s">
        <v>783</v>
      </c>
      <c r="MW86" t="s">
        <v>783</v>
      </c>
      <c r="MX86" t="s">
        <v>783</v>
      </c>
      <c r="MZ86" t="s">
        <v>783</v>
      </c>
      <c r="NA86" t="s">
        <v>783</v>
      </c>
      <c r="NB86" t="s">
        <v>907</v>
      </c>
      <c r="NC86" t="s">
        <v>783</v>
      </c>
      <c r="ND86" t="s">
        <v>783</v>
      </c>
      <c r="NE86" t="s">
        <v>783</v>
      </c>
      <c r="NF86" t="s">
        <v>907</v>
      </c>
      <c r="NG86" t="s">
        <v>783</v>
      </c>
      <c r="NH86" t="s">
        <v>783</v>
      </c>
      <c r="NI86" t="s">
        <v>783</v>
      </c>
      <c r="NJ86" t="s">
        <v>783</v>
      </c>
      <c r="NK86" t="s">
        <v>783</v>
      </c>
      <c r="NL86" t="s">
        <v>907</v>
      </c>
      <c r="NM86" t="s">
        <v>784</v>
      </c>
      <c r="NN86" t="s">
        <v>783</v>
      </c>
      <c r="NO86" t="s">
        <v>784</v>
      </c>
      <c r="NP86" t="s">
        <v>783</v>
      </c>
      <c r="NQ86" t="s">
        <v>783</v>
      </c>
      <c r="NR86" t="s">
        <v>784</v>
      </c>
      <c r="NS86" t="s">
        <v>907</v>
      </c>
      <c r="NT86" t="s">
        <v>783</v>
      </c>
      <c r="NU86" t="s">
        <v>783</v>
      </c>
      <c r="NV86" t="s">
        <v>784</v>
      </c>
      <c r="NW86" t="s">
        <v>907</v>
      </c>
      <c r="NX86" t="s">
        <v>783</v>
      </c>
      <c r="NY86" t="s">
        <v>784</v>
      </c>
      <c r="NZ86" t="s">
        <v>783</v>
      </c>
      <c r="OA86" t="s">
        <v>783</v>
      </c>
      <c r="OB86" t="s">
        <v>784</v>
      </c>
      <c r="OC86" t="s">
        <v>783</v>
      </c>
      <c r="OD86" t="s">
        <v>907</v>
      </c>
      <c r="OE86" t="s">
        <v>783</v>
      </c>
      <c r="OF86" t="s">
        <v>783</v>
      </c>
      <c r="OG86" t="s">
        <v>783</v>
      </c>
      <c r="OH86" t="s">
        <v>784</v>
      </c>
      <c r="OI86" t="s">
        <v>783</v>
      </c>
      <c r="OJ86" t="s">
        <v>783</v>
      </c>
    </row>
    <row r="87" spans="1:400" x14ac:dyDescent="0.25">
      <c r="A87">
        <v>81</v>
      </c>
      <c r="B87" t="s">
        <v>373</v>
      </c>
      <c r="C87" t="s">
        <v>374</v>
      </c>
      <c r="D87" t="s">
        <v>57</v>
      </c>
      <c r="E87">
        <v>20</v>
      </c>
      <c r="F87" t="s">
        <v>58</v>
      </c>
      <c r="G87" t="s">
        <v>375</v>
      </c>
      <c r="H87" t="s">
        <v>60</v>
      </c>
      <c r="I87" t="s">
        <v>61</v>
      </c>
      <c r="J87" t="s">
        <v>62</v>
      </c>
      <c r="K87" t="s">
        <v>63</v>
      </c>
      <c r="M87" t="s">
        <v>146</v>
      </c>
      <c r="N87" t="s">
        <v>368</v>
      </c>
      <c r="O87">
        <v>4</v>
      </c>
      <c r="P87" s="1">
        <v>15000</v>
      </c>
      <c r="Q87" s="1">
        <v>0</v>
      </c>
      <c r="R87" t="s">
        <v>376</v>
      </c>
      <c r="S87" s="7">
        <v>10000</v>
      </c>
      <c r="T87" t="s">
        <v>377</v>
      </c>
      <c r="U87" s="5">
        <v>5000</v>
      </c>
      <c r="V87" s="3" t="s">
        <v>70</v>
      </c>
      <c r="W87" s="5">
        <v>0</v>
      </c>
      <c r="X87" t="s">
        <v>83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P87" t="s">
        <v>63</v>
      </c>
      <c r="AR87">
        <v>1</v>
      </c>
      <c r="AS87" s="2">
        <v>0.75</v>
      </c>
      <c r="AT87" t="s">
        <v>509</v>
      </c>
      <c r="AU87">
        <v>0</v>
      </c>
      <c r="AV87">
        <v>1</v>
      </c>
      <c r="AW87">
        <v>0</v>
      </c>
      <c r="AX87">
        <v>0</v>
      </c>
      <c r="AY87">
        <v>0</v>
      </c>
      <c r="AZ87" t="s">
        <v>534</v>
      </c>
      <c r="BA87" t="s">
        <v>511</v>
      </c>
      <c r="BC87" t="s">
        <v>515</v>
      </c>
      <c r="BD87" t="s">
        <v>507</v>
      </c>
      <c r="BE87">
        <v>2021</v>
      </c>
      <c r="BF87">
        <v>2</v>
      </c>
      <c r="BG87" t="s">
        <v>508</v>
      </c>
      <c r="BH87">
        <v>1</v>
      </c>
      <c r="BI87">
        <v>0</v>
      </c>
      <c r="BJ87">
        <v>0</v>
      </c>
      <c r="BK87">
        <v>0</v>
      </c>
      <c r="BL87">
        <v>0</v>
      </c>
      <c r="BM87" t="s">
        <v>63</v>
      </c>
      <c r="BN87" t="s">
        <v>84</v>
      </c>
      <c r="CM87" t="s">
        <v>1072</v>
      </c>
      <c r="CN87" t="s">
        <v>84</v>
      </c>
      <c r="CO87" t="s">
        <v>84</v>
      </c>
      <c r="CZ87" s="26"/>
      <c r="DA87" s="27"/>
      <c r="DB87" t="s">
        <v>976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J87" t="s">
        <v>84</v>
      </c>
      <c r="DK87" s="35"/>
      <c r="DL87" s="37"/>
      <c r="FI87" t="s">
        <v>733</v>
      </c>
      <c r="FJ87" t="s">
        <v>1316</v>
      </c>
      <c r="FK87" t="s">
        <v>733</v>
      </c>
      <c r="FL87" t="s">
        <v>2066</v>
      </c>
      <c r="FM87" t="s">
        <v>733</v>
      </c>
      <c r="FN87" t="s">
        <v>3321</v>
      </c>
      <c r="FO87" t="s">
        <v>733</v>
      </c>
      <c r="FP87" t="s">
        <v>2066</v>
      </c>
      <c r="FQ87" t="s">
        <v>733</v>
      </c>
      <c r="FR87" t="s">
        <v>3079</v>
      </c>
      <c r="FS87" t="s">
        <v>733</v>
      </c>
      <c r="FT87" t="s">
        <v>1758</v>
      </c>
      <c r="FU87" t="s">
        <v>733</v>
      </c>
      <c r="FV87" t="s">
        <v>3075</v>
      </c>
      <c r="FW87" t="s">
        <v>733</v>
      </c>
      <c r="FX87" t="s">
        <v>3075</v>
      </c>
      <c r="FY87" t="s">
        <v>733</v>
      </c>
      <c r="FZ87" t="s">
        <v>1316</v>
      </c>
      <c r="GA87" t="s">
        <v>733</v>
      </c>
      <c r="GB87" t="s">
        <v>3121</v>
      </c>
      <c r="GC87" t="s">
        <v>733</v>
      </c>
      <c r="GD87" t="s">
        <v>1316</v>
      </c>
      <c r="GE87" t="s">
        <v>733</v>
      </c>
      <c r="GF87" t="s">
        <v>3322</v>
      </c>
      <c r="GG87" t="s">
        <v>733</v>
      </c>
      <c r="GH87" t="s">
        <v>3088</v>
      </c>
      <c r="GI87" t="s">
        <v>746</v>
      </c>
      <c r="GJ87" t="s">
        <v>3323</v>
      </c>
      <c r="GK87" t="s">
        <v>733</v>
      </c>
      <c r="GL87" t="s">
        <v>3079</v>
      </c>
      <c r="GM87" t="s">
        <v>733</v>
      </c>
      <c r="GN87" t="s">
        <v>1415</v>
      </c>
      <c r="GO87" t="s">
        <v>733</v>
      </c>
      <c r="GP87" t="s">
        <v>3079</v>
      </c>
      <c r="GQ87" t="s">
        <v>733</v>
      </c>
      <c r="GR87" t="s">
        <v>1316</v>
      </c>
      <c r="GS87" t="s">
        <v>733</v>
      </c>
      <c r="GT87" t="s">
        <v>3324</v>
      </c>
      <c r="GU87" t="s">
        <v>733</v>
      </c>
      <c r="GV87" t="s">
        <v>3325</v>
      </c>
      <c r="GW87" t="s">
        <v>733</v>
      </c>
      <c r="GX87" t="s">
        <v>1415</v>
      </c>
      <c r="GY87" t="s">
        <v>736</v>
      </c>
      <c r="GZ87" t="s">
        <v>1764</v>
      </c>
      <c r="HA87" t="s">
        <v>733</v>
      </c>
      <c r="HB87" t="s">
        <v>1415</v>
      </c>
      <c r="HC87" t="s">
        <v>733</v>
      </c>
      <c r="HD87" t="s">
        <v>1415</v>
      </c>
      <c r="HE87" t="s">
        <v>733</v>
      </c>
      <c r="HF87" t="s">
        <v>1415</v>
      </c>
      <c r="HG87" t="s">
        <v>733</v>
      </c>
      <c r="HH87" t="s">
        <v>1415</v>
      </c>
      <c r="HI87" t="s">
        <v>733</v>
      </c>
      <c r="HJ87" t="s">
        <v>1415</v>
      </c>
      <c r="HK87" t="s">
        <v>746</v>
      </c>
      <c r="HL87" t="s">
        <v>1408</v>
      </c>
      <c r="HM87" t="s">
        <v>746</v>
      </c>
      <c r="HN87" t="s">
        <v>1408</v>
      </c>
      <c r="HO87" t="s">
        <v>746</v>
      </c>
      <c r="HP87" t="s">
        <v>1408</v>
      </c>
      <c r="HQ87" t="s">
        <v>746</v>
      </c>
      <c r="HR87" t="s">
        <v>1408</v>
      </c>
      <c r="HS87" t="s">
        <v>777</v>
      </c>
      <c r="HT87" t="s">
        <v>1764</v>
      </c>
      <c r="HU87" t="s">
        <v>746</v>
      </c>
      <c r="HV87" t="s">
        <v>1764</v>
      </c>
      <c r="HW87" t="s">
        <v>736</v>
      </c>
      <c r="HX87" t="s">
        <v>1358</v>
      </c>
      <c r="HY87" t="s">
        <v>746</v>
      </c>
      <c r="HZ87" t="s">
        <v>1331</v>
      </c>
      <c r="IA87" t="s">
        <v>733</v>
      </c>
      <c r="IB87" t="s">
        <v>3326</v>
      </c>
      <c r="IC87" t="s">
        <v>733</v>
      </c>
      <c r="ID87" t="s">
        <v>3327</v>
      </c>
      <c r="IE87" t="s">
        <v>743</v>
      </c>
      <c r="IF87" t="s">
        <v>1319</v>
      </c>
      <c r="IG87" t="s">
        <v>746</v>
      </c>
      <c r="IH87" t="s">
        <v>1319</v>
      </c>
      <c r="II87" t="s">
        <v>733</v>
      </c>
      <c r="IJ87" t="s">
        <v>1415</v>
      </c>
      <c r="IK87" t="s">
        <v>733</v>
      </c>
      <c r="IL87" t="s">
        <v>1415</v>
      </c>
      <c r="IM87" t="s">
        <v>746</v>
      </c>
      <c r="IN87" t="s">
        <v>1868</v>
      </c>
      <c r="IO87" t="s">
        <v>746</v>
      </c>
      <c r="IP87" t="s">
        <v>1771</v>
      </c>
      <c r="IQ87" t="s">
        <v>746</v>
      </c>
      <c r="IR87" t="s">
        <v>1375</v>
      </c>
      <c r="IS87" t="s">
        <v>746</v>
      </c>
      <c r="IT87" t="s">
        <v>1319</v>
      </c>
      <c r="IU87" t="s">
        <v>746</v>
      </c>
      <c r="IV87" t="s">
        <v>1868</v>
      </c>
      <c r="IW87" t="s">
        <v>746</v>
      </c>
      <c r="IX87" t="s">
        <v>1319</v>
      </c>
      <c r="IY87" t="s">
        <v>746</v>
      </c>
      <c r="IZ87" t="s">
        <v>1375</v>
      </c>
      <c r="JA87" t="s">
        <v>746</v>
      </c>
      <c r="JB87" t="s">
        <v>1408</v>
      </c>
      <c r="JC87" t="s">
        <v>746</v>
      </c>
      <c r="JD87" t="s">
        <v>1391</v>
      </c>
      <c r="JE87" t="s">
        <v>746</v>
      </c>
      <c r="JF87" t="s">
        <v>1319</v>
      </c>
      <c r="JG87" t="s">
        <v>746</v>
      </c>
      <c r="JH87" t="s">
        <v>1375</v>
      </c>
      <c r="JI87" t="s">
        <v>746</v>
      </c>
      <c r="JJ87" t="s">
        <v>1319</v>
      </c>
      <c r="JK87" t="s">
        <v>746</v>
      </c>
      <c r="JL87" t="s">
        <v>1375</v>
      </c>
      <c r="JM87" t="s">
        <v>746</v>
      </c>
      <c r="JN87" t="s">
        <v>1771</v>
      </c>
      <c r="JO87" t="s">
        <v>746</v>
      </c>
      <c r="JP87" t="s">
        <v>1375</v>
      </c>
      <c r="JQ87" t="s">
        <v>746</v>
      </c>
      <c r="JR87" t="s">
        <v>1868</v>
      </c>
      <c r="JS87" t="s">
        <v>746</v>
      </c>
      <c r="JT87" t="s">
        <v>1868</v>
      </c>
      <c r="JU87" t="s">
        <v>746</v>
      </c>
      <c r="JV87" t="s">
        <v>1375</v>
      </c>
      <c r="JW87" t="s">
        <v>746</v>
      </c>
      <c r="JX87" t="s">
        <v>3328</v>
      </c>
      <c r="JY87" t="s">
        <v>746</v>
      </c>
      <c r="JZ87" t="s">
        <v>1771</v>
      </c>
      <c r="KA87" t="s">
        <v>746</v>
      </c>
      <c r="KB87" t="s">
        <v>1375</v>
      </c>
      <c r="KC87" t="s">
        <v>746</v>
      </c>
      <c r="KD87" t="s">
        <v>1868</v>
      </c>
      <c r="KE87" t="s">
        <v>746</v>
      </c>
      <c r="KF87" t="s">
        <v>1375</v>
      </c>
      <c r="KG87" t="s">
        <v>746</v>
      </c>
      <c r="KH87" t="s">
        <v>1770</v>
      </c>
      <c r="KI87" t="s">
        <v>746</v>
      </c>
      <c r="KJ87" t="s">
        <v>1375</v>
      </c>
      <c r="KK87" t="s">
        <v>746</v>
      </c>
      <c r="KL87" t="s">
        <v>1868</v>
      </c>
      <c r="KM87" t="s">
        <v>746</v>
      </c>
      <c r="KN87" t="s">
        <v>1375</v>
      </c>
      <c r="KO87" t="s">
        <v>746</v>
      </c>
      <c r="KP87" t="s">
        <v>1771</v>
      </c>
      <c r="KQ87" t="s">
        <v>746</v>
      </c>
      <c r="KR87" t="s">
        <v>1375</v>
      </c>
      <c r="KS87" t="s">
        <v>746</v>
      </c>
      <c r="KT87" t="s">
        <v>1771</v>
      </c>
      <c r="KU87" t="s">
        <v>746</v>
      </c>
      <c r="KV87" t="s">
        <v>3329</v>
      </c>
      <c r="KW87" t="s">
        <v>746</v>
      </c>
      <c r="KX87" t="s">
        <v>3160</v>
      </c>
      <c r="KY87" t="s">
        <v>746</v>
      </c>
      <c r="KZ87" t="s">
        <v>1375</v>
      </c>
      <c r="LA87" t="s">
        <v>746</v>
      </c>
      <c r="LB87" t="s">
        <v>3111</v>
      </c>
      <c r="LC87" t="s">
        <v>746</v>
      </c>
      <c r="LD87" t="s">
        <v>2054</v>
      </c>
      <c r="LE87" t="s">
        <v>746</v>
      </c>
      <c r="LF87" t="s">
        <v>1415</v>
      </c>
      <c r="LG87" t="s">
        <v>746</v>
      </c>
      <c r="LH87" t="s">
        <v>3330</v>
      </c>
      <c r="LI87" t="s">
        <v>746</v>
      </c>
      <c r="LJ87" t="s">
        <v>1770</v>
      </c>
      <c r="LK87" t="s">
        <v>746</v>
      </c>
      <c r="LL87" t="s">
        <v>1771</v>
      </c>
      <c r="LM87" t="s">
        <v>746</v>
      </c>
      <c r="LN87" t="s">
        <v>1319</v>
      </c>
      <c r="LO87" t="s">
        <v>746</v>
      </c>
      <c r="LP87" t="s">
        <v>3145</v>
      </c>
      <c r="LQ87" t="s">
        <v>746</v>
      </c>
      <c r="LR87" t="s">
        <v>1319</v>
      </c>
      <c r="LS87" t="s">
        <v>746</v>
      </c>
      <c r="LT87" t="s">
        <v>1408</v>
      </c>
      <c r="LU87" t="s">
        <v>746</v>
      </c>
      <c r="LV87" t="s">
        <v>3331</v>
      </c>
      <c r="LW87" t="s">
        <v>746</v>
      </c>
      <c r="LX87" t="s">
        <v>1771</v>
      </c>
      <c r="LY87" t="s">
        <v>746</v>
      </c>
      <c r="LZ87" t="s">
        <v>1319</v>
      </c>
      <c r="MA87" t="s">
        <v>746</v>
      </c>
      <c r="MB87" t="s">
        <v>1319</v>
      </c>
      <c r="MC87" t="s">
        <v>746</v>
      </c>
      <c r="MD87" t="s">
        <v>1319</v>
      </c>
      <c r="ME87" t="s">
        <v>733</v>
      </c>
      <c r="MF87" t="s">
        <v>1415</v>
      </c>
      <c r="MG87" t="s">
        <v>733</v>
      </c>
      <c r="MH87" t="s">
        <v>1415</v>
      </c>
      <c r="MI87" t="s">
        <v>746</v>
      </c>
      <c r="MJ87" t="s">
        <v>1319</v>
      </c>
      <c r="MK87" t="s">
        <v>746</v>
      </c>
      <c r="ML87" t="s">
        <v>1771</v>
      </c>
      <c r="MM87" t="s">
        <v>70</v>
      </c>
      <c r="MO87" t="s">
        <v>783</v>
      </c>
      <c r="MP87" t="s">
        <v>783</v>
      </c>
      <c r="MQ87" t="s">
        <v>783</v>
      </c>
      <c r="MR87" t="s">
        <v>783</v>
      </c>
      <c r="MS87" t="s">
        <v>783</v>
      </c>
      <c r="MT87" t="s">
        <v>783</v>
      </c>
      <c r="MU87" t="s">
        <v>783</v>
      </c>
      <c r="MV87" t="s">
        <v>783</v>
      </c>
      <c r="MW87" t="s">
        <v>783</v>
      </c>
      <c r="MX87" t="s">
        <v>783</v>
      </c>
      <c r="MZ87" t="s">
        <v>783</v>
      </c>
      <c r="NA87" t="s">
        <v>783</v>
      </c>
      <c r="NB87" t="s">
        <v>783</v>
      </c>
      <c r="NC87" t="s">
        <v>783</v>
      </c>
      <c r="ND87" t="s">
        <v>783</v>
      </c>
      <c r="NE87" t="s">
        <v>784</v>
      </c>
      <c r="NF87" t="s">
        <v>781</v>
      </c>
      <c r="NG87" t="s">
        <v>783</v>
      </c>
      <c r="NH87" t="s">
        <v>783</v>
      </c>
      <c r="NI87" t="s">
        <v>783</v>
      </c>
      <c r="NJ87" t="s">
        <v>783</v>
      </c>
      <c r="NK87" t="s">
        <v>783</v>
      </c>
      <c r="NL87" t="s">
        <v>783</v>
      </c>
      <c r="NM87" t="s">
        <v>783</v>
      </c>
      <c r="NN87" t="s">
        <v>784</v>
      </c>
      <c r="NO87" t="s">
        <v>783</v>
      </c>
      <c r="NP87" t="s">
        <v>783</v>
      </c>
      <c r="NQ87" t="s">
        <v>783</v>
      </c>
      <c r="NR87" t="s">
        <v>783</v>
      </c>
      <c r="NS87" t="s">
        <v>784</v>
      </c>
      <c r="NT87" t="s">
        <v>784</v>
      </c>
      <c r="NU87" t="s">
        <v>783</v>
      </c>
      <c r="NV87" t="s">
        <v>784</v>
      </c>
      <c r="NW87" t="s">
        <v>784</v>
      </c>
      <c r="NX87" t="s">
        <v>783</v>
      </c>
      <c r="NY87" t="s">
        <v>783</v>
      </c>
      <c r="NZ87" t="s">
        <v>783</v>
      </c>
      <c r="OA87" t="s">
        <v>783</v>
      </c>
      <c r="OB87" t="s">
        <v>784</v>
      </c>
      <c r="OC87" t="s">
        <v>783</v>
      </c>
      <c r="OD87" t="s">
        <v>783</v>
      </c>
      <c r="OE87" t="s">
        <v>783</v>
      </c>
      <c r="OF87" t="s">
        <v>783</v>
      </c>
      <c r="OG87" t="s">
        <v>783</v>
      </c>
      <c r="OH87" t="s">
        <v>783</v>
      </c>
      <c r="OI87" t="s">
        <v>783</v>
      </c>
      <c r="OJ87" t="s">
        <v>783</v>
      </c>
    </row>
    <row r="88" spans="1:400" x14ac:dyDescent="0.25">
      <c r="A88">
        <v>82</v>
      </c>
      <c r="B88" t="s">
        <v>392</v>
      </c>
      <c r="C88" t="s">
        <v>393</v>
      </c>
      <c r="D88" t="s">
        <v>97</v>
      </c>
      <c r="E88">
        <v>52</v>
      </c>
      <c r="F88" t="s">
        <v>394</v>
      </c>
      <c r="G88" t="s">
        <v>76</v>
      </c>
      <c r="H88" t="s">
        <v>60</v>
      </c>
      <c r="I88" t="s">
        <v>113</v>
      </c>
      <c r="J88" t="s">
        <v>62</v>
      </c>
      <c r="K88" t="s">
        <v>63</v>
      </c>
      <c r="M88" t="s">
        <v>146</v>
      </c>
      <c r="N88" t="s">
        <v>99</v>
      </c>
      <c r="O88">
        <v>3</v>
      </c>
      <c r="P88" s="1">
        <v>38000</v>
      </c>
      <c r="Q88" s="1">
        <v>18000</v>
      </c>
      <c r="R88" t="s">
        <v>148</v>
      </c>
      <c r="S88" s="7">
        <v>20000</v>
      </c>
      <c r="T88" t="s">
        <v>70</v>
      </c>
      <c r="U88" s="5">
        <v>0</v>
      </c>
      <c r="V88" s="3" t="s">
        <v>4185</v>
      </c>
      <c r="W88" s="5">
        <v>18000</v>
      </c>
      <c r="X88" t="s">
        <v>94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 t="s">
        <v>63</v>
      </c>
      <c r="AR88">
        <v>1</v>
      </c>
      <c r="AS88" s="2">
        <v>0.5</v>
      </c>
      <c r="AT88" t="s">
        <v>531</v>
      </c>
      <c r="AU88">
        <v>0</v>
      </c>
      <c r="AV88">
        <v>0</v>
      </c>
      <c r="AW88">
        <v>1</v>
      </c>
      <c r="AX88">
        <v>0</v>
      </c>
      <c r="AY88">
        <v>0</v>
      </c>
      <c r="AZ88" t="s">
        <v>529</v>
      </c>
      <c r="BA88" t="s">
        <v>511</v>
      </c>
      <c r="BB88" t="s">
        <v>506</v>
      </c>
      <c r="BC88" t="s">
        <v>512</v>
      </c>
      <c r="BD88" t="s">
        <v>513</v>
      </c>
      <c r="BE88">
        <v>2010</v>
      </c>
      <c r="BF88">
        <v>13</v>
      </c>
      <c r="BG88" t="s">
        <v>508</v>
      </c>
      <c r="BH88">
        <v>1</v>
      </c>
      <c r="BI88">
        <v>0</v>
      </c>
      <c r="BJ88">
        <v>0</v>
      </c>
      <c r="BK88">
        <v>0</v>
      </c>
      <c r="BL88">
        <v>0</v>
      </c>
      <c r="BM88" t="s">
        <v>63</v>
      </c>
      <c r="BN88" t="s">
        <v>63</v>
      </c>
      <c r="BO88" t="s">
        <v>3844</v>
      </c>
      <c r="BP88" t="s">
        <v>3845</v>
      </c>
      <c r="BR88" t="s">
        <v>3917</v>
      </c>
      <c r="BS88" t="s">
        <v>3838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CA88" t="s">
        <v>3839</v>
      </c>
      <c r="CC88" t="s">
        <v>3840</v>
      </c>
      <c r="CD88" t="s">
        <v>3843</v>
      </c>
      <c r="CE88" t="s">
        <v>3918</v>
      </c>
      <c r="CF88">
        <v>1</v>
      </c>
      <c r="CG88">
        <v>1</v>
      </c>
      <c r="CH88">
        <v>0</v>
      </c>
      <c r="CI88">
        <v>0</v>
      </c>
      <c r="CJ88">
        <v>0</v>
      </c>
      <c r="CK88">
        <v>0</v>
      </c>
      <c r="CN88" t="s">
        <v>63</v>
      </c>
      <c r="CO88" t="s">
        <v>732</v>
      </c>
      <c r="CP88" t="s">
        <v>4044</v>
      </c>
      <c r="CQ88" t="s">
        <v>3945</v>
      </c>
      <c r="CR88">
        <v>0</v>
      </c>
      <c r="CS88">
        <v>1</v>
      </c>
      <c r="CT88">
        <v>0</v>
      </c>
      <c r="CU88">
        <v>0</v>
      </c>
      <c r="CV88">
        <v>0</v>
      </c>
      <c r="CW88">
        <v>0</v>
      </c>
      <c r="CY88" t="s">
        <v>3971</v>
      </c>
      <c r="CZ88" s="26" t="s">
        <v>3332</v>
      </c>
      <c r="DA88" s="27" t="s">
        <v>4215</v>
      </c>
      <c r="DJ88" t="s">
        <v>84</v>
      </c>
      <c r="DK88" s="35"/>
      <c r="DL88" s="37"/>
      <c r="FI88" t="s">
        <v>736</v>
      </c>
      <c r="FJ88" t="s">
        <v>2825</v>
      </c>
      <c r="FK88" t="s">
        <v>736</v>
      </c>
      <c r="FL88" t="s">
        <v>2825</v>
      </c>
      <c r="FM88" t="s">
        <v>736</v>
      </c>
      <c r="FN88" t="s">
        <v>2825</v>
      </c>
      <c r="FO88" t="s">
        <v>736</v>
      </c>
      <c r="FP88" t="s">
        <v>2825</v>
      </c>
      <c r="FQ88" t="s">
        <v>736</v>
      </c>
      <c r="FR88" t="s">
        <v>2825</v>
      </c>
      <c r="FS88" t="s">
        <v>736</v>
      </c>
      <c r="FT88" t="s">
        <v>2825</v>
      </c>
      <c r="FU88" t="s">
        <v>736</v>
      </c>
      <c r="FV88" t="s">
        <v>2825</v>
      </c>
      <c r="FW88" t="s">
        <v>736</v>
      </c>
      <c r="FX88" t="s">
        <v>2825</v>
      </c>
      <c r="FY88" t="s">
        <v>736</v>
      </c>
      <c r="FZ88" t="s">
        <v>2825</v>
      </c>
      <c r="GA88" t="s">
        <v>736</v>
      </c>
      <c r="GB88" t="s">
        <v>2825</v>
      </c>
      <c r="GC88" t="s">
        <v>736</v>
      </c>
      <c r="GD88" t="s">
        <v>2825</v>
      </c>
      <c r="GE88" t="s">
        <v>736</v>
      </c>
      <c r="GF88" t="s">
        <v>2825</v>
      </c>
      <c r="GG88" t="s">
        <v>736</v>
      </c>
      <c r="GH88" t="s">
        <v>2825</v>
      </c>
      <c r="GI88" t="s">
        <v>736</v>
      </c>
      <c r="GJ88" t="s">
        <v>2825</v>
      </c>
      <c r="GK88" t="s">
        <v>736</v>
      </c>
      <c r="GL88" t="s">
        <v>2825</v>
      </c>
      <c r="GM88" t="s">
        <v>736</v>
      </c>
      <c r="GN88" t="s">
        <v>2825</v>
      </c>
      <c r="GO88" t="s">
        <v>736</v>
      </c>
      <c r="GP88" t="s">
        <v>2825</v>
      </c>
      <c r="GQ88" t="s">
        <v>736</v>
      </c>
      <c r="GR88" t="s">
        <v>2825</v>
      </c>
      <c r="GS88" t="s">
        <v>736</v>
      </c>
      <c r="GT88" t="s">
        <v>2825</v>
      </c>
      <c r="GU88" t="s">
        <v>736</v>
      </c>
      <c r="GV88" t="s">
        <v>2825</v>
      </c>
      <c r="GW88" t="s">
        <v>736</v>
      </c>
      <c r="GX88" t="s">
        <v>2825</v>
      </c>
      <c r="GY88" t="s">
        <v>736</v>
      </c>
      <c r="GZ88" t="s">
        <v>2825</v>
      </c>
      <c r="HA88" t="s">
        <v>736</v>
      </c>
      <c r="HB88" t="s">
        <v>2825</v>
      </c>
      <c r="HC88" t="s">
        <v>736</v>
      </c>
      <c r="HD88" t="s">
        <v>2825</v>
      </c>
      <c r="HE88" t="s">
        <v>798</v>
      </c>
      <c r="HF88" t="s">
        <v>2825</v>
      </c>
      <c r="HG88" t="s">
        <v>736</v>
      </c>
      <c r="HH88" t="s">
        <v>2825</v>
      </c>
      <c r="HI88" t="s">
        <v>736</v>
      </c>
      <c r="HJ88" t="s">
        <v>2825</v>
      </c>
      <c r="HK88" t="s">
        <v>736</v>
      </c>
      <c r="HL88" t="s">
        <v>2825</v>
      </c>
      <c r="HM88" t="s">
        <v>736</v>
      </c>
      <c r="HN88" t="s">
        <v>2825</v>
      </c>
      <c r="HO88" t="s">
        <v>736</v>
      </c>
      <c r="HP88" t="s">
        <v>2825</v>
      </c>
      <c r="HQ88" t="s">
        <v>736</v>
      </c>
      <c r="HR88" t="s">
        <v>2825</v>
      </c>
      <c r="HS88" t="s">
        <v>736</v>
      </c>
      <c r="HT88" t="s">
        <v>2825</v>
      </c>
      <c r="HU88" t="s">
        <v>736</v>
      </c>
      <c r="HV88" t="s">
        <v>2825</v>
      </c>
      <c r="HW88" t="s">
        <v>736</v>
      </c>
      <c r="HX88" t="s">
        <v>2825</v>
      </c>
      <c r="HY88" t="s">
        <v>736</v>
      </c>
      <c r="HZ88" t="s">
        <v>2825</v>
      </c>
      <c r="IA88" t="s">
        <v>736</v>
      </c>
      <c r="IB88" t="s">
        <v>2825</v>
      </c>
      <c r="IC88" t="s">
        <v>736</v>
      </c>
      <c r="ID88" t="s">
        <v>2825</v>
      </c>
      <c r="IE88" t="s">
        <v>736</v>
      </c>
      <c r="IF88" t="s">
        <v>2825</v>
      </c>
      <c r="IG88" t="s">
        <v>736</v>
      </c>
      <c r="IH88" t="s">
        <v>2825</v>
      </c>
      <c r="II88" t="s">
        <v>736</v>
      </c>
      <c r="IJ88" t="s">
        <v>2825</v>
      </c>
      <c r="IK88" t="s">
        <v>736</v>
      </c>
      <c r="IL88" t="s">
        <v>2825</v>
      </c>
      <c r="IM88" t="s">
        <v>736</v>
      </c>
      <c r="IN88" t="s">
        <v>2825</v>
      </c>
      <c r="IO88" t="s">
        <v>736</v>
      </c>
      <c r="IP88" t="s">
        <v>2825</v>
      </c>
      <c r="IQ88" t="s">
        <v>736</v>
      </c>
      <c r="IR88" t="s">
        <v>2825</v>
      </c>
      <c r="IS88" t="s">
        <v>736</v>
      </c>
      <c r="IT88" t="s">
        <v>2825</v>
      </c>
      <c r="IU88" t="s">
        <v>736</v>
      </c>
      <c r="IV88" t="s">
        <v>2825</v>
      </c>
      <c r="IW88" t="s">
        <v>736</v>
      </c>
      <c r="IX88" t="s">
        <v>2825</v>
      </c>
      <c r="IY88" t="s">
        <v>736</v>
      </c>
      <c r="IZ88" t="s">
        <v>2825</v>
      </c>
      <c r="JA88" t="s">
        <v>736</v>
      </c>
      <c r="JB88" t="s">
        <v>2825</v>
      </c>
      <c r="JC88" t="s">
        <v>736</v>
      </c>
      <c r="JD88" t="s">
        <v>2825</v>
      </c>
      <c r="JE88" t="s">
        <v>736</v>
      </c>
      <c r="JF88" t="s">
        <v>2825</v>
      </c>
      <c r="JG88" t="s">
        <v>736</v>
      </c>
      <c r="JH88" t="s">
        <v>2825</v>
      </c>
      <c r="JI88" t="s">
        <v>736</v>
      </c>
      <c r="JJ88" t="s">
        <v>2825</v>
      </c>
      <c r="JK88" t="s">
        <v>736</v>
      </c>
      <c r="JL88" t="s">
        <v>2825</v>
      </c>
      <c r="JM88" t="s">
        <v>736</v>
      </c>
      <c r="JN88" t="s">
        <v>2825</v>
      </c>
      <c r="JO88" t="s">
        <v>736</v>
      </c>
      <c r="JP88" t="s">
        <v>2825</v>
      </c>
      <c r="JQ88" t="s">
        <v>736</v>
      </c>
      <c r="JR88" t="s">
        <v>2825</v>
      </c>
      <c r="JS88" t="s">
        <v>736</v>
      </c>
      <c r="JT88" t="s">
        <v>2825</v>
      </c>
      <c r="JU88" t="s">
        <v>736</v>
      </c>
      <c r="JV88" t="s">
        <v>2825</v>
      </c>
      <c r="JW88" t="s">
        <v>736</v>
      </c>
      <c r="JX88" t="s">
        <v>2825</v>
      </c>
      <c r="JY88" t="s">
        <v>736</v>
      </c>
      <c r="JZ88" t="s">
        <v>2825</v>
      </c>
      <c r="KA88" t="s">
        <v>736</v>
      </c>
      <c r="KB88" t="s">
        <v>2825</v>
      </c>
      <c r="KC88" t="s">
        <v>736</v>
      </c>
      <c r="KD88" t="s">
        <v>2825</v>
      </c>
      <c r="KE88" t="s">
        <v>736</v>
      </c>
      <c r="KF88" t="s">
        <v>2825</v>
      </c>
      <c r="KG88" t="s">
        <v>736</v>
      </c>
      <c r="KH88" t="s">
        <v>2825</v>
      </c>
      <c r="KI88" t="s">
        <v>736</v>
      </c>
      <c r="KJ88" t="s">
        <v>2825</v>
      </c>
      <c r="KK88" t="s">
        <v>736</v>
      </c>
      <c r="KL88" t="s">
        <v>2825</v>
      </c>
      <c r="KM88" t="s">
        <v>736</v>
      </c>
      <c r="KN88" t="s">
        <v>2825</v>
      </c>
      <c r="KO88" t="s">
        <v>736</v>
      </c>
      <c r="KP88" t="s">
        <v>2825</v>
      </c>
      <c r="KQ88" t="s">
        <v>736</v>
      </c>
      <c r="KR88" t="s">
        <v>2825</v>
      </c>
      <c r="KS88" t="s">
        <v>736</v>
      </c>
      <c r="KT88" t="s">
        <v>2825</v>
      </c>
      <c r="KU88" t="s">
        <v>736</v>
      </c>
      <c r="KV88" t="s">
        <v>2825</v>
      </c>
      <c r="KW88" t="s">
        <v>736</v>
      </c>
      <c r="KX88" t="s">
        <v>2825</v>
      </c>
      <c r="KY88" t="s">
        <v>736</v>
      </c>
      <c r="KZ88" t="s">
        <v>2825</v>
      </c>
      <c r="LA88" t="s">
        <v>736</v>
      </c>
      <c r="LB88" t="s">
        <v>2825</v>
      </c>
      <c r="LC88" t="s">
        <v>736</v>
      </c>
      <c r="LD88" t="s">
        <v>2825</v>
      </c>
      <c r="LE88" t="s">
        <v>736</v>
      </c>
      <c r="LF88" t="s">
        <v>2825</v>
      </c>
      <c r="LG88" t="s">
        <v>736</v>
      </c>
      <c r="LH88" t="s">
        <v>2825</v>
      </c>
      <c r="LI88" t="s">
        <v>736</v>
      </c>
      <c r="LJ88" t="s">
        <v>2825</v>
      </c>
      <c r="LK88" t="s">
        <v>736</v>
      </c>
      <c r="LL88" t="s">
        <v>2825</v>
      </c>
      <c r="LM88" t="s">
        <v>736</v>
      </c>
      <c r="LN88" t="s">
        <v>2825</v>
      </c>
      <c r="LO88" t="s">
        <v>736</v>
      </c>
      <c r="LP88" t="s">
        <v>2825</v>
      </c>
      <c r="LQ88" t="s">
        <v>736</v>
      </c>
      <c r="LR88" t="s">
        <v>2825</v>
      </c>
      <c r="LS88" t="s">
        <v>736</v>
      </c>
      <c r="LT88" t="s">
        <v>2825</v>
      </c>
      <c r="LU88" t="s">
        <v>736</v>
      </c>
      <c r="LV88" t="s">
        <v>2825</v>
      </c>
      <c r="LW88" t="s">
        <v>736</v>
      </c>
      <c r="LX88" t="s">
        <v>2825</v>
      </c>
      <c r="LY88" t="s">
        <v>736</v>
      </c>
      <c r="LZ88" t="s">
        <v>2825</v>
      </c>
      <c r="MA88" t="s">
        <v>736</v>
      </c>
      <c r="MB88" t="s">
        <v>2825</v>
      </c>
      <c r="MC88" t="s">
        <v>736</v>
      </c>
      <c r="MD88" t="s">
        <v>2825</v>
      </c>
      <c r="ME88" t="s">
        <v>736</v>
      </c>
      <c r="MF88" t="s">
        <v>2825</v>
      </c>
      <c r="MG88" t="s">
        <v>736</v>
      </c>
      <c r="MH88" t="s">
        <v>2825</v>
      </c>
      <c r="MI88" t="s">
        <v>736</v>
      </c>
      <c r="MJ88" t="s">
        <v>2825</v>
      </c>
      <c r="MK88" t="s">
        <v>736</v>
      </c>
      <c r="ML88" t="s">
        <v>2825</v>
      </c>
      <c r="MO88" t="s">
        <v>783</v>
      </c>
      <c r="MP88" t="s">
        <v>783</v>
      </c>
      <c r="MQ88" t="s">
        <v>783</v>
      </c>
      <c r="MR88" t="s">
        <v>783</v>
      </c>
      <c r="MS88" t="s">
        <v>783</v>
      </c>
      <c r="MT88" t="s">
        <v>783</v>
      </c>
      <c r="MU88" t="s">
        <v>783</v>
      </c>
      <c r="MV88" t="s">
        <v>783</v>
      </c>
      <c r="MW88" t="s">
        <v>783</v>
      </c>
      <c r="MX88" t="s">
        <v>783</v>
      </c>
      <c r="MZ88" t="s">
        <v>783</v>
      </c>
      <c r="NA88" t="s">
        <v>783</v>
      </c>
      <c r="NB88" t="s">
        <v>783</v>
      </c>
      <c r="NC88" t="s">
        <v>783</v>
      </c>
      <c r="ND88" t="s">
        <v>783</v>
      </c>
      <c r="NE88" t="s">
        <v>784</v>
      </c>
      <c r="NF88" t="s">
        <v>784</v>
      </c>
      <c r="NG88" t="s">
        <v>783</v>
      </c>
      <c r="NH88" t="s">
        <v>783</v>
      </c>
      <c r="NI88" t="s">
        <v>783</v>
      </c>
      <c r="NJ88" t="s">
        <v>783</v>
      </c>
      <c r="NK88" t="s">
        <v>783</v>
      </c>
      <c r="NL88" t="s">
        <v>784</v>
      </c>
      <c r="NM88" t="s">
        <v>783</v>
      </c>
      <c r="NN88" t="s">
        <v>784</v>
      </c>
      <c r="NO88" t="s">
        <v>784</v>
      </c>
      <c r="NP88" t="s">
        <v>783</v>
      </c>
      <c r="NQ88" t="s">
        <v>783</v>
      </c>
      <c r="NR88" t="s">
        <v>783</v>
      </c>
      <c r="NS88" t="s">
        <v>784</v>
      </c>
      <c r="NT88" t="s">
        <v>784</v>
      </c>
      <c r="NU88" t="s">
        <v>783</v>
      </c>
      <c r="NV88" t="s">
        <v>784</v>
      </c>
      <c r="NW88" t="s">
        <v>784</v>
      </c>
      <c r="NX88" t="s">
        <v>783</v>
      </c>
      <c r="NY88" t="s">
        <v>784</v>
      </c>
      <c r="NZ88" t="s">
        <v>783</v>
      </c>
      <c r="OA88" t="s">
        <v>783</v>
      </c>
      <c r="OB88" t="s">
        <v>784</v>
      </c>
      <c r="OC88" t="s">
        <v>784</v>
      </c>
      <c r="OD88" t="s">
        <v>783</v>
      </c>
      <c r="OE88" t="s">
        <v>783</v>
      </c>
      <c r="OF88" t="s">
        <v>783</v>
      </c>
      <c r="OG88" t="s">
        <v>783</v>
      </c>
      <c r="OH88" t="s">
        <v>784</v>
      </c>
      <c r="OI88" t="s">
        <v>783</v>
      </c>
      <c r="OJ88" t="s">
        <v>783</v>
      </c>
    </row>
    <row r="89" spans="1:400" x14ac:dyDescent="0.25">
      <c r="A89">
        <v>83</v>
      </c>
      <c r="B89" t="s">
        <v>396</v>
      </c>
      <c r="C89" t="s">
        <v>397</v>
      </c>
      <c r="D89" t="s">
        <v>57</v>
      </c>
      <c r="E89">
        <v>33</v>
      </c>
      <c r="F89" t="s">
        <v>58</v>
      </c>
      <c r="G89" t="s">
        <v>59</v>
      </c>
      <c r="H89" t="s">
        <v>60</v>
      </c>
      <c r="I89" t="s">
        <v>113</v>
      </c>
      <c r="J89" t="s">
        <v>62</v>
      </c>
      <c r="K89" t="s">
        <v>63</v>
      </c>
      <c r="M89" t="s">
        <v>146</v>
      </c>
      <c r="N89" t="s">
        <v>316</v>
      </c>
      <c r="O89">
        <v>4</v>
      </c>
      <c r="P89" s="1">
        <v>55000</v>
      </c>
      <c r="Q89" s="1">
        <v>0</v>
      </c>
      <c r="R89" t="s">
        <v>148</v>
      </c>
      <c r="S89" s="7">
        <v>50000</v>
      </c>
      <c r="T89" t="s">
        <v>398</v>
      </c>
      <c r="U89" s="5">
        <v>5000</v>
      </c>
      <c r="V89" s="3" t="s">
        <v>70</v>
      </c>
      <c r="W89" s="5">
        <v>0</v>
      </c>
      <c r="X89" t="s">
        <v>94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P89" t="s">
        <v>63</v>
      </c>
      <c r="AR89">
        <v>1</v>
      </c>
      <c r="AS89" s="2">
        <v>0.25</v>
      </c>
      <c r="AT89" t="s">
        <v>516</v>
      </c>
      <c r="AU89">
        <v>1</v>
      </c>
      <c r="AV89">
        <v>0</v>
      </c>
      <c r="AW89">
        <v>0</v>
      </c>
      <c r="AX89">
        <v>0</v>
      </c>
      <c r="AY89">
        <v>0</v>
      </c>
      <c r="AZ89" t="s">
        <v>140</v>
      </c>
      <c r="BA89" t="s">
        <v>511</v>
      </c>
      <c r="BB89" t="s">
        <v>506</v>
      </c>
      <c r="BC89" t="s">
        <v>515</v>
      </c>
      <c r="BD89" t="s">
        <v>513</v>
      </c>
      <c r="BE89">
        <v>2020</v>
      </c>
      <c r="BF89">
        <v>3</v>
      </c>
      <c r="BG89" t="s">
        <v>508</v>
      </c>
      <c r="BH89">
        <v>1</v>
      </c>
      <c r="BI89">
        <v>0</v>
      </c>
      <c r="BJ89">
        <v>0</v>
      </c>
      <c r="BK89">
        <v>0</v>
      </c>
      <c r="BL89">
        <v>0</v>
      </c>
      <c r="BM89" t="s">
        <v>63</v>
      </c>
      <c r="BN89" t="s">
        <v>84</v>
      </c>
      <c r="CM89" t="s">
        <v>785</v>
      </c>
      <c r="CN89" t="s">
        <v>84</v>
      </c>
      <c r="CO89" t="s">
        <v>84</v>
      </c>
      <c r="CZ89" s="26"/>
      <c r="DA89" s="27"/>
      <c r="DB89" t="s">
        <v>976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J89" t="s">
        <v>84</v>
      </c>
      <c r="DK89" s="35"/>
      <c r="DL89" s="37"/>
      <c r="FI89" t="s">
        <v>733</v>
      </c>
      <c r="FJ89" t="s">
        <v>3333</v>
      </c>
      <c r="FK89" t="s">
        <v>733</v>
      </c>
      <c r="FL89" t="s">
        <v>3333</v>
      </c>
      <c r="FM89" t="s">
        <v>733</v>
      </c>
      <c r="FN89" t="s">
        <v>3333</v>
      </c>
      <c r="FO89" t="s">
        <v>733</v>
      </c>
      <c r="FP89" t="s">
        <v>3333</v>
      </c>
      <c r="FQ89" t="s">
        <v>733</v>
      </c>
      <c r="FR89" t="s">
        <v>3333</v>
      </c>
      <c r="FS89" t="s">
        <v>733</v>
      </c>
      <c r="FT89" t="s">
        <v>3333</v>
      </c>
      <c r="FU89" t="s">
        <v>733</v>
      </c>
      <c r="FV89" t="s">
        <v>3333</v>
      </c>
      <c r="FW89" t="s">
        <v>733</v>
      </c>
      <c r="FX89" t="s">
        <v>3333</v>
      </c>
      <c r="FY89" t="s">
        <v>733</v>
      </c>
      <c r="FZ89" t="s">
        <v>3333</v>
      </c>
      <c r="GA89" t="s">
        <v>733</v>
      </c>
      <c r="GB89" t="s">
        <v>3333</v>
      </c>
      <c r="GC89" t="s">
        <v>733</v>
      </c>
      <c r="GD89" t="s">
        <v>3333</v>
      </c>
      <c r="GE89" t="s">
        <v>733</v>
      </c>
      <c r="GF89" t="s">
        <v>3333</v>
      </c>
      <c r="GG89" t="s">
        <v>746</v>
      </c>
      <c r="GH89" t="s">
        <v>3334</v>
      </c>
      <c r="GI89" t="s">
        <v>746</v>
      </c>
      <c r="GJ89" t="s">
        <v>3334</v>
      </c>
      <c r="GK89" t="s">
        <v>733</v>
      </c>
      <c r="GL89" t="s">
        <v>3335</v>
      </c>
      <c r="GM89" t="s">
        <v>733</v>
      </c>
      <c r="GN89" t="s">
        <v>3336</v>
      </c>
      <c r="GO89" t="s">
        <v>733</v>
      </c>
      <c r="GP89" t="s">
        <v>3336</v>
      </c>
      <c r="GQ89" t="s">
        <v>733</v>
      </c>
      <c r="GR89" t="s">
        <v>3336</v>
      </c>
      <c r="GS89" t="s">
        <v>733</v>
      </c>
      <c r="GT89" t="s">
        <v>3336</v>
      </c>
      <c r="GU89" t="s">
        <v>733</v>
      </c>
      <c r="GV89" t="s">
        <v>3336</v>
      </c>
      <c r="GW89" t="s">
        <v>736</v>
      </c>
      <c r="GX89" t="s">
        <v>3337</v>
      </c>
      <c r="GY89" t="s">
        <v>736</v>
      </c>
      <c r="GZ89" t="s">
        <v>3337</v>
      </c>
      <c r="HA89" t="s">
        <v>736</v>
      </c>
      <c r="HB89" t="s">
        <v>3337</v>
      </c>
      <c r="HC89" t="s">
        <v>736</v>
      </c>
      <c r="HD89" t="s">
        <v>3337</v>
      </c>
      <c r="HE89" t="s">
        <v>798</v>
      </c>
      <c r="HF89" t="s">
        <v>3337</v>
      </c>
      <c r="HG89" t="s">
        <v>736</v>
      </c>
      <c r="HH89" t="s">
        <v>3337</v>
      </c>
      <c r="HI89" t="s">
        <v>736</v>
      </c>
      <c r="HJ89" t="s">
        <v>3337</v>
      </c>
      <c r="HK89" t="s">
        <v>746</v>
      </c>
      <c r="HL89" t="s">
        <v>3006</v>
      </c>
      <c r="HM89" t="s">
        <v>746</v>
      </c>
      <c r="HN89" t="s">
        <v>3006</v>
      </c>
      <c r="HO89" t="s">
        <v>746</v>
      </c>
      <c r="HP89" t="s">
        <v>3006</v>
      </c>
      <c r="HQ89" t="s">
        <v>746</v>
      </c>
      <c r="HR89" t="s">
        <v>3006</v>
      </c>
      <c r="HS89" t="s">
        <v>736</v>
      </c>
      <c r="HT89" t="s">
        <v>3338</v>
      </c>
      <c r="HU89" t="s">
        <v>736</v>
      </c>
      <c r="HV89" t="s">
        <v>3338</v>
      </c>
      <c r="HW89" t="s">
        <v>733</v>
      </c>
      <c r="HX89" t="s">
        <v>3339</v>
      </c>
      <c r="HY89" t="s">
        <v>733</v>
      </c>
      <c r="HZ89" t="s">
        <v>3339</v>
      </c>
      <c r="IA89" t="s">
        <v>733</v>
      </c>
      <c r="IB89" t="s">
        <v>3340</v>
      </c>
      <c r="IC89" t="s">
        <v>733</v>
      </c>
      <c r="ID89" t="s">
        <v>3340</v>
      </c>
      <c r="IE89" t="s">
        <v>746</v>
      </c>
      <c r="IF89" t="s">
        <v>3341</v>
      </c>
      <c r="IG89" t="s">
        <v>746</v>
      </c>
      <c r="IH89" t="s">
        <v>3341</v>
      </c>
      <c r="II89" t="s">
        <v>736</v>
      </c>
      <c r="IJ89" t="s">
        <v>2986</v>
      </c>
      <c r="IK89" t="s">
        <v>736</v>
      </c>
      <c r="IL89" t="s">
        <v>2986</v>
      </c>
      <c r="IM89" t="s">
        <v>746</v>
      </c>
      <c r="IN89" t="s">
        <v>3334</v>
      </c>
      <c r="IO89" t="s">
        <v>746</v>
      </c>
      <c r="IP89" t="s">
        <v>3334</v>
      </c>
      <c r="IQ89" t="s">
        <v>746</v>
      </c>
      <c r="IR89" t="s">
        <v>3334</v>
      </c>
      <c r="IS89" t="s">
        <v>746</v>
      </c>
      <c r="IT89" t="s">
        <v>3334</v>
      </c>
      <c r="IU89" t="s">
        <v>746</v>
      </c>
      <c r="IV89" t="s">
        <v>3334</v>
      </c>
      <c r="IW89" t="s">
        <v>746</v>
      </c>
      <c r="IX89" t="s">
        <v>3334</v>
      </c>
      <c r="IY89" t="s">
        <v>746</v>
      </c>
      <c r="IZ89" t="s">
        <v>3334</v>
      </c>
      <c r="JA89" t="s">
        <v>746</v>
      </c>
      <c r="JB89" t="s">
        <v>3334</v>
      </c>
      <c r="JC89" t="s">
        <v>746</v>
      </c>
      <c r="JD89" t="s">
        <v>3334</v>
      </c>
      <c r="JE89" t="s">
        <v>746</v>
      </c>
      <c r="JF89" t="s">
        <v>3334</v>
      </c>
      <c r="JG89" t="s">
        <v>746</v>
      </c>
      <c r="JH89" t="s">
        <v>3334</v>
      </c>
      <c r="JI89" t="s">
        <v>746</v>
      </c>
      <c r="JJ89" t="s">
        <v>3334</v>
      </c>
      <c r="JK89" t="s">
        <v>746</v>
      </c>
      <c r="JL89" t="s">
        <v>3334</v>
      </c>
      <c r="JM89" t="s">
        <v>746</v>
      </c>
      <c r="JN89" t="s">
        <v>3334</v>
      </c>
      <c r="JO89" t="s">
        <v>746</v>
      </c>
      <c r="JP89" t="s">
        <v>3334</v>
      </c>
      <c r="JQ89" t="s">
        <v>746</v>
      </c>
      <c r="JR89" t="s">
        <v>3334</v>
      </c>
      <c r="JS89" t="s">
        <v>746</v>
      </c>
      <c r="JT89" t="s">
        <v>3334</v>
      </c>
      <c r="JU89" t="s">
        <v>746</v>
      </c>
      <c r="JV89" t="s">
        <v>3334</v>
      </c>
      <c r="JW89" t="s">
        <v>746</v>
      </c>
      <c r="JX89" t="s">
        <v>3334</v>
      </c>
      <c r="JY89" t="s">
        <v>746</v>
      </c>
      <c r="JZ89" t="s">
        <v>3334</v>
      </c>
      <c r="KA89" t="s">
        <v>746</v>
      </c>
      <c r="KB89" t="s">
        <v>3334</v>
      </c>
      <c r="KC89" t="s">
        <v>746</v>
      </c>
      <c r="KD89" t="s">
        <v>3334</v>
      </c>
      <c r="KE89" t="s">
        <v>746</v>
      </c>
      <c r="KF89" t="s">
        <v>3334</v>
      </c>
      <c r="KG89" t="s">
        <v>746</v>
      </c>
      <c r="KH89" t="s">
        <v>3334</v>
      </c>
      <c r="KI89" t="s">
        <v>746</v>
      </c>
      <c r="KJ89" t="s">
        <v>3334</v>
      </c>
      <c r="KK89" t="s">
        <v>746</v>
      </c>
      <c r="KL89" t="s">
        <v>3334</v>
      </c>
      <c r="KM89" t="s">
        <v>746</v>
      </c>
      <c r="KN89" t="s">
        <v>3334</v>
      </c>
      <c r="KO89" t="s">
        <v>746</v>
      </c>
      <c r="KP89" t="s">
        <v>3334</v>
      </c>
      <c r="KQ89" t="s">
        <v>746</v>
      </c>
      <c r="KR89" t="s">
        <v>3334</v>
      </c>
      <c r="KS89" t="s">
        <v>746</v>
      </c>
      <c r="KT89" t="s">
        <v>3334</v>
      </c>
      <c r="KU89" t="s">
        <v>746</v>
      </c>
      <c r="KV89" t="s">
        <v>3342</v>
      </c>
      <c r="KW89" t="s">
        <v>746</v>
      </c>
      <c r="KX89" t="s">
        <v>2957</v>
      </c>
      <c r="KY89" t="s">
        <v>746</v>
      </c>
      <c r="KZ89" t="s">
        <v>3334</v>
      </c>
      <c r="LA89" t="s">
        <v>746</v>
      </c>
      <c r="LB89" t="s">
        <v>3334</v>
      </c>
      <c r="LC89" t="s">
        <v>746</v>
      </c>
      <c r="LD89" t="s">
        <v>3343</v>
      </c>
      <c r="LE89" t="s">
        <v>746</v>
      </c>
      <c r="LF89" t="s">
        <v>3343</v>
      </c>
      <c r="LG89" t="s">
        <v>746</v>
      </c>
      <c r="LH89" t="s">
        <v>3334</v>
      </c>
      <c r="LI89" t="s">
        <v>746</v>
      </c>
      <c r="LJ89" t="s">
        <v>3334</v>
      </c>
      <c r="LK89" t="s">
        <v>746</v>
      </c>
      <c r="LL89" t="s">
        <v>3334</v>
      </c>
      <c r="LM89" t="s">
        <v>746</v>
      </c>
      <c r="LN89" t="s">
        <v>3334</v>
      </c>
      <c r="LO89" t="s">
        <v>746</v>
      </c>
      <c r="LP89" t="s">
        <v>3344</v>
      </c>
      <c r="LQ89" t="s">
        <v>746</v>
      </c>
      <c r="LR89" t="s">
        <v>3345</v>
      </c>
      <c r="LS89" t="s">
        <v>733</v>
      </c>
      <c r="LT89" t="s">
        <v>3346</v>
      </c>
      <c r="LU89" t="s">
        <v>733</v>
      </c>
      <c r="LV89" t="s">
        <v>3346</v>
      </c>
      <c r="LW89" t="s">
        <v>746</v>
      </c>
      <c r="LX89" t="s">
        <v>3347</v>
      </c>
      <c r="LY89" t="s">
        <v>746</v>
      </c>
      <c r="LZ89" t="s">
        <v>3347</v>
      </c>
      <c r="MA89" t="s">
        <v>746</v>
      </c>
      <c r="MB89" t="s">
        <v>3347</v>
      </c>
      <c r="MC89" t="s">
        <v>746</v>
      </c>
      <c r="MD89" t="s">
        <v>3347</v>
      </c>
      <c r="ME89" t="s">
        <v>746</v>
      </c>
      <c r="MF89" t="s">
        <v>3347</v>
      </c>
      <c r="MG89" t="s">
        <v>746</v>
      </c>
      <c r="MH89" t="s">
        <v>3347</v>
      </c>
      <c r="MI89" t="s">
        <v>746</v>
      </c>
      <c r="MJ89" t="s">
        <v>1306</v>
      </c>
      <c r="MK89" t="s">
        <v>746</v>
      </c>
      <c r="ML89" t="s">
        <v>1306</v>
      </c>
      <c r="MO89" t="s">
        <v>783</v>
      </c>
      <c r="MP89" t="s">
        <v>783</v>
      </c>
      <c r="MQ89" t="s">
        <v>783</v>
      </c>
      <c r="MR89" t="s">
        <v>783</v>
      </c>
      <c r="MS89" t="s">
        <v>783</v>
      </c>
      <c r="MT89" t="s">
        <v>783</v>
      </c>
      <c r="MU89" t="s">
        <v>783</v>
      </c>
      <c r="MV89" t="s">
        <v>783</v>
      </c>
      <c r="MW89" t="s">
        <v>783</v>
      </c>
      <c r="MX89" t="s">
        <v>783</v>
      </c>
      <c r="MZ89" t="s">
        <v>783</v>
      </c>
      <c r="NA89" t="s">
        <v>783</v>
      </c>
      <c r="NB89" t="s">
        <v>783</v>
      </c>
      <c r="NC89" t="s">
        <v>783</v>
      </c>
      <c r="ND89" t="s">
        <v>783</v>
      </c>
      <c r="NE89" t="s">
        <v>783</v>
      </c>
      <c r="NF89" t="s">
        <v>784</v>
      </c>
      <c r="NG89" t="s">
        <v>907</v>
      </c>
      <c r="NH89" t="s">
        <v>783</v>
      </c>
      <c r="NI89" t="s">
        <v>783</v>
      </c>
      <c r="NJ89" t="s">
        <v>783</v>
      </c>
      <c r="NK89" t="s">
        <v>783</v>
      </c>
      <c r="NL89" t="s">
        <v>783</v>
      </c>
      <c r="NM89" t="s">
        <v>783</v>
      </c>
      <c r="NN89" t="s">
        <v>784</v>
      </c>
      <c r="NO89" t="s">
        <v>784</v>
      </c>
      <c r="NP89" t="s">
        <v>783</v>
      </c>
      <c r="NQ89" t="s">
        <v>783</v>
      </c>
      <c r="NR89" t="s">
        <v>783</v>
      </c>
      <c r="NS89" t="s">
        <v>783</v>
      </c>
      <c r="NT89" t="s">
        <v>783</v>
      </c>
      <c r="NU89" t="s">
        <v>783</v>
      </c>
      <c r="NV89" t="s">
        <v>783</v>
      </c>
      <c r="NW89" t="s">
        <v>783</v>
      </c>
      <c r="NX89" t="s">
        <v>783</v>
      </c>
      <c r="NY89" t="s">
        <v>784</v>
      </c>
      <c r="NZ89" t="s">
        <v>783</v>
      </c>
      <c r="OA89" t="s">
        <v>783</v>
      </c>
      <c r="OB89" t="s">
        <v>784</v>
      </c>
      <c r="OC89" t="s">
        <v>784</v>
      </c>
      <c r="OD89" t="s">
        <v>783</v>
      </c>
      <c r="OE89" t="s">
        <v>783</v>
      </c>
      <c r="OF89" t="s">
        <v>783</v>
      </c>
      <c r="OG89" t="s">
        <v>783</v>
      </c>
      <c r="OH89" t="s">
        <v>783</v>
      </c>
      <c r="OI89" t="s">
        <v>783</v>
      </c>
      <c r="OJ89" t="s">
        <v>783</v>
      </c>
    </row>
    <row r="90" spans="1:400" x14ac:dyDescent="0.25">
      <c r="A90">
        <v>84</v>
      </c>
      <c r="B90" t="s">
        <v>3348</v>
      </c>
      <c r="C90" t="s">
        <v>400</v>
      </c>
      <c r="D90" t="s">
        <v>57</v>
      </c>
      <c r="E90">
        <v>59</v>
      </c>
      <c r="F90" t="s">
        <v>58</v>
      </c>
      <c r="G90" t="s">
        <v>76</v>
      </c>
      <c r="H90" t="s">
        <v>60</v>
      </c>
      <c r="I90" t="s">
        <v>61</v>
      </c>
      <c r="J90" t="s">
        <v>62</v>
      </c>
      <c r="K90" t="s">
        <v>63</v>
      </c>
      <c r="M90" t="s">
        <v>146</v>
      </c>
      <c r="N90" t="s">
        <v>70</v>
      </c>
      <c r="O90">
        <v>3</v>
      </c>
      <c r="P90" s="1">
        <v>49000</v>
      </c>
      <c r="Q90" s="1">
        <v>0</v>
      </c>
      <c r="R90" t="s">
        <v>148</v>
      </c>
      <c r="S90" s="7">
        <v>49000</v>
      </c>
      <c r="T90" t="s">
        <v>70</v>
      </c>
      <c r="U90" s="5">
        <v>0</v>
      </c>
      <c r="V90" s="3" t="s">
        <v>70</v>
      </c>
      <c r="W90" s="5">
        <v>0</v>
      </c>
      <c r="X90" t="s">
        <v>83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 t="s">
        <v>63</v>
      </c>
      <c r="AR90">
        <v>1</v>
      </c>
      <c r="AS90" s="2">
        <v>0.25</v>
      </c>
      <c r="AT90" t="s">
        <v>509</v>
      </c>
      <c r="AU90">
        <v>0</v>
      </c>
      <c r="AV90">
        <v>1</v>
      </c>
      <c r="AW90">
        <v>0</v>
      </c>
      <c r="AX90">
        <v>0</v>
      </c>
      <c r="AY90">
        <v>0</v>
      </c>
      <c r="AZ90" t="s">
        <v>529</v>
      </c>
      <c r="BA90" t="s">
        <v>511</v>
      </c>
      <c r="BB90" t="s">
        <v>533</v>
      </c>
      <c r="BC90" t="s">
        <v>533</v>
      </c>
      <c r="BD90" t="s">
        <v>568</v>
      </c>
      <c r="BE90">
        <v>2017</v>
      </c>
      <c r="BF90">
        <v>6</v>
      </c>
      <c r="BG90" t="s">
        <v>508</v>
      </c>
      <c r="BH90">
        <v>1</v>
      </c>
      <c r="BI90">
        <v>0</v>
      </c>
      <c r="BJ90">
        <v>0</v>
      </c>
      <c r="BK90">
        <v>0</v>
      </c>
      <c r="BL90">
        <v>0</v>
      </c>
      <c r="BM90" t="s">
        <v>84</v>
      </c>
      <c r="BN90" t="s">
        <v>84</v>
      </c>
      <c r="CM90" t="s">
        <v>785</v>
      </c>
      <c r="CN90" t="s">
        <v>63</v>
      </c>
      <c r="CO90" t="s">
        <v>84</v>
      </c>
      <c r="CZ90" s="26"/>
      <c r="DA90" s="27"/>
      <c r="DB90" t="s">
        <v>2996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 t="s">
        <v>3349</v>
      </c>
      <c r="DJ90" t="s">
        <v>63</v>
      </c>
      <c r="DK90" s="35" t="s">
        <v>4262</v>
      </c>
      <c r="DL90" s="37" t="s">
        <v>4257</v>
      </c>
      <c r="DM90" t="s">
        <v>4114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O90" t="s">
        <v>2996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</v>
      </c>
      <c r="EX90" t="s">
        <v>4159</v>
      </c>
      <c r="EY90" t="s">
        <v>4102</v>
      </c>
      <c r="EZ90">
        <v>0</v>
      </c>
      <c r="FA90">
        <v>0</v>
      </c>
      <c r="FB90">
        <v>0</v>
      </c>
      <c r="FC90">
        <v>1</v>
      </c>
      <c r="FG90" t="s">
        <v>4160</v>
      </c>
      <c r="FI90" t="s">
        <v>733</v>
      </c>
      <c r="FJ90" t="s">
        <v>2970</v>
      </c>
      <c r="FK90" t="s">
        <v>743</v>
      </c>
      <c r="FL90" t="s">
        <v>3350</v>
      </c>
      <c r="FM90" t="s">
        <v>733</v>
      </c>
      <c r="FN90" t="s">
        <v>2970</v>
      </c>
      <c r="FO90" t="s">
        <v>746</v>
      </c>
      <c r="FP90" t="s">
        <v>3350</v>
      </c>
      <c r="FQ90" t="s">
        <v>733</v>
      </c>
      <c r="FR90" t="s">
        <v>2970</v>
      </c>
      <c r="FS90" t="s">
        <v>746</v>
      </c>
      <c r="FT90" t="s">
        <v>3350</v>
      </c>
      <c r="FU90" t="s">
        <v>733</v>
      </c>
      <c r="FV90" t="s">
        <v>2970</v>
      </c>
      <c r="FW90" t="s">
        <v>746</v>
      </c>
      <c r="FX90" t="s">
        <v>3350</v>
      </c>
      <c r="FY90" t="s">
        <v>733</v>
      </c>
      <c r="FZ90" t="s">
        <v>2970</v>
      </c>
      <c r="GA90" t="s">
        <v>746</v>
      </c>
      <c r="GB90" t="s">
        <v>3351</v>
      </c>
      <c r="GC90" t="s">
        <v>733</v>
      </c>
      <c r="GD90" t="s">
        <v>2970</v>
      </c>
      <c r="GE90" t="s">
        <v>746</v>
      </c>
      <c r="GF90" t="s">
        <v>3351</v>
      </c>
      <c r="GG90" t="s">
        <v>746</v>
      </c>
      <c r="GH90" t="s">
        <v>2990</v>
      </c>
      <c r="GI90" t="s">
        <v>746</v>
      </c>
      <c r="GJ90" t="s">
        <v>2990</v>
      </c>
      <c r="GK90" t="s">
        <v>733</v>
      </c>
      <c r="GL90" t="s">
        <v>3352</v>
      </c>
      <c r="GM90" t="s">
        <v>746</v>
      </c>
      <c r="GN90" t="s">
        <v>3350</v>
      </c>
      <c r="GO90" t="s">
        <v>746</v>
      </c>
      <c r="GP90" t="s">
        <v>3350</v>
      </c>
      <c r="GQ90" t="s">
        <v>746</v>
      </c>
      <c r="GR90" t="s">
        <v>3351</v>
      </c>
      <c r="GS90" t="s">
        <v>733</v>
      </c>
      <c r="GT90" t="s">
        <v>2971</v>
      </c>
      <c r="GU90" t="s">
        <v>746</v>
      </c>
      <c r="GV90" t="s">
        <v>3351</v>
      </c>
      <c r="GW90" t="s">
        <v>746</v>
      </c>
      <c r="GX90" t="s">
        <v>3353</v>
      </c>
      <c r="GY90" t="s">
        <v>746</v>
      </c>
      <c r="GZ90" t="s">
        <v>3353</v>
      </c>
      <c r="HA90" t="s">
        <v>746</v>
      </c>
      <c r="HB90" t="s">
        <v>3353</v>
      </c>
      <c r="HC90" t="s">
        <v>746</v>
      </c>
      <c r="HD90" t="s">
        <v>3353</v>
      </c>
      <c r="HE90" t="s">
        <v>1729</v>
      </c>
      <c r="HF90" t="s">
        <v>3353</v>
      </c>
      <c r="HG90" t="s">
        <v>746</v>
      </c>
      <c r="HH90" t="s">
        <v>3353</v>
      </c>
      <c r="HI90" t="s">
        <v>746</v>
      </c>
      <c r="HJ90" t="s">
        <v>3353</v>
      </c>
      <c r="HK90" t="s">
        <v>746</v>
      </c>
      <c r="HL90" t="s">
        <v>3353</v>
      </c>
      <c r="HM90" t="s">
        <v>746</v>
      </c>
      <c r="HN90" t="s">
        <v>3353</v>
      </c>
      <c r="HO90" t="s">
        <v>746</v>
      </c>
      <c r="HP90" t="s">
        <v>3353</v>
      </c>
      <c r="HQ90" t="s">
        <v>746</v>
      </c>
      <c r="HR90" t="s">
        <v>3353</v>
      </c>
      <c r="HS90" t="s">
        <v>746</v>
      </c>
      <c r="HT90" t="s">
        <v>3353</v>
      </c>
      <c r="HU90" t="s">
        <v>746</v>
      </c>
      <c r="HV90" t="s">
        <v>3353</v>
      </c>
      <c r="HW90" t="s">
        <v>746</v>
      </c>
      <c r="HX90" t="s">
        <v>3353</v>
      </c>
      <c r="HY90" t="s">
        <v>746</v>
      </c>
      <c r="HZ90" t="s">
        <v>3353</v>
      </c>
      <c r="IA90" t="s">
        <v>746</v>
      </c>
      <c r="IB90" t="s">
        <v>3353</v>
      </c>
      <c r="IC90" t="s">
        <v>746</v>
      </c>
      <c r="ID90" t="s">
        <v>3353</v>
      </c>
      <c r="IE90" t="s">
        <v>746</v>
      </c>
      <c r="IF90" t="s">
        <v>3353</v>
      </c>
      <c r="IG90" t="s">
        <v>746</v>
      </c>
      <c r="IH90" t="s">
        <v>3353</v>
      </c>
      <c r="II90" t="s">
        <v>746</v>
      </c>
      <c r="IJ90" t="s">
        <v>3353</v>
      </c>
      <c r="IK90" t="s">
        <v>746</v>
      </c>
      <c r="IL90" t="s">
        <v>3353</v>
      </c>
      <c r="IM90" t="s">
        <v>746</v>
      </c>
      <c r="IN90" t="s">
        <v>3354</v>
      </c>
      <c r="IO90" t="s">
        <v>746</v>
      </c>
      <c r="IP90" t="s">
        <v>3354</v>
      </c>
      <c r="IQ90" t="s">
        <v>746</v>
      </c>
      <c r="IR90" t="s">
        <v>3354</v>
      </c>
      <c r="IS90" t="s">
        <v>746</v>
      </c>
      <c r="IT90" t="s">
        <v>3354</v>
      </c>
      <c r="IU90" t="s">
        <v>746</v>
      </c>
      <c r="IV90" t="s">
        <v>3354</v>
      </c>
      <c r="IW90" t="s">
        <v>746</v>
      </c>
      <c r="IX90" t="s">
        <v>3354</v>
      </c>
      <c r="IY90" t="s">
        <v>746</v>
      </c>
      <c r="IZ90" t="s">
        <v>3354</v>
      </c>
      <c r="JA90" t="s">
        <v>746</v>
      </c>
      <c r="JB90" t="s">
        <v>3354</v>
      </c>
      <c r="JC90" t="s">
        <v>746</v>
      </c>
      <c r="JD90" t="s">
        <v>3354</v>
      </c>
      <c r="JE90" t="s">
        <v>746</v>
      </c>
      <c r="JF90" t="s">
        <v>3354</v>
      </c>
      <c r="JG90" t="s">
        <v>746</v>
      </c>
      <c r="JH90" t="s">
        <v>3354</v>
      </c>
      <c r="JI90" t="s">
        <v>746</v>
      </c>
      <c r="JJ90" t="s">
        <v>3354</v>
      </c>
      <c r="JK90" t="s">
        <v>746</v>
      </c>
      <c r="JL90" t="s">
        <v>3354</v>
      </c>
      <c r="JM90" t="s">
        <v>746</v>
      </c>
      <c r="JN90" t="s">
        <v>3354</v>
      </c>
      <c r="JO90" t="s">
        <v>746</v>
      </c>
      <c r="JP90" t="s">
        <v>3354</v>
      </c>
      <c r="JQ90" t="s">
        <v>746</v>
      </c>
      <c r="JR90" t="s">
        <v>3354</v>
      </c>
      <c r="JS90" t="s">
        <v>746</v>
      </c>
      <c r="JT90" t="s">
        <v>3354</v>
      </c>
      <c r="JU90" t="s">
        <v>746</v>
      </c>
      <c r="JV90" t="s">
        <v>3354</v>
      </c>
      <c r="JW90" t="s">
        <v>746</v>
      </c>
      <c r="JX90" t="s">
        <v>3354</v>
      </c>
      <c r="JY90" t="s">
        <v>746</v>
      </c>
      <c r="JZ90" t="s">
        <v>3354</v>
      </c>
      <c r="KA90" t="s">
        <v>746</v>
      </c>
      <c r="KB90" t="s">
        <v>3354</v>
      </c>
      <c r="KC90" t="s">
        <v>746</v>
      </c>
      <c r="KD90" t="s">
        <v>3354</v>
      </c>
      <c r="KE90" t="s">
        <v>746</v>
      </c>
      <c r="KF90" t="s">
        <v>3354</v>
      </c>
      <c r="KG90" t="s">
        <v>746</v>
      </c>
      <c r="KH90" t="s">
        <v>3354</v>
      </c>
      <c r="KI90" t="s">
        <v>746</v>
      </c>
      <c r="KJ90" t="s">
        <v>3354</v>
      </c>
      <c r="KK90" t="s">
        <v>746</v>
      </c>
      <c r="KL90" t="s">
        <v>3354</v>
      </c>
      <c r="KM90" t="s">
        <v>746</v>
      </c>
      <c r="KN90" t="s">
        <v>3354</v>
      </c>
      <c r="KO90" t="s">
        <v>746</v>
      </c>
      <c r="KP90" t="s">
        <v>3354</v>
      </c>
      <c r="KQ90" t="s">
        <v>746</v>
      </c>
      <c r="KR90" t="s">
        <v>3354</v>
      </c>
      <c r="KS90" t="s">
        <v>746</v>
      </c>
      <c r="KT90" t="s">
        <v>3354</v>
      </c>
      <c r="KU90" t="s">
        <v>746</v>
      </c>
      <c r="KV90" t="s">
        <v>3354</v>
      </c>
      <c r="KW90" t="s">
        <v>746</v>
      </c>
      <c r="KX90" t="s">
        <v>3354</v>
      </c>
      <c r="KY90" t="s">
        <v>746</v>
      </c>
      <c r="KZ90" t="s">
        <v>3354</v>
      </c>
      <c r="LA90" t="s">
        <v>746</v>
      </c>
      <c r="LB90" t="s">
        <v>3354</v>
      </c>
      <c r="LC90" t="s">
        <v>746</v>
      </c>
      <c r="LD90" t="s">
        <v>3354</v>
      </c>
      <c r="LE90" t="s">
        <v>746</v>
      </c>
      <c r="LF90" t="s">
        <v>3354</v>
      </c>
      <c r="LG90" t="s">
        <v>746</v>
      </c>
      <c r="LH90" t="s">
        <v>3354</v>
      </c>
      <c r="LI90" t="s">
        <v>746</v>
      </c>
      <c r="LJ90" t="s">
        <v>3354</v>
      </c>
      <c r="LK90" t="s">
        <v>746</v>
      </c>
      <c r="LL90" t="s">
        <v>3354</v>
      </c>
      <c r="LM90" t="s">
        <v>746</v>
      </c>
      <c r="LN90" t="s">
        <v>3354</v>
      </c>
      <c r="LO90" t="s">
        <v>746</v>
      </c>
      <c r="LP90" t="s">
        <v>3354</v>
      </c>
      <c r="LQ90" t="s">
        <v>746</v>
      </c>
      <c r="LR90" t="s">
        <v>3354</v>
      </c>
      <c r="LS90" t="s">
        <v>746</v>
      </c>
      <c r="LT90" t="s">
        <v>3354</v>
      </c>
      <c r="LU90" t="s">
        <v>746</v>
      </c>
      <c r="LV90" t="s">
        <v>3354</v>
      </c>
      <c r="LW90" t="s">
        <v>746</v>
      </c>
      <c r="LX90" t="s">
        <v>3354</v>
      </c>
      <c r="LY90" t="s">
        <v>746</v>
      </c>
      <c r="LZ90" t="s">
        <v>3354</v>
      </c>
      <c r="MA90" t="s">
        <v>746</v>
      </c>
      <c r="MB90" t="s">
        <v>3354</v>
      </c>
      <c r="MC90" t="s">
        <v>746</v>
      </c>
      <c r="MD90" t="s">
        <v>3354</v>
      </c>
      <c r="ME90" t="s">
        <v>746</v>
      </c>
      <c r="MF90" t="s">
        <v>3354</v>
      </c>
      <c r="MG90" t="s">
        <v>746</v>
      </c>
      <c r="MH90" t="s">
        <v>3354</v>
      </c>
      <c r="MI90" t="s">
        <v>746</v>
      </c>
      <c r="MJ90" t="s">
        <v>3354</v>
      </c>
      <c r="MK90" t="s">
        <v>746</v>
      </c>
      <c r="ML90" t="s">
        <v>3354</v>
      </c>
      <c r="MO90" t="s">
        <v>783</v>
      </c>
      <c r="MP90" t="s">
        <v>784</v>
      </c>
      <c r="MQ90" t="s">
        <v>783</v>
      </c>
      <c r="MR90" t="s">
        <v>783</v>
      </c>
      <c r="MS90" t="s">
        <v>783</v>
      </c>
      <c r="MT90" t="s">
        <v>783</v>
      </c>
      <c r="MU90" t="s">
        <v>783</v>
      </c>
      <c r="MV90" t="s">
        <v>783</v>
      </c>
      <c r="MW90" t="s">
        <v>783</v>
      </c>
      <c r="MX90" t="s">
        <v>783</v>
      </c>
      <c r="MZ90" t="s">
        <v>783</v>
      </c>
      <c r="NA90" t="s">
        <v>783</v>
      </c>
      <c r="NB90" t="s">
        <v>783</v>
      </c>
      <c r="NC90" t="s">
        <v>783</v>
      </c>
      <c r="ND90" t="s">
        <v>784</v>
      </c>
      <c r="NE90" t="s">
        <v>783</v>
      </c>
      <c r="NF90" t="s">
        <v>784</v>
      </c>
      <c r="NG90" t="s">
        <v>783</v>
      </c>
      <c r="NH90" t="s">
        <v>783</v>
      </c>
      <c r="NI90" t="s">
        <v>783</v>
      </c>
      <c r="NJ90" t="s">
        <v>783</v>
      </c>
      <c r="NK90" t="s">
        <v>783</v>
      </c>
      <c r="NL90" t="s">
        <v>783</v>
      </c>
      <c r="NM90" t="s">
        <v>783</v>
      </c>
      <c r="NN90" t="s">
        <v>784</v>
      </c>
      <c r="NO90" t="s">
        <v>783</v>
      </c>
      <c r="NP90" t="s">
        <v>783</v>
      </c>
      <c r="NQ90" t="s">
        <v>783</v>
      </c>
      <c r="NR90" t="s">
        <v>783</v>
      </c>
      <c r="NS90" t="s">
        <v>783</v>
      </c>
      <c r="NT90" t="s">
        <v>784</v>
      </c>
      <c r="NU90" t="s">
        <v>783</v>
      </c>
      <c r="NV90" t="s">
        <v>784</v>
      </c>
      <c r="NW90" t="s">
        <v>784</v>
      </c>
      <c r="NX90" t="s">
        <v>783</v>
      </c>
      <c r="NY90" t="s">
        <v>784</v>
      </c>
      <c r="NZ90" t="s">
        <v>783</v>
      </c>
      <c r="OA90" t="s">
        <v>783</v>
      </c>
      <c r="OB90" t="s">
        <v>783</v>
      </c>
      <c r="OC90" t="s">
        <v>783</v>
      </c>
      <c r="OD90" t="s">
        <v>783</v>
      </c>
      <c r="OE90" t="s">
        <v>783</v>
      </c>
      <c r="OF90" t="s">
        <v>783</v>
      </c>
      <c r="OG90" t="s">
        <v>783</v>
      </c>
      <c r="OH90" t="s">
        <v>783</v>
      </c>
      <c r="OI90" t="s">
        <v>783</v>
      </c>
      <c r="OJ90" t="s">
        <v>783</v>
      </c>
    </row>
    <row r="91" spans="1:400" x14ac:dyDescent="0.25">
      <c r="A91">
        <v>85</v>
      </c>
      <c r="B91" t="s">
        <v>3355</v>
      </c>
      <c r="C91" t="s">
        <v>403</v>
      </c>
      <c r="D91" t="s">
        <v>97</v>
      </c>
      <c r="E91">
        <v>29</v>
      </c>
      <c r="F91" t="s">
        <v>481</v>
      </c>
      <c r="G91" t="s">
        <v>76</v>
      </c>
      <c r="H91" t="s">
        <v>60</v>
      </c>
      <c r="I91" t="s">
        <v>279</v>
      </c>
      <c r="J91" t="s">
        <v>62</v>
      </c>
      <c r="K91" t="s">
        <v>84</v>
      </c>
      <c r="L91" t="s">
        <v>98</v>
      </c>
      <c r="M91" t="s">
        <v>146</v>
      </c>
      <c r="N91" t="s">
        <v>70</v>
      </c>
      <c r="O91">
        <v>3</v>
      </c>
      <c r="P91" s="1">
        <v>25000</v>
      </c>
      <c r="Q91" s="1">
        <v>0</v>
      </c>
      <c r="R91" t="s">
        <v>81</v>
      </c>
      <c r="S91" s="7">
        <v>25000</v>
      </c>
      <c r="T91" t="s">
        <v>70</v>
      </c>
      <c r="U91" s="5">
        <v>0</v>
      </c>
      <c r="V91" s="3" t="s">
        <v>70</v>
      </c>
      <c r="W91" s="5">
        <v>0</v>
      </c>
      <c r="X91" t="s">
        <v>73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 t="s">
        <v>63</v>
      </c>
      <c r="AR91">
        <v>1</v>
      </c>
      <c r="AS91" s="2">
        <v>0.2</v>
      </c>
      <c r="AT91" t="s">
        <v>509</v>
      </c>
      <c r="AU91">
        <v>0</v>
      </c>
      <c r="AV91">
        <v>1</v>
      </c>
      <c r="AW91">
        <v>0</v>
      </c>
      <c r="AX91">
        <v>0</v>
      </c>
      <c r="AY91">
        <v>0</v>
      </c>
      <c r="AZ91" t="s">
        <v>575</v>
      </c>
      <c r="BA91" t="s">
        <v>71</v>
      </c>
      <c r="BB91" t="s">
        <v>506</v>
      </c>
      <c r="BC91" t="s">
        <v>515</v>
      </c>
      <c r="BD91" t="s">
        <v>513</v>
      </c>
      <c r="BE91">
        <v>2022</v>
      </c>
      <c r="BF91">
        <v>1</v>
      </c>
      <c r="BG91" t="s">
        <v>508</v>
      </c>
      <c r="BH91">
        <v>1</v>
      </c>
      <c r="BI91">
        <v>0</v>
      </c>
      <c r="BJ91">
        <v>0</v>
      </c>
      <c r="BK91">
        <v>0</v>
      </c>
      <c r="BL91">
        <v>0</v>
      </c>
      <c r="BM91" t="s">
        <v>63</v>
      </c>
      <c r="BN91" t="s">
        <v>84</v>
      </c>
      <c r="CM91" t="s">
        <v>1072</v>
      </c>
      <c r="CN91" t="s">
        <v>63</v>
      </c>
      <c r="CO91" t="s">
        <v>84</v>
      </c>
      <c r="CZ91" s="26"/>
      <c r="DA91" s="27"/>
      <c r="DB91" t="s">
        <v>976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J91" t="s">
        <v>84</v>
      </c>
      <c r="DK91" s="35"/>
      <c r="DL91" s="37"/>
      <c r="FI91" t="s">
        <v>733</v>
      </c>
      <c r="FJ91" t="s">
        <v>3356</v>
      </c>
      <c r="FK91" t="s">
        <v>733</v>
      </c>
      <c r="FL91" t="s">
        <v>3356</v>
      </c>
      <c r="FM91" t="s">
        <v>733</v>
      </c>
      <c r="FN91" t="s">
        <v>3356</v>
      </c>
      <c r="FO91" t="s">
        <v>733</v>
      </c>
      <c r="FP91" t="s">
        <v>3356</v>
      </c>
      <c r="FQ91" t="s">
        <v>733</v>
      </c>
      <c r="FR91" t="s">
        <v>3356</v>
      </c>
      <c r="FS91" t="s">
        <v>733</v>
      </c>
      <c r="FT91" t="s">
        <v>3356</v>
      </c>
      <c r="FU91" t="s">
        <v>733</v>
      </c>
      <c r="FV91" t="s">
        <v>3356</v>
      </c>
      <c r="FW91" t="s">
        <v>733</v>
      </c>
      <c r="FX91" t="s">
        <v>3356</v>
      </c>
      <c r="FY91" t="s">
        <v>733</v>
      </c>
      <c r="FZ91" t="s">
        <v>3356</v>
      </c>
      <c r="GA91" t="s">
        <v>733</v>
      </c>
      <c r="GB91" t="s">
        <v>3356</v>
      </c>
      <c r="GC91" t="s">
        <v>733</v>
      </c>
      <c r="GD91" t="s">
        <v>3356</v>
      </c>
      <c r="GE91" t="s">
        <v>733</v>
      </c>
      <c r="GF91" t="s">
        <v>3356</v>
      </c>
      <c r="GG91" t="s">
        <v>733</v>
      </c>
      <c r="GH91" t="s">
        <v>3356</v>
      </c>
      <c r="GI91" t="s">
        <v>733</v>
      </c>
      <c r="GJ91" t="s">
        <v>3356</v>
      </c>
      <c r="GK91" t="s">
        <v>733</v>
      </c>
      <c r="GL91" t="s">
        <v>3356</v>
      </c>
      <c r="GM91" t="s">
        <v>733</v>
      </c>
      <c r="GN91" t="s">
        <v>3356</v>
      </c>
      <c r="GO91" t="s">
        <v>733</v>
      </c>
      <c r="GP91" t="s">
        <v>3356</v>
      </c>
      <c r="GQ91" t="s">
        <v>733</v>
      </c>
      <c r="GR91" t="s">
        <v>3356</v>
      </c>
      <c r="GS91" t="s">
        <v>733</v>
      </c>
      <c r="GT91" t="s">
        <v>3356</v>
      </c>
      <c r="GU91" t="s">
        <v>733</v>
      </c>
      <c r="GV91" t="s">
        <v>3356</v>
      </c>
      <c r="GW91" t="s">
        <v>733</v>
      </c>
      <c r="GX91" t="s">
        <v>3356</v>
      </c>
      <c r="GY91" t="s">
        <v>733</v>
      </c>
      <c r="GZ91" t="s">
        <v>3356</v>
      </c>
      <c r="HA91" t="s">
        <v>733</v>
      </c>
      <c r="HB91" t="s">
        <v>3356</v>
      </c>
      <c r="HC91" t="s">
        <v>733</v>
      </c>
      <c r="HD91" t="s">
        <v>3356</v>
      </c>
      <c r="HE91" t="s">
        <v>733</v>
      </c>
      <c r="HF91" t="s">
        <v>3356</v>
      </c>
      <c r="HG91" t="s">
        <v>733</v>
      </c>
      <c r="HH91" t="s">
        <v>3356</v>
      </c>
      <c r="HI91" t="s">
        <v>733</v>
      </c>
      <c r="HJ91" t="s">
        <v>3356</v>
      </c>
      <c r="HK91" t="s">
        <v>733</v>
      </c>
      <c r="HL91" t="s">
        <v>3356</v>
      </c>
      <c r="HM91" t="s">
        <v>733</v>
      </c>
      <c r="HN91" t="s">
        <v>3356</v>
      </c>
      <c r="HO91" t="s">
        <v>733</v>
      </c>
      <c r="HP91" t="s">
        <v>3356</v>
      </c>
      <c r="HQ91" t="s">
        <v>733</v>
      </c>
      <c r="HR91" t="s">
        <v>3356</v>
      </c>
      <c r="HS91" t="s">
        <v>733</v>
      </c>
      <c r="HT91" t="s">
        <v>3356</v>
      </c>
      <c r="HU91" t="s">
        <v>733</v>
      </c>
      <c r="HV91" t="s">
        <v>3356</v>
      </c>
      <c r="HW91" t="s">
        <v>733</v>
      </c>
      <c r="HX91" t="s">
        <v>3356</v>
      </c>
      <c r="HY91" t="s">
        <v>733</v>
      </c>
      <c r="HZ91" t="s">
        <v>3356</v>
      </c>
      <c r="IA91" t="s">
        <v>733</v>
      </c>
      <c r="IB91" t="s">
        <v>3356</v>
      </c>
      <c r="IC91" t="s">
        <v>733</v>
      </c>
      <c r="ID91" t="s">
        <v>3356</v>
      </c>
      <c r="IE91" t="s">
        <v>733</v>
      </c>
      <c r="IF91" t="s">
        <v>3356</v>
      </c>
      <c r="IG91" t="s">
        <v>733</v>
      </c>
      <c r="IH91" t="s">
        <v>3356</v>
      </c>
      <c r="II91" t="s">
        <v>733</v>
      </c>
      <c r="IJ91" t="s">
        <v>3356</v>
      </c>
      <c r="IK91" t="s">
        <v>733</v>
      </c>
      <c r="IL91" t="s">
        <v>3356</v>
      </c>
      <c r="IM91" t="s">
        <v>733</v>
      </c>
      <c r="IN91" t="s">
        <v>3356</v>
      </c>
      <c r="IO91" t="s">
        <v>733</v>
      </c>
      <c r="IP91" t="s">
        <v>3356</v>
      </c>
      <c r="IQ91" t="s">
        <v>733</v>
      </c>
      <c r="IR91" t="s">
        <v>3356</v>
      </c>
      <c r="IS91" t="s">
        <v>733</v>
      </c>
      <c r="IT91" t="s">
        <v>3356</v>
      </c>
      <c r="IU91" t="s">
        <v>733</v>
      </c>
      <c r="IV91" t="s">
        <v>3356</v>
      </c>
      <c r="IW91" t="s">
        <v>733</v>
      </c>
      <c r="IX91" t="s">
        <v>3356</v>
      </c>
      <c r="IY91" t="s">
        <v>733</v>
      </c>
      <c r="IZ91" t="s">
        <v>3356</v>
      </c>
      <c r="JA91" t="s">
        <v>733</v>
      </c>
      <c r="JB91" t="s">
        <v>3356</v>
      </c>
      <c r="JC91" t="s">
        <v>733</v>
      </c>
      <c r="JD91" t="s">
        <v>3356</v>
      </c>
      <c r="JE91" t="s">
        <v>733</v>
      </c>
      <c r="JF91" t="s">
        <v>3356</v>
      </c>
      <c r="JG91" t="s">
        <v>733</v>
      </c>
      <c r="JH91" t="s">
        <v>3356</v>
      </c>
      <c r="JI91" t="s">
        <v>733</v>
      </c>
      <c r="JJ91" t="s">
        <v>3356</v>
      </c>
      <c r="JK91" t="s">
        <v>733</v>
      </c>
      <c r="JL91" t="s">
        <v>3356</v>
      </c>
      <c r="JM91" t="s">
        <v>733</v>
      </c>
      <c r="JN91" t="s">
        <v>3356</v>
      </c>
      <c r="JO91" t="s">
        <v>733</v>
      </c>
      <c r="JP91" t="s">
        <v>3356</v>
      </c>
      <c r="JQ91" t="s">
        <v>733</v>
      </c>
      <c r="JR91" t="s">
        <v>3356</v>
      </c>
      <c r="JS91" t="s">
        <v>733</v>
      </c>
      <c r="JT91" t="s">
        <v>3356</v>
      </c>
      <c r="JU91" t="s">
        <v>733</v>
      </c>
      <c r="JV91" t="s">
        <v>3356</v>
      </c>
      <c r="JW91" t="s">
        <v>733</v>
      </c>
      <c r="JX91" t="s">
        <v>3356</v>
      </c>
      <c r="JY91" t="s">
        <v>733</v>
      </c>
      <c r="JZ91" t="s">
        <v>3356</v>
      </c>
      <c r="KA91" t="s">
        <v>733</v>
      </c>
      <c r="KB91" t="s">
        <v>3356</v>
      </c>
      <c r="KC91" t="s">
        <v>733</v>
      </c>
      <c r="KD91" t="s">
        <v>3356</v>
      </c>
      <c r="KE91" t="s">
        <v>733</v>
      </c>
      <c r="KF91" t="s">
        <v>3356</v>
      </c>
      <c r="KG91" t="s">
        <v>733</v>
      </c>
      <c r="KH91" t="s">
        <v>3356</v>
      </c>
      <c r="KI91" t="s">
        <v>733</v>
      </c>
      <c r="KJ91" t="s">
        <v>3356</v>
      </c>
      <c r="KK91" t="s">
        <v>733</v>
      </c>
      <c r="KL91" t="s">
        <v>3356</v>
      </c>
      <c r="KM91" t="s">
        <v>733</v>
      </c>
      <c r="KN91" t="s">
        <v>3356</v>
      </c>
      <c r="KO91" t="s">
        <v>733</v>
      </c>
      <c r="KP91" t="s">
        <v>3356</v>
      </c>
      <c r="KQ91" t="s">
        <v>733</v>
      </c>
      <c r="KR91" t="s">
        <v>3356</v>
      </c>
      <c r="KS91" t="s">
        <v>733</v>
      </c>
      <c r="KT91" t="s">
        <v>3356</v>
      </c>
      <c r="KU91" t="s">
        <v>733</v>
      </c>
      <c r="KV91" t="s">
        <v>3356</v>
      </c>
      <c r="KW91" t="s">
        <v>733</v>
      </c>
      <c r="KX91" t="s">
        <v>3356</v>
      </c>
      <c r="KY91" t="s">
        <v>733</v>
      </c>
      <c r="KZ91" t="s">
        <v>3356</v>
      </c>
      <c r="LA91" t="s">
        <v>733</v>
      </c>
      <c r="LB91" t="s">
        <v>3356</v>
      </c>
      <c r="LC91" t="s">
        <v>733</v>
      </c>
      <c r="LD91" t="s">
        <v>3356</v>
      </c>
      <c r="LE91" t="s">
        <v>733</v>
      </c>
      <c r="LF91" t="s">
        <v>3356</v>
      </c>
      <c r="LG91" t="s">
        <v>733</v>
      </c>
      <c r="LH91" t="s">
        <v>3356</v>
      </c>
      <c r="LI91" t="s">
        <v>733</v>
      </c>
      <c r="LJ91" t="s">
        <v>3356</v>
      </c>
      <c r="LK91" t="s">
        <v>733</v>
      </c>
      <c r="LL91" t="s">
        <v>3356</v>
      </c>
      <c r="LM91" t="s">
        <v>733</v>
      </c>
      <c r="LN91" t="s">
        <v>3356</v>
      </c>
      <c r="LO91" t="s">
        <v>733</v>
      </c>
      <c r="LP91" t="s">
        <v>3356</v>
      </c>
      <c r="LQ91" t="s">
        <v>733</v>
      </c>
      <c r="LR91" t="s">
        <v>3356</v>
      </c>
      <c r="LS91" t="s">
        <v>733</v>
      </c>
      <c r="LT91" t="s">
        <v>3356</v>
      </c>
      <c r="LU91" t="s">
        <v>733</v>
      </c>
      <c r="LV91" t="s">
        <v>3356</v>
      </c>
      <c r="LW91" t="s">
        <v>733</v>
      </c>
      <c r="LX91" t="s">
        <v>3356</v>
      </c>
      <c r="LY91" t="s">
        <v>733</v>
      </c>
      <c r="LZ91" t="s">
        <v>3356</v>
      </c>
      <c r="MA91" t="s">
        <v>733</v>
      </c>
      <c r="MB91" t="s">
        <v>3356</v>
      </c>
      <c r="MC91" t="s">
        <v>733</v>
      </c>
      <c r="MD91" t="s">
        <v>3356</v>
      </c>
      <c r="ME91" t="s">
        <v>733</v>
      </c>
      <c r="MF91" t="s">
        <v>3356</v>
      </c>
      <c r="MG91" t="s">
        <v>733</v>
      </c>
      <c r="MH91" t="s">
        <v>3356</v>
      </c>
      <c r="MI91" t="s">
        <v>733</v>
      </c>
      <c r="MJ91" t="s">
        <v>3356</v>
      </c>
      <c r="MK91" t="s">
        <v>733</v>
      </c>
      <c r="ML91" t="s">
        <v>3356</v>
      </c>
      <c r="MO91" t="s">
        <v>783</v>
      </c>
      <c r="MP91" t="s">
        <v>783</v>
      </c>
      <c r="MQ91" t="s">
        <v>783</v>
      </c>
      <c r="MR91" t="s">
        <v>783</v>
      </c>
      <c r="MS91" t="s">
        <v>783</v>
      </c>
      <c r="MT91" t="s">
        <v>783</v>
      </c>
      <c r="MU91" t="s">
        <v>783</v>
      </c>
      <c r="MV91" t="s">
        <v>783</v>
      </c>
      <c r="MW91" t="s">
        <v>783</v>
      </c>
      <c r="MX91" t="s">
        <v>783</v>
      </c>
      <c r="MZ91" t="s">
        <v>784</v>
      </c>
      <c r="NA91" t="s">
        <v>783</v>
      </c>
      <c r="NB91" t="s">
        <v>783</v>
      </c>
      <c r="NC91" t="s">
        <v>783</v>
      </c>
      <c r="ND91" t="s">
        <v>783</v>
      </c>
      <c r="NE91" t="s">
        <v>784</v>
      </c>
      <c r="NF91" t="s">
        <v>907</v>
      </c>
      <c r="NG91" t="s">
        <v>907</v>
      </c>
      <c r="NH91" t="s">
        <v>784</v>
      </c>
      <c r="NI91" t="s">
        <v>907</v>
      </c>
      <c r="NJ91" t="s">
        <v>907</v>
      </c>
      <c r="NK91" t="s">
        <v>783</v>
      </c>
      <c r="NL91" t="s">
        <v>783</v>
      </c>
      <c r="NM91" t="s">
        <v>783</v>
      </c>
      <c r="NN91" t="s">
        <v>784</v>
      </c>
      <c r="NO91" t="s">
        <v>784</v>
      </c>
      <c r="NP91" t="s">
        <v>783</v>
      </c>
      <c r="NQ91" t="s">
        <v>783</v>
      </c>
      <c r="NR91" t="s">
        <v>783</v>
      </c>
      <c r="NS91" t="s">
        <v>783</v>
      </c>
      <c r="NT91" t="s">
        <v>784</v>
      </c>
      <c r="NU91" t="s">
        <v>783</v>
      </c>
      <c r="NV91" t="s">
        <v>784</v>
      </c>
      <c r="NW91" t="s">
        <v>784</v>
      </c>
      <c r="NX91" t="s">
        <v>783</v>
      </c>
      <c r="NY91" t="s">
        <v>784</v>
      </c>
      <c r="NZ91" t="s">
        <v>783</v>
      </c>
      <c r="OA91" t="s">
        <v>783</v>
      </c>
      <c r="OB91" t="s">
        <v>784</v>
      </c>
      <c r="OC91" t="s">
        <v>783</v>
      </c>
      <c r="OD91" t="s">
        <v>783</v>
      </c>
      <c r="OE91" t="s">
        <v>783</v>
      </c>
      <c r="OF91" t="s">
        <v>783</v>
      </c>
      <c r="OG91" t="s">
        <v>783</v>
      </c>
      <c r="OH91" t="s">
        <v>783</v>
      </c>
      <c r="OI91" t="s">
        <v>783</v>
      </c>
      <c r="OJ91" t="s">
        <v>783</v>
      </c>
    </row>
    <row r="92" spans="1:400" x14ac:dyDescent="0.25">
      <c r="A92">
        <v>86</v>
      </c>
      <c r="B92" t="s">
        <v>3357</v>
      </c>
      <c r="C92" t="s">
        <v>406</v>
      </c>
      <c r="D92" t="s">
        <v>97</v>
      </c>
      <c r="E92">
        <v>36</v>
      </c>
      <c r="F92" t="s">
        <v>58</v>
      </c>
      <c r="G92" t="s">
        <v>76</v>
      </c>
      <c r="H92" t="s">
        <v>60</v>
      </c>
      <c r="I92" t="s">
        <v>61</v>
      </c>
      <c r="J92" t="s">
        <v>62</v>
      </c>
      <c r="K92" t="s">
        <v>84</v>
      </c>
      <c r="L92" t="s">
        <v>98</v>
      </c>
      <c r="M92" t="s">
        <v>146</v>
      </c>
      <c r="N92" t="s">
        <v>316</v>
      </c>
      <c r="O92">
        <v>5</v>
      </c>
      <c r="P92" s="1">
        <v>48000</v>
      </c>
      <c r="Q92" s="1">
        <v>0</v>
      </c>
      <c r="R92" t="s">
        <v>148</v>
      </c>
      <c r="S92" s="7">
        <v>6000</v>
      </c>
      <c r="T92" t="s">
        <v>408</v>
      </c>
      <c r="U92" s="5">
        <v>42000</v>
      </c>
      <c r="V92" s="3" t="s">
        <v>70</v>
      </c>
      <c r="W92" s="5">
        <v>0</v>
      </c>
      <c r="X92" t="s">
        <v>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P92" t="s">
        <v>63</v>
      </c>
      <c r="AR92">
        <v>1</v>
      </c>
      <c r="AS92" s="2">
        <v>0.25</v>
      </c>
      <c r="AT92" t="s">
        <v>531</v>
      </c>
      <c r="AU92">
        <v>0</v>
      </c>
      <c r="AV92">
        <v>0</v>
      </c>
      <c r="AW92">
        <v>1</v>
      </c>
      <c r="AX92">
        <v>0</v>
      </c>
      <c r="AY92">
        <v>0</v>
      </c>
      <c r="AZ92" t="s">
        <v>529</v>
      </c>
      <c r="BA92" t="s">
        <v>71</v>
      </c>
      <c r="BB92" t="s">
        <v>568</v>
      </c>
      <c r="BC92" t="s">
        <v>533</v>
      </c>
      <c r="BD92" t="s">
        <v>568</v>
      </c>
      <c r="BE92">
        <v>2020</v>
      </c>
      <c r="BF92">
        <v>3</v>
      </c>
      <c r="BG92" t="s">
        <v>508</v>
      </c>
      <c r="BH92">
        <v>1</v>
      </c>
      <c r="BI92">
        <v>0</v>
      </c>
      <c r="BJ92">
        <v>0</v>
      </c>
      <c r="BK92">
        <v>0</v>
      </c>
      <c r="BL92">
        <v>0</v>
      </c>
      <c r="BM92" t="s">
        <v>84</v>
      </c>
      <c r="BN92" t="s">
        <v>84</v>
      </c>
      <c r="CM92" t="s">
        <v>785</v>
      </c>
      <c r="CN92" t="s">
        <v>63</v>
      </c>
      <c r="CO92" t="s">
        <v>84</v>
      </c>
      <c r="CZ92" s="26"/>
      <c r="DA92" s="27"/>
      <c r="DB92" t="s">
        <v>2996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1</v>
      </c>
      <c r="DI92" t="s">
        <v>3358</v>
      </c>
      <c r="DJ92" t="s">
        <v>84</v>
      </c>
      <c r="DK92" s="35"/>
      <c r="DL92" s="37"/>
      <c r="FI92" t="s">
        <v>736</v>
      </c>
      <c r="FJ92" t="s">
        <v>3359</v>
      </c>
      <c r="FK92" t="s">
        <v>736</v>
      </c>
      <c r="FL92" t="s">
        <v>3359</v>
      </c>
      <c r="FM92" t="s">
        <v>736</v>
      </c>
      <c r="FN92" t="s">
        <v>3359</v>
      </c>
      <c r="FO92" t="s">
        <v>736</v>
      </c>
      <c r="FP92" t="s">
        <v>3359</v>
      </c>
      <c r="FQ92" t="s">
        <v>736</v>
      </c>
      <c r="FR92" t="s">
        <v>3359</v>
      </c>
      <c r="FS92" t="s">
        <v>736</v>
      </c>
      <c r="FT92" t="s">
        <v>3359</v>
      </c>
      <c r="FU92" t="s">
        <v>736</v>
      </c>
      <c r="FV92" t="s">
        <v>3359</v>
      </c>
      <c r="FW92" t="s">
        <v>736</v>
      </c>
      <c r="FX92" t="s">
        <v>3359</v>
      </c>
      <c r="FY92" t="s">
        <v>736</v>
      </c>
      <c r="FZ92" t="s">
        <v>3359</v>
      </c>
      <c r="GA92" t="s">
        <v>736</v>
      </c>
      <c r="GB92" t="s">
        <v>3359</v>
      </c>
      <c r="GC92" t="s">
        <v>736</v>
      </c>
      <c r="GD92" t="s">
        <v>3359</v>
      </c>
      <c r="GE92" t="s">
        <v>736</v>
      </c>
      <c r="GF92" t="s">
        <v>3359</v>
      </c>
      <c r="GG92" t="s">
        <v>733</v>
      </c>
      <c r="GH92" t="s">
        <v>3000</v>
      </c>
      <c r="GI92" t="s">
        <v>733</v>
      </c>
      <c r="GJ92" t="s">
        <v>3000</v>
      </c>
      <c r="GK92" t="s">
        <v>733</v>
      </c>
      <c r="GL92" t="s">
        <v>3000</v>
      </c>
      <c r="GM92" t="s">
        <v>733</v>
      </c>
      <c r="GN92" t="s">
        <v>3000</v>
      </c>
      <c r="GO92" t="s">
        <v>733</v>
      </c>
      <c r="GP92" t="s">
        <v>3000</v>
      </c>
      <c r="GQ92" t="s">
        <v>733</v>
      </c>
      <c r="GR92" t="s">
        <v>3000</v>
      </c>
      <c r="GS92" t="s">
        <v>733</v>
      </c>
      <c r="GT92" t="s">
        <v>3000</v>
      </c>
      <c r="GU92" t="s">
        <v>733</v>
      </c>
      <c r="GV92" t="s">
        <v>3000</v>
      </c>
      <c r="GW92" t="s">
        <v>736</v>
      </c>
      <c r="GX92" t="s">
        <v>3360</v>
      </c>
      <c r="GY92" t="s">
        <v>736</v>
      </c>
      <c r="GZ92" t="s">
        <v>3360</v>
      </c>
      <c r="HA92" t="s">
        <v>736</v>
      </c>
      <c r="HB92" t="s">
        <v>3360</v>
      </c>
      <c r="HC92" t="s">
        <v>736</v>
      </c>
      <c r="HD92" t="s">
        <v>3360</v>
      </c>
      <c r="HE92" t="s">
        <v>798</v>
      </c>
      <c r="HF92" t="s">
        <v>3360</v>
      </c>
      <c r="HG92" t="s">
        <v>736</v>
      </c>
      <c r="HH92" t="s">
        <v>3360</v>
      </c>
      <c r="HI92" t="s">
        <v>736</v>
      </c>
      <c r="HJ92" t="s">
        <v>3360</v>
      </c>
      <c r="HK92" t="s">
        <v>736</v>
      </c>
      <c r="HL92" t="s">
        <v>3360</v>
      </c>
      <c r="HM92" t="s">
        <v>736</v>
      </c>
      <c r="HN92" t="s">
        <v>3360</v>
      </c>
      <c r="HO92" t="s">
        <v>746</v>
      </c>
      <c r="HP92" t="s">
        <v>3361</v>
      </c>
      <c r="HQ92" t="s">
        <v>746</v>
      </c>
      <c r="HR92" t="s">
        <v>3361</v>
      </c>
      <c r="HS92" t="s">
        <v>736</v>
      </c>
      <c r="HT92" t="s">
        <v>3360</v>
      </c>
      <c r="HU92" t="s">
        <v>736</v>
      </c>
      <c r="HV92" t="s">
        <v>3360</v>
      </c>
      <c r="HW92" t="s">
        <v>733</v>
      </c>
      <c r="HX92" t="s">
        <v>3000</v>
      </c>
      <c r="HY92" t="s">
        <v>733</v>
      </c>
      <c r="HZ92" t="s">
        <v>3000</v>
      </c>
      <c r="IA92" t="s">
        <v>736</v>
      </c>
      <c r="IB92" t="s">
        <v>3360</v>
      </c>
      <c r="IC92" t="s">
        <v>736</v>
      </c>
      <c r="ID92" t="s">
        <v>3360</v>
      </c>
      <c r="IE92" t="s">
        <v>736</v>
      </c>
      <c r="IG92" t="s">
        <v>736</v>
      </c>
      <c r="IH92" t="s">
        <v>3360</v>
      </c>
      <c r="II92" t="s">
        <v>736</v>
      </c>
      <c r="IJ92" t="s">
        <v>3360</v>
      </c>
      <c r="IK92" t="s">
        <v>736</v>
      </c>
      <c r="IL92" t="s">
        <v>3360</v>
      </c>
      <c r="IM92" t="s">
        <v>733</v>
      </c>
      <c r="IN92" t="s">
        <v>3362</v>
      </c>
      <c r="IO92" t="s">
        <v>733</v>
      </c>
      <c r="IP92" t="s">
        <v>3362</v>
      </c>
      <c r="IQ92" t="s">
        <v>733</v>
      </c>
      <c r="IR92" t="s">
        <v>3362</v>
      </c>
      <c r="IS92" t="s">
        <v>733</v>
      </c>
      <c r="IT92" t="s">
        <v>3362</v>
      </c>
      <c r="IU92" t="s">
        <v>733</v>
      </c>
      <c r="IV92" t="s">
        <v>3362</v>
      </c>
      <c r="IW92" t="s">
        <v>733</v>
      </c>
      <c r="IX92" t="s">
        <v>3362</v>
      </c>
      <c r="IY92" t="s">
        <v>746</v>
      </c>
      <c r="IZ92" t="s">
        <v>3363</v>
      </c>
      <c r="JA92" t="s">
        <v>746</v>
      </c>
      <c r="JB92" t="s">
        <v>3363</v>
      </c>
      <c r="JC92" t="s">
        <v>733</v>
      </c>
      <c r="JD92" t="s">
        <v>3362</v>
      </c>
      <c r="JE92" t="s">
        <v>733</v>
      </c>
      <c r="JF92" t="s">
        <v>3362</v>
      </c>
      <c r="JG92" t="s">
        <v>733</v>
      </c>
      <c r="JH92" t="s">
        <v>3362</v>
      </c>
      <c r="JI92" t="s">
        <v>733</v>
      </c>
      <c r="JJ92" t="s">
        <v>3362</v>
      </c>
      <c r="JK92" t="s">
        <v>733</v>
      </c>
      <c r="JL92" t="s">
        <v>3362</v>
      </c>
      <c r="JM92" t="s">
        <v>733</v>
      </c>
      <c r="JN92" t="s">
        <v>3362</v>
      </c>
      <c r="JO92" t="s">
        <v>733</v>
      </c>
      <c r="JP92" t="s">
        <v>3362</v>
      </c>
      <c r="JQ92" t="s">
        <v>733</v>
      </c>
      <c r="JR92" t="s">
        <v>3362</v>
      </c>
      <c r="JS92" t="s">
        <v>733</v>
      </c>
      <c r="JT92" t="s">
        <v>3362</v>
      </c>
      <c r="JU92" t="s">
        <v>733</v>
      </c>
      <c r="JV92" t="s">
        <v>3362</v>
      </c>
      <c r="JW92" t="s">
        <v>733</v>
      </c>
      <c r="JX92" t="s">
        <v>3362</v>
      </c>
      <c r="JY92" t="s">
        <v>733</v>
      </c>
      <c r="JZ92" t="s">
        <v>3362</v>
      </c>
      <c r="KA92" t="s">
        <v>733</v>
      </c>
      <c r="KB92" t="s">
        <v>3362</v>
      </c>
      <c r="KC92" t="s">
        <v>733</v>
      </c>
      <c r="KD92" t="s">
        <v>3362</v>
      </c>
      <c r="KE92" t="s">
        <v>733</v>
      </c>
      <c r="KF92" t="s">
        <v>3362</v>
      </c>
      <c r="KG92" t="s">
        <v>733</v>
      </c>
      <c r="KH92" t="s">
        <v>3362</v>
      </c>
      <c r="KI92" t="s">
        <v>733</v>
      </c>
      <c r="KJ92" t="s">
        <v>3362</v>
      </c>
      <c r="KK92" t="s">
        <v>733</v>
      </c>
      <c r="KL92" t="s">
        <v>3362</v>
      </c>
      <c r="KM92" t="s">
        <v>733</v>
      </c>
      <c r="KN92" t="s">
        <v>3362</v>
      </c>
      <c r="KO92" t="s">
        <v>733</v>
      </c>
      <c r="KP92" t="s">
        <v>3362</v>
      </c>
      <c r="KQ92" t="s">
        <v>733</v>
      </c>
      <c r="KR92" t="s">
        <v>3362</v>
      </c>
      <c r="KS92" t="s">
        <v>733</v>
      </c>
      <c r="KT92" t="s">
        <v>3362</v>
      </c>
      <c r="KU92" t="s">
        <v>733</v>
      </c>
      <c r="KV92" t="s">
        <v>3362</v>
      </c>
      <c r="KW92" t="s">
        <v>733</v>
      </c>
      <c r="KX92" t="s">
        <v>3362</v>
      </c>
      <c r="KY92" t="s">
        <v>733</v>
      </c>
      <c r="KZ92" t="s">
        <v>3362</v>
      </c>
      <c r="LA92" t="s">
        <v>733</v>
      </c>
      <c r="LB92" t="s">
        <v>3362</v>
      </c>
      <c r="LC92" t="s">
        <v>736</v>
      </c>
      <c r="LD92" t="s">
        <v>3364</v>
      </c>
      <c r="LE92" t="s">
        <v>736</v>
      </c>
      <c r="LF92" t="s">
        <v>3364</v>
      </c>
      <c r="LG92" t="s">
        <v>736</v>
      </c>
      <c r="LH92" t="s">
        <v>3364</v>
      </c>
      <c r="LI92" t="s">
        <v>736</v>
      </c>
      <c r="LJ92" t="s">
        <v>3364</v>
      </c>
      <c r="LK92" t="s">
        <v>733</v>
      </c>
      <c r="LL92" t="s">
        <v>3365</v>
      </c>
      <c r="LM92" t="s">
        <v>733</v>
      </c>
      <c r="LN92" t="s">
        <v>3365</v>
      </c>
      <c r="LO92" t="s">
        <v>733</v>
      </c>
      <c r="LP92" t="s">
        <v>3365</v>
      </c>
      <c r="LQ92" t="s">
        <v>733</v>
      </c>
      <c r="LR92" t="s">
        <v>3365</v>
      </c>
      <c r="LS92" t="s">
        <v>733</v>
      </c>
      <c r="LT92" t="s">
        <v>3365</v>
      </c>
      <c r="LU92" t="s">
        <v>733</v>
      </c>
      <c r="LV92" t="s">
        <v>3365</v>
      </c>
      <c r="LW92" t="s">
        <v>733</v>
      </c>
      <c r="LX92" t="s">
        <v>3365</v>
      </c>
      <c r="LY92" t="s">
        <v>733</v>
      </c>
      <c r="LZ92" t="s">
        <v>3365</v>
      </c>
      <c r="MA92" t="s">
        <v>733</v>
      </c>
      <c r="MB92" t="s">
        <v>3365</v>
      </c>
      <c r="MC92" t="s">
        <v>733</v>
      </c>
      <c r="MD92" t="s">
        <v>3365</v>
      </c>
      <c r="ME92" t="s">
        <v>736</v>
      </c>
      <c r="MF92" t="s">
        <v>3366</v>
      </c>
      <c r="MG92" t="s">
        <v>736</v>
      </c>
      <c r="MH92" t="s">
        <v>3366</v>
      </c>
      <c r="MI92" t="s">
        <v>733</v>
      </c>
      <c r="MJ92" t="s">
        <v>3365</v>
      </c>
      <c r="MK92" t="s">
        <v>733</v>
      </c>
      <c r="ML92" t="s">
        <v>3365</v>
      </c>
      <c r="MO92" t="s">
        <v>783</v>
      </c>
      <c r="MP92" t="s">
        <v>784</v>
      </c>
      <c r="MQ92" t="s">
        <v>783</v>
      </c>
      <c r="MR92" t="s">
        <v>783</v>
      </c>
      <c r="MS92" t="s">
        <v>783</v>
      </c>
      <c r="MT92" t="s">
        <v>783</v>
      </c>
      <c r="MU92" t="s">
        <v>783</v>
      </c>
      <c r="MV92" t="s">
        <v>783</v>
      </c>
      <c r="MW92" t="s">
        <v>783</v>
      </c>
      <c r="MX92" t="s">
        <v>783</v>
      </c>
      <c r="MZ92" t="s">
        <v>783</v>
      </c>
      <c r="NA92" t="s">
        <v>783</v>
      </c>
      <c r="NB92" t="s">
        <v>783</v>
      </c>
      <c r="NC92" t="s">
        <v>783</v>
      </c>
      <c r="ND92" t="s">
        <v>783</v>
      </c>
      <c r="NE92" t="s">
        <v>783</v>
      </c>
      <c r="NF92" t="s">
        <v>784</v>
      </c>
      <c r="NG92" t="s">
        <v>783</v>
      </c>
      <c r="NH92" t="s">
        <v>783</v>
      </c>
      <c r="NI92" t="s">
        <v>783</v>
      </c>
      <c r="NJ92" t="s">
        <v>784</v>
      </c>
      <c r="NK92" t="s">
        <v>783</v>
      </c>
      <c r="NL92" t="s">
        <v>783</v>
      </c>
      <c r="NM92" t="s">
        <v>783</v>
      </c>
      <c r="NN92" t="s">
        <v>784</v>
      </c>
      <c r="NO92" t="s">
        <v>783</v>
      </c>
      <c r="NP92" t="s">
        <v>783</v>
      </c>
      <c r="NQ92" t="s">
        <v>783</v>
      </c>
      <c r="NR92" t="s">
        <v>783</v>
      </c>
      <c r="NS92" t="s">
        <v>783</v>
      </c>
      <c r="NT92" t="s">
        <v>784</v>
      </c>
      <c r="NU92" t="s">
        <v>783</v>
      </c>
      <c r="NV92" t="s">
        <v>784</v>
      </c>
      <c r="NW92" t="s">
        <v>784</v>
      </c>
      <c r="NX92" t="s">
        <v>783</v>
      </c>
      <c r="NY92" t="s">
        <v>783</v>
      </c>
      <c r="NZ92" t="s">
        <v>784</v>
      </c>
      <c r="OA92" t="s">
        <v>783</v>
      </c>
      <c r="OB92" t="s">
        <v>784</v>
      </c>
      <c r="OC92" t="s">
        <v>784</v>
      </c>
      <c r="OD92" t="s">
        <v>783</v>
      </c>
      <c r="OE92" t="s">
        <v>783</v>
      </c>
      <c r="OF92" t="s">
        <v>783</v>
      </c>
      <c r="OG92" t="s">
        <v>783</v>
      </c>
      <c r="OH92" t="s">
        <v>783</v>
      </c>
      <c r="OI92" t="s">
        <v>783</v>
      </c>
      <c r="OJ92" t="s">
        <v>783</v>
      </c>
    </row>
    <row r="93" spans="1:400" x14ac:dyDescent="0.25">
      <c r="A93">
        <v>87</v>
      </c>
      <c r="B93" t="s">
        <v>410</v>
      </c>
      <c r="C93" t="s">
        <v>411</v>
      </c>
      <c r="D93" t="s">
        <v>57</v>
      </c>
      <c r="E93">
        <v>30</v>
      </c>
      <c r="F93" t="s">
        <v>58</v>
      </c>
      <c r="G93" t="s">
        <v>76</v>
      </c>
      <c r="H93" t="s">
        <v>60</v>
      </c>
      <c r="I93" t="s">
        <v>61</v>
      </c>
      <c r="J93" t="s">
        <v>62</v>
      </c>
      <c r="K93" t="s">
        <v>63</v>
      </c>
      <c r="M93" t="s">
        <v>146</v>
      </c>
      <c r="N93" t="s">
        <v>316</v>
      </c>
      <c r="O93">
        <v>5</v>
      </c>
      <c r="P93" s="1">
        <v>59000</v>
      </c>
      <c r="Q93" s="1">
        <v>0</v>
      </c>
      <c r="R93" t="s">
        <v>148</v>
      </c>
      <c r="S93" s="7">
        <v>17000</v>
      </c>
      <c r="T93" t="s">
        <v>413</v>
      </c>
      <c r="U93" s="5">
        <v>42000</v>
      </c>
      <c r="V93" s="3" t="s">
        <v>70</v>
      </c>
      <c r="W93" s="5">
        <v>0</v>
      </c>
      <c r="X93" t="s">
        <v>94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P93" t="s">
        <v>63</v>
      </c>
      <c r="AR93">
        <v>1</v>
      </c>
      <c r="AS93" s="2">
        <v>0.25</v>
      </c>
      <c r="AT93" t="s">
        <v>503</v>
      </c>
      <c r="AU93">
        <v>0</v>
      </c>
      <c r="AV93">
        <v>0</v>
      </c>
      <c r="AW93">
        <v>0</v>
      </c>
      <c r="AX93">
        <v>1</v>
      </c>
      <c r="AY93">
        <v>0</v>
      </c>
      <c r="AZ93" t="s">
        <v>583</v>
      </c>
      <c r="BA93" t="s">
        <v>71</v>
      </c>
      <c r="BB93" t="s">
        <v>584</v>
      </c>
      <c r="BC93" t="s">
        <v>584</v>
      </c>
      <c r="BD93" t="s">
        <v>578</v>
      </c>
      <c r="BE93">
        <v>2021</v>
      </c>
      <c r="BF93">
        <v>2</v>
      </c>
      <c r="BG93" t="s">
        <v>508</v>
      </c>
      <c r="BH93">
        <v>1</v>
      </c>
      <c r="BI93">
        <v>0</v>
      </c>
      <c r="BJ93">
        <v>0</v>
      </c>
      <c r="BK93">
        <v>0</v>
      </c>
      <c r="BL93">
        <v>0</v>
      </c>
      <c r="BM93" t="s">
        <v>84</v>
      </c>
      <c r="BN93" t="s">
        <v>84</v>
      </c>
      <c r="CM93" t="s">
        <v>785</v>
      </c>
      <c r="CN93" t="s">
        <v>63</v>
      </c>
      <c r="CO93" t="s">
        <v>732</v>
      </c>
      <c r="CP93" t="s">
        <v>4039</v>
      </c>
      <c r="CQ93" t="s">
        <v>2996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 t="s">
        <v>4045</v>
      </c>
      <c r="CY93" t="s">
        <v>4046</v>
      </c>
      <c r="CZ93" s="26" t="s">
        <v>4211</v>
      </c>
      <c r="DA93" s="27" t="s">
        <v>4192</v>
      </c>
      <c r="DJ93" t="s">
        <v>84</v>
      </c>
      <c r="DK93" s="35"/>
      <c r="DL93" s="37"/>
      <c r="FI93" t="s">
        <v>733</v>
      </c>
      <c r="FJ93" t="s">
        <v>3367</v>
      </c>
      <c r="FK93" t="s">
        <v>733</v>
      </c>
      <c r="FL93" t="s">
        <v>3367</v>
      </c>
      <c r="FM93" t="s">
        <v>733</v>
      </c>
      <c r="FN93" t="s">
        <v>3367</v>
      </c>
      <c r="FO93" t="s">
        <v>733</v>
      </c>
      <c r="FP93" t="s">
        <v>3367</v>
      </c>
      <c r="FQ93" t="s">
        <v>746</v>
      </c>
      <c r="FR93" t="s">
        <v>3368</v>
      </c>
      <c r="FS93" t="s">
        <v>746</v>
      </c>
      <c r="FT93" t="s">
        <v>3369</v>
      </c>
      <c r="FU93" t="s">
        <v>733</v>
      </c>
      <c r="FV93" t="s">
        <v>1422</v>
      </c>
      <c r="FW93" t="s">
        <v>733</v>
      </c>
      <c r="FX93" t="s">
        <v>1422</v>
      </c>
      <c r="FY93" t="s">
        <v>733</v>
      </c>
      <c r="FZ93" t="s">
        <v>3370</v>
      </c>
      <c r="GA93" t="s">
        <v>733</v>
      </c>
      <c r="GB93" t="s">
        <v>3370</v>
      </c>
      <c r="GC93" t="s">
        <v>733</v>
      </c>
      <c r="GD93" t="s">
        <v>3370</v>
      </c>
      <c r="GE93" t="s">
        <v>733</v>
      </c>
      <c r="GF93" t="s">
        <v>3370</v>
      </c>
      <c r="GG93" t="s">
        <v>746</v>
      </c>
      <c r="GH93" t="s">
        <v>3371</v>
      </c>
      <c r="GI93" t="s">
        <v>746</v>
      </c>
      <c r="GJ93" t="s">
        <v>3371</v>
      </c>
      <c r="GK93" t="s">
        <v>736</v>
      </c>
      <c r="GL93" t="s">
        <v>3372</v>
      </c>
      <c r="GM93" t="s">
        <v>746</v>
      </c>
      <c r="GN93" t="s">
        <v>3373</v>
      </c>
      <c r="GO93" t="s">
        <v>733</v>
      </c>
      <c r="GP93" t="s">
        <v>3374</v>
      </c>
      <c r="GQ93" t="s">
        <v>733</v>
      </c>
      <c r="GR93" t="s">
        <v>3375</v>
      </c>
      <c r="GS93" t="s">
        <v>733</v>
      </c>
      <c r="GT93" t="s">
        <v>3376</v>
      </c>
      <c r="GU93" t="s">
        <v>733</v>
      </c>
      <c r="GV93" t="s">
        <v>3377</v>
      </c>
      <c r="GW93" t="s">
        <v>746</v>
      </c>
      <c r="GX93" t="s">
        <v>2976</v>
      </c>
      <c r="GY93" t="s">
        <v>746</v>
      </c>
      <c r="GZ93" t="s">
        <v>2976</v>
      </c>
      <c r="HA93" t="s">
        <v>736</v>
      </c>
      <c r="HB93" t="s">
        <v>3378</v>
      </c>
      <c r="HC93" t="s">
        <v>736</v>
      </c>
      <c r="HD93" t="s">
        <v>3378</v>
      </c>
      <c r="HE93" t="s">
        <v>798</v>
      </c>
      <c r="HF93" t="s">
        <v>3378</v>
      </c>
      <c r="HG93" t="s">
        <v>736</v>
      </c>
      <c r="HH93" t="s">
        <v>3378</v>
      </c>
      <c r="HI93" t="s">
        <v>736</v>
      </c>
      <c r="HJ93" t="s">
        <v>3378</v>
      </c>
      <c r="HK93" t="s">
        <v>746</v>
      </c>
      <c r="HL93" t="s">
        <v>3361</v>
      </c>
      <c r="HM93" t="s">
        <v>746</v>
      </c>
      <c r="HN93" t="s">
        <v>3361</v>
      </c>
      <c r="HO93" t="s">
        <v>746</v>
      </c>
      <c r="HP93" t="s">
        <v>3361</v>
      </c>
      <c r="HQ93" t="s">
        <v>746</v>
      </c>
      <c r="HR93" t="s">
        <v>3361</v>
      </c>
      <c r="HS93" t="s">
        <v>736</v>
      </c>
      <c r="HT93" t="s">
        <v>3378</v>
      </c>
      <c r="HU93" t="s">
        <v>736</v>
      </c>
      <c r="HV93" t="s">
        <v>3378</v>
      </c>
      <c r="HW93" t="s">
        <v>736</v>
      </c>
      <c r="HX93" t="s">
        <v>3378</v>
      </c>
      <c r="HY93" t="s">
        <v>736</v>
      </c>
      <c r="HZ93" t="s">
        <v>3378</v>
      </c>
      <c r="IA93" t="s">
        <v>736</v>
      </c>
      <c r="IB93" t="s">
        <v>3378</v>
      </c>
      <c r="IC93" t="s">
        <v>736</v>
      </c>
      <c r="ID93" t="s">
        <v>3378</v>
      </c>
      <c r="IE93" t="s">
        <v>746</v>
      </c>
      <c r="IF93" t="s">
        <v>3379</v>
      </c>
      <c r="IG93" t="s">
        <v>746</v>
      </c>
      <c r="IH93" t="s">
        <v>3379</v>
      </c>
      <c r="II93" t="s">
        <v>733</v>
      </c>
      <c r="IJ93" t="s">
        <v>3380</v>
      </c>
      <c r="IK93" t="s">
        <v>733</v>
      </c>
      <c r="IL93" t="s">
        <v>3380</v>
      </c>
      <c r="IM93" t="s">
        <v>746</v>
      </c>
      <c r="IN93" t="s">
        <v>3381</v>
      </c>
      <c r="IO93" t="s">
        <v>746</v>
      </c>
      <c r="IP93" t="s">
        <v>3381</v>
      </c>
      <c r="IQ93" t="s">
        <v>746</v>
      </c>
      <c r="IR93" t="s">
        <v>3381</v>
      </c>
      <c r="IS93" t="s">
        <v>746</v>
      </c>
      <c r="IT93" t="s">
        <v>3381</v>
      </c>
      <c r="IU93" t="s">
        <v>746</v>
      </c>
      <c r="IV93" t="s">
        <v>3381</v>
      </c>
      <c r="IW93" t="s">
        <v>746</v>
      </c>
      <c r="IX93" t="s">
        <v>3381</v>
      </c>
      <c r="IY93" t="s">
        <v>746</v>
      </c>
      <c r="IZ93" t="s">
        <v>3381</v>
      </c>
      <c r="JA93" t="s">
        <v>746</v>
      </c>
      <c r="JB93" t="s">
        <v>3381</v>
      </c>
      <c r="JC93" t="s">
        <v>746</v>
      </c>
      <c r="JD93" t="s">
        <v>3381</v>
      </c>
      <c r="JE93" t="s">
        <v>746</v>
      </c>
      <c r="JF93" t="s">
        <v>3381</v>
      </c>
      <c r="JG93" t="s">
        <v>746</v>
      </c>
      <c r="JH93" t="s">
        <v>3381</v>
      </c>
      <c r="JI93" t="s">
        <v>746</v>
      </c>
      <c r="JJ93" t="s">
        <v>3381</v>
      </c>
      <c r="JK93" t="s">
        <v>746</v>
      </c>
      <c r="JL93" t="s">
        <v>3381</v>
      </c>
      <c r="JM93" t="s">
        <v>746</v>
      </c>
      <c r="JN93" t="s">
        <v>3381</v>
      </c>
      <c r="JO93" t="s">
        <v>746</v>
      </c>
      <c r="JP93" t="s">
        <v>3381</v>
      </c>
      <c r="JQ93" t="s">
        <v>746</v>
      </c>
      <c r="JR93" t="s">
        <v>3381</v>
      </c>
      <c r="JS93" t="s">
        <v>746</v>
      </c>
      <c r="JT93" t="s">
        <v>3381</v>
      </c>
      <c r="JU93" t="s">
        <v>746</v>
      </c>
      <c r="JV93" t="s">
        <v>3381</v>
      </c>
      <c r="JW93" t="s">
        <v>746</v>
      </c>
      <c r="JX93" t="s">
        <v>3381</v>
      </c>
      <c r="JY93" t="s">
        <v>746</v>
      </c>
      <c r="JZ93" t="s">
        <v>3381</v>
      </c>
      <c r="KA93" t="s">
        <v>746</v>
      </c>
      <c r="KB93" t="s">
        <v>3381</v>
      </c>
      <c r="KC93" t="s">
        <v>746</v>
      </c>
      <c r="KD93" t="s">
        <v>3381</v>
      </c>
      <c r="KE93" t="s">
        <v>746</v>
      </c>
      <c r="KF93" t="s">
        <v>3381</v>
      </c>
      <c r="KG93" t="s">
        <v>746</v>
      </c>
      <c r="KH93" t="s">
        <v>3381</v>
      </c>
      <c r="KI93" t="s">
        <v>746</v>
      </c>
      <c r="KJ93" t="s">
        <v>3381</v>
      </c>
      <c r="KK93" t="s">
        <v>746</v>
      </c>
      <c r="KL93" t="s">
        <v>3381</v>
      </c>
      <c r="KM93" t="s">
        <v>746</v>
      </c>
      <c r="KN93" t="s">
        <v>3381</v>
      </c>
      <c r="KO93" t="s">
        <v>746</v>
      </c>
      <c r="KP93" t="s">
        <v>3381</v>
      </c>
      <c r="KQ93" t="s">
        <v>746</v>
      </c>
      <c r="KR93" t="s">
        <v>3381</v>
      </c>
      <c r="KS93" t="s">
        <v>746</v>
      </c>
      <c r="KT93" t="s">
        <v>3381</v>
      </c>
      <c r="KU93" t="s">
        <v>746</v>
      </c>
      <c r="KV93" t="s">
        <v>3382</v>
      </c>
      <c r="KW93" t="s">
        <v>746</v>
      </c>
      <c r="KX93" t="s">
        <v>3382</v>
      </c>
      <c r="KY93" t="s">
        <v>746</v>
      </c>
      <c r="KZ93" t="s">
        <v>3381</v>
      </c>
      <c r="LA93" t="s">
        <v>746</v>
      </c>
      <c r="LB93" t="s">
        <v>3382</v>
      </c>
      <c r="LC93" t="s">
        <v>733</v>
      </c>
      <c r="LD93" t="s">
        <v>3383</v>
      </c>
      <c r="LE93" t="s">
        <v>746</v>
      </c>
      <c r="LF93" t="s">
        <v>3383</v>
      </c>
      <c r="LG93" t="s">
        <v>746</v>
      </c>
      <c r="LH93" t="s">
        <v>3384</v>
      </c>
      <c r="LI93" t="s">
        <v>746</v>
      </c>
      <c r="LJ93" t="s">
        <v>3385</v>
      </c>
      <c r="LK93" t="s">
        <v>746</v>
      </c>
      <c r="LL93" t="s">
        <v>3371</v>
      </c>
      <c r="LM93" t="s">
        <v>746</v>
      </c>
      <c r="LN93" t="s">
        <v>3371</v>
      </c>
      <c r="LO93" t="s">
        <v>733</v>
      </c>
      <c r="LP93" t="s">
        <v>3386</v>
      </c>
      <c r="LQ93" t="s">
        <v>733</v>
      </c>
      <c r="LR93" t="s">
        <v>3387</v>
      </c>
      <c r="LS93" t="s">
        <v>733</v>
      </c>
      <c r="LT93" t="s">
        <v>3388</v>
      </c>
      <c r="LU93" t="s">
        <v>733</v>
      </c>
      <c r="LV93" t="s">
        <v>3388</v>
      </c>
      <c r="LW93" t="s">
        <v>733</v>
      </c>
      <c r="LX93" t="s">
        <v>3389</v>
      </c>
      <c r="LY93" t="s">
        <v>733</v>
      </c>
      <c r="LZ93" t="s">
        <v>3389</v>
      </c>
      <c r="MA93" t="s">
        <v>733</v>
      </c>
      <c r="MB93" t="s">
        <v>3390</v>
      </c>
      <c r="MC93" t="s">
        <v>733</v>
      </c>
      <c r="MD93" t="s">
        <v>3390</v>
      </c>
      <c r="ME93" t="s">
        <v>733</v>
      </c>
      <c r="MF93" t="s">
        <v>3390</v>
      </c>
      <c r="MG93" t="s">
        <v>733</v>
      </c>
      <c r="MH93" t="s">
        <v>3390</v>
      </c>
      <c r="MI93" t="s">
        <v>746</v>
      </c>
      <c r="MJ93" t="s">
        <v>3381</v>
      </c>
      <c r="MK93" t="s">
        <v>746</v>
      </c>
      <c r="ML93" t="s">
        <v>3371</v>
      </c>
      <c r="MO93" t="s">
        <v>783</v>
      </c>
      <c r="MP93" t="s">
        <v>783</v>
      </c>
      <c r="MQ93" t="s">
        <v>783</v>
      </c>
      <c r="MR93" t="s">
        <v>783</v>
      </c>
      <c r="MS93" t="s">
        <v>783</v>
      </c>
      <c r="MT93" t="s">
        <v>783</v>
      </c>
      <c r="MU93" t="s">
        <v>783</v>
      </c>
      <c r="MV93" t="s">
        <v>783</v>
      </c>
      <c r="MW93" t="s">
        <v>783</v>
      </c>
      <c r="MX93" t="s">
        <v>783</v>
      </c>
      <c r="MZ93" t="s">
        <v>783</v>
      </c>
      <c r="NA93" t="s">
        <v>783</v>
      </c>
      <c r="NB93" t="s">
        <v>783</v>
      </c>
      <c r="NC93" t="s">
        <v>783</v>
      </c>
      <c r="ND93" t="s">
        <v>783</v>
      </c>
      <c r="NE93" t="s">
        <v>784</v>
      </c>
      <c r="NF93" t="s">
        <v>907</v>
      </c>
      <c r="NG93" t="s">
        <v>907</v>
      </c>
      <c r="NH93" t="s">
        <v>783</v>
      </c>
      <c r="NI93" t="s">
        <v>783</v>
      </c>
      <c r="NJ93" t="s">
        <v>783</v>
      </c>
      <c r="NK93" t="s">
        <v>783</v>
      </c>
      <c r="NL93" t="s">
        <v>783</v>
      </c>
      <c r="NM93" t="s">
        <v>783</v>
      </c>
      <c r="NN93" t="s">
        <v>784</v>
      </c>
      <c r="NO93" t="s">
        <v>784</v>
      </c>
      <c r="NP93" t="s">
        <v>784</v>
      </c>
      <c r="NQ93" t="s">
        <v>783</v>
      </c>
      <c r="NR93" t="s">
        <v>783</v>
      </c>
      <c r="NS93" t="s">
        <v>783</v>
      </c>
      <c r="NT93" t="s">
        <v>784</v>
      </c>
      <c r="NU93" t="s">
        <v>783</v>
      </c>
      <c r="NV93" t="s">
        <v>784</v>
      </c>
      <c r="NW93" t="s">
        <v>784</v>
      </c>
      <c r="NX93" t="s">
        <v>783</v>
      </c>
      <c r="NY93" t="s">
        <v>784</v>
      </c>
      <c r="NZ93" t="s">
        <v>783</v>
      </c>
      <c r="OA93" t="s">
        <v>783</v>
      </c>
      <c r="OB93" t="s">
        <v>784</v>
      </c>
      <c r="OC93" t="s">
        <v>784</v>
      </c>
      <c r="OD93" t="s">
        <v>783</v>
      </c>
      <c r="OE93" t="s">
        <v>783</v>
      </c>
      <c r="OF93" t="s">
        <v>783</v>
      </c>
      <c r="OG93" t="s">
        <v>783</v>
      </c>
      <c r="OH93" t="s">
        <v>783</v>
      </c>
      <c r="OI93" t="s">
        <v>783</v>
      </c>
      <c r="OJ93" t="s">
        <v>783</v>
      </c>
    </row>
    <row r="94" spans="1:400" x14ac:dyDescent="0.25">
      <c r="A94">
        <v>88</v>
      </c>
      <c r="B94" t="s">
        <v>430</v>
      </c>
      <c r="C94" t="s">
        <v>70</v>
      </c>
      <c r="D94" t="s">
        <v>97</v>
      </c>
      <c r="E94">
        <v>47</v>
      </c>
      <c r="F94" t="s">
        <v>394</v>
      </c>
      <c r="G94" t="s">
        <v>76</v>
      </c>
      <c r="H94" t="s">
        <v>250</v>
      </c>
      <c r="I94" t="s">
        <v>61</v>
      </c>
      <c r="J94" t="s">
        <v>62</v>
      </c>
      <c r="K94" t="s">
        <v>84</v>
      </c>
      <c r="L94" t="s">
        <v>98</v>
      </c>
      <c r="M94" t="s">
        <v>146</v>
      </c>
      <c r="N94" t="s">
        <v>316</v>
      </c>
      <c r="O94">
        <v>6</v>
      </c>
      <c r="P94" s="1">
        <v>45000</v>
      </c>
      <c r="Q94" s="1">
        <v>0</v>
      </c>
      <c r="R94" t="s">
        <v>148</v>
      </c>
      <c r="S94" s="7">
        <v>15000</v>
      </c>
      <c r="T94" t="s">
        <v>431</v>
      </c>
      <c r="U94" s="5">
        <v>30000</v>
      </c>
      <c r="V94" s="3" t="s">
        <v>70</v>
      </c>
      <c r="W94" s="5">
        <v>0</v>
      </c>
      <c r="X94" t="s">
        <v>73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P94" t="s">
        <v>63</v>
      </c>
      <c r="AR94">
        <v>1</v>
      </c>
      <c r="AS94" s="2">
        <v>0.125</v>
      </c>
      <c r="AT94" t="s">
        <v>509</v>
      </c>
      <c r="AU94">
        <v>0</v>
      </c>
      <c r="AV94">
        <v>1</v>
      </c>
      <c r="AW94">
        <v>0</v>
      </c>
      <c r="AX94">
        <v>0</v>
      </c>
      <c r="AY94">
        <v>0</v>
      </c>
      <c r="AZ94" t="s">
        <v>588</v>
      </c>
      <c r="BA94" t="s">
        <v>71</v>
      </c>
      <c r="BB94" t="s">
        <v>568</v>
      </c>
      <c r="BC94" t="s">
        <v>533</v>
      </c>
      <c r="BD94" t="s">
        <v>568</v>
      </c>
      <c r="BE94">
        <v>2015</v>
      </c>
      <c r="BF94">
        <v>8</v>
      </c>
      <c r="BG94" t="s">
        <v>508</v>
      </c>
      <c r="BH94">
        <v>1</v>
      </c>
      <c r="BI94">
        <v>0</v>
      </c>
      <c r="BJ94">
        <v>0</v>
      </c>
      <c r="BK94">
        <v>0</v>
      </c>
      <c r="BL94">
        <v>0</v>
      </c>
      <c r="BM94" t="s">
        <v>84</v>
      </c>
      <c r="BN94" t="s">
        <v>84</v>
      </c>
      <c r="CM94" t="s">
        <v>785</v>
      </c>
      <c r="CN94" t="s">
        <v>84</v>
      </c>
      <c r="CO94" t="s">
        <v>84</v>
      </c>
      <c r="CZ94" s="26"/>
      <c r="DA94" s="27"/>
      <c r="DB94" t="s">
        <v>976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J94" t="s">
        <v>84</v>
      </c>
      <c r="DK94" s="35"/>
      <c r="DL94" s="37"/>
      <c r="FI94" t="s">
        <v>733</v>
      </c>
      <c r="FJ94" t="s">
        <v>3059</v>
      </c>
      <c r="FK94" t="s">
        <v>733</v>
      </c>
      <c r="FL94" t="s">
        <v>3059</v>
      </c>
      <c r="FM94" t="s">
        <v>733</v>
      </c>
      <c r="FN94" t="s">
        <v>3059</v>
      </c>
      <c r="FO94" t="s">
        <v>733</v>
      </c>
      <c r="FP94" t="s">
        <v>3059</v>
      </c>
      <c r="FQ94" t="s">
        <v>733</v>
      </c>
      <c r="FR94" t="s">
        <v>3059</v>
      </c>
      <c r="FS94" t="s">
        <v>733</v>
      </c>
      <c r="FT94" t="s">
        <v>3059</v>
      </c>
      <c r="FU94" t="s">
        <v>733</v>
      </c>
      <c r="FV94" t="s">
        <v>3059</v>
      </c>
      <c r="FW94" t="s">
        <v>733</v>
      </c>
      <c r="FX94" t="s">
        <v>3059</v>
      </c>
      <c r="FY94" t="s">
        <v>733</v>
      </c>
      <c r="FZ94" t="s">
        <v>3059</v>
      </c>
      <c r="GA94" t="s">
        <v>733</v>
      </c>
      <c r="GB94" t="s">
        <v>3059</v>
      </c>
      <c r="GC94" t="s">
        <v>733</v>
      </c>
      <c r="GD94" t="s">
        <v>3059</v>
      </c>
      <c r="GE94" t="s">
        <v>733</v>
      </c>
      <c r="GF94" t="s">
        <v>3059</v>
      </c>
      <c r="GG94" t="s">
        <v>746</v>
      </c>
      <c r="GH94" t="s">
        <v>3391</v>
      </c>
      <c r="GI94" t="s">
        <v>746</v>
      </c>
      <c r="GJ94" t="s">
        <v>3392</v>
      </c>
      <c r="GK94" t="s">
        <v>733</v>
      </c>
      <c r="GL94" t="s">
        <v>3059</v>
      </c>
      <c r="GM94" t="s">
        <v>733</v>
      </c>
      <c r="GN94" t="s">
        <v>3059</v>
      </c>
      <c r="GO94" t="s">
        <v>733</v>
      </c>
      <c r="GP94" t="s">
        <v>3059</v>
      </c>
      <c r="GQ94" t="s">
        <v>733</v>
      </c>
      <c r="GR94" t="s">
        <v>3059</v>
      </c>
      <c r="GS94" t="s">
        <v>733</v>
      </c>
      <c r="GT94" t="s">
        <v>3059</v>
      </c>
      <c r="GU94" t="s">
        <v>733</v>
      </c>
      <c r="GV94" t="s">
        <v>3059</v>
      </c>
      <c r="GW94" t="s">
        <v>736</v>
      </c>
      <c r="GX94" t="s">
        <v>3393</v>
      </c>
      <c r="GY94" t="s">
        <v>736</v>
      </c>
      <c r="GZ94" t="s">
        <v>3393</v>
      </c>
      <c r="HA94" t="s">
        <v>736</v>
      </c>
      <c r="HB94" t="s">
        <v>3393</v>
      </c>
      <c r="HC94" t="s">
        <v>736</v>
      </c>
      <c r="HD94" t="s">
        <v>3393</v>
      </c>
      <c r="HE94" t="s">
        <v>798</v>
      </c>
      <c r="HF94" t="s">
        <v>3393</v>
      </c>
      <c r="HG94" t="s">
        <v>736</v>
      </c>
      <c r="HH94" t="s">
        <v>3393</v>
      </c>
      <c r="HI94" t="s">
        <v>736</v>
      </c>
      <c r="HJ94" t="s">
        <v>3393</v>
      </c>
      <c r="HK94" t="s">
        <v>736</v>
      </c>
      <c r="HL94" t="s">
        <v>3393</v>
      </c>
      <c r="HM94" t="s">
        <v>736</v>
      </c>
      <c r="HN94" t="s">
        <v>3393</v>
      </c>
      <c r="HO94" t="s">
        <v>746</v>
      </c>
      <c r="HP94" t="s">
        <v>3006</v>
      </c>
      <c r="HQ94" t="s">
        <v>746</v>
      </c>
      <c r="HR94" t="s">
        <v>3006</v>
      </c>
      <c r="HS94" t="s">
        <v>736</v>
      </c>
      <c r="HT94" t="s">
        <v>3393</v>
      </c>
      <c r="HU94" t="s">
        <v>736</v>
      </c>
      <c r="HV94" t="s">
        <v>3393</v>
      </c>
      <c r="HW94" t="s">
        <v>733</v>
      </c>
      <c r="HX94" t="s">
        <v>3394</v>
      </c>
      <c r="HY94" t="s">
        <v>733</v>
      </c>
      <c r="HZ94" t="s">
        <v>3395</v>
      </c>
      <c r="IA94" t="s">
        <v>736</v>
      </c>
      <c r="IB94" t="s">
        <v>3393</v>
      </c>
      <c r="IC94" t="s">
        <v>736</v>
      </c>
      <c r="ID94" t="s">
        <v>3393</v>
      </c>
      <c r="IE94" t="s">
        <v>733</v>
      </c>
      <c r="IF94" t="s">
        <v>3396</v>
      </c>
      <c r="IG94" t="s">
        <v>733</v>
      </c>
      <c r="IH94" t="s">
        <v>3396</v>
      </c>
      <c r="II94" t="s">
        <v>736</v>
      </c>
      <c r="IJ94" t="s">
        <v>3397</v>
      </c>
      <c r="IK94" t="s">
        <v>736</v>
      </c>
      <c r="IL94" t="s">
        <v>3397</v>
      </c>
      <c r="IM94" t="s">
        <v>746</v>
      </c>
      <c r="IN94" t="s">
        <v>3398</v>
      </c>
      <c r="IO94" t="s">
        <v>746</v>
      </c>
      <c r="IP94" t="s">
        <v>3398</v>
      </c>
      <c r="IQ94" t="s">
        <v>746</v>
      </c>
      <c r="IR94" t="s">
        <v>3398</v>
      </c>
      <c r="IS94" t="s">
        <v>746</v>
      </c>
      <c r="IT94" t="s">
        <v>3398</v>
      </c>
      <c r="IU94" t="s">
        <v>746</v>
      </c>
      <c r="IV94" t="s">
        <v>3398</v>
      </c>
      <c r="IW94" t="s">
        <v>746</v>
      </c>
      <c r="IX94" t="s">
        <v>3398</v>
      </c>
      <c r="IY94" t="s">
        <v>746</v>
      </c>
      <c r="IZ94" t="s">
        <v>3398</v>
      </c>
      <c r="JA94" t="s">
        <v>746</v>
      </c>
      <c r="JB94" t="s">
        <v>3398</v>
      </c>
      <c r="JC94" t="s">
        <v>746</v>
      </c>
      <c r="JD94" t="s">
        <v>3398</v>
      </c>
      <c r="JE94" t="s">
        <v>746</v>
      </c>
      <c r="JF94" t="s">
        <v>3398</v>
      </c>
      <c r="JG94" t="s">
        <v>746</v>
      </c>
      <c r="JH94" t="s">
        <v>3398</v>
      </c>
      <c r="JI94" t="s">
        <v>746</v>
      </c>
      <c r="JJ94" t="s">
        <v>3398</v>
      </c>
      <c r="JK94" t="s">
        <v>746</v>
      </c>
      <c r="JL94" t="s">
        <v>3398</v>
      </c>
      <c r="JM94" t="s">
        <v>746</v>
      </c>
      <c r="JN94" t="s">
        <v>3398</v>
      </c>
      <c r="JO94" t="s">
        <v>746</v>
      </c>
      <c r="JP94" t="s">
        <v>3398</v>
      </c>
      <c r="JQ94" t="s">
        <v>746</v>
      </c>
      <c r="JR94" t="s">
        <v>3398</v>
      </c>
      <c r="JS94" t="s">
        <v>746</v>
      </c>
      <c r="JT94" t="s">
        <v>3398</v>
      </c>
      <c r="JU94" t="s">
        <v>746</v>
      </c>
      <c r="JV94" t="s">
        <v>3398</v>
      </c>
      <c r="JW94" t="s">
        <v>746</v>
      </c>
      <c r="JX94" t="s">
        <v>3398</v>
      </c>
      <c r="JY94" t="s">
        <v>746</v>
      </c>
      <c r="JZ94" t="s">
        <v>3398</v>
      </c>
      <c r="KA94" t="s">
        <v>746</v>
      </c>
      <c r="KB94" t="s">
        <v>3398</v>
      </c>
      <c r="KC94" t="s">
        <v>746</v>
      </c>
      <c r="KD94" t="s">
        <v>3398</v>
      </c>
      <c r="KE94" t="s">
        <v>746</v>
      </c>
      <c r="KF94" t="s">
        <v>3398</v>
      </c>
      <c r="KG94" t="s">
        <v>746</v>
      </c>
      <c r="KH94" t="s">
        <v>3398</v>
      </c>
      <c r="KI94" t="s">
        <v>746</v>
      </c>
      <c r="KJ94" t="s">
        <v>3398</v>
      </c>
      <c r="KK94" t="s">
        <v>746</v>
      </c>
      <c r="KL94" t="s">
        <v>3398</v>
      </c>
      <c r="KM94" t="s">
        <v>746</v>
      </c>
      <c r="KN94" t="s">
        <v>3398</v>
      </c>
      <c r="KO94" t="s">
        <v>746</v>
      </c>
      <c r="KP94" t="s">
        <v>3398</v>
      </c>
      <c r="KQ94" t="s">
        <v>746</v>
      </c>
      <c r="KR94" t="s">
        <v>3398</v>
      </c>
      <c r="KS94" t="s">
        <v>746</v>
      </c>
      <c r="KT94" t="s">
        <v>3398</v>
      </c>
      <c r="KU94" t="s">
        <v>746</v>
      </c>
      <c r="KV94" t="s">
        <v>3399</v>
      </c>
      <c r="KW94" t="s">
        <v>746</v>
      </c>
      <c r="KX94" t="s">
        <v>3400</v>
      </c>
      <c r="KY94" t="s">
        <v>746</v>
      </c>
      <c r="KZ94" t="s">
        <v>3398</v>
      </c>
      <c r="LA94" t="s">
        <v>746</v>
      </c>
      <c r="LB94" t="s">
        <v>3398</v>
      </c>
      <c r="LC94" t="s">
        <v>746</v>
      </c>
      <c r="LD94" t="s">
        <v>3401</v>
      </c>
      <c r="LE94" t="s">
        <v>746</v>
      </c>
      <c r="LF94" t="s">
        <v>3401</v>
      </c>
      <c r="LG94" t="s">
        <v>746</v>
      </c>
      <c r="LH94" t="s">
        <v>3401</v>
      </c>
      <c r="LI94" t="s">
        <v>746</v>
      </c>
      <c r="LJ94" t="s">
        <v>3401</v>
      </c>
      <c r="LK94" t="s">
        <v>746</v>
      </c>
      <c r="LL94" t="s">
        <v>3398</v>
      </c>
      <c r="LM94" t="s">
        <v>746</v>
      </c>
      <c r="LN94" t="s">
        <v>3398</v>
      </c>
      <c r="LO94" t="s">
        <v>746</v>
      </c>
      <c r="LP94" t="s">
        <v>3398</v>
      </c>
      <c r="LQ94" t="s">
        <v>746</v>
      </c>
      <c r="LR94" t="s">
        <v>3398</v>
      </c>
      <c r="LS94" t="s">
        <v>733</v>
      </c>
      <c r="LT94" t="s">
        <v>3402</v>
      </c>
      <c r="LU94" t="s">
        <v>733</v>
      </c>
      <c r="LV94" t="s">
        <v>3403</v>
      </c>
      <c r="LW94" t="s">
        <v>746</v>
      </c>
      <c r="LX94" t="s">
        <v>3398</v>
      </c>
      <c r="LY94" t="s">
        <v>746</v>
      </c>
      <c r="LZ94" t="s">
        <v>3398</v>
      </c>
      <c r="MA94" t="s">
        <v>746</v>
      </c>
      <c r="MB94" t="s">
        <v>3398</v>
      </c>
      <c r="MC94" t="s">
        <v>746</v>
      </c>
      <c r="MD94" t="s">
        <v>3398</v>
      </c>
      <c r="ME94" t="s">
        <v>733</v>
      </c>
      <c r="MF94" t="s">
        <v>3404</v>
      </c>
      <c r="MG94" t="s">
        <v>733</v>
      </c>
      <c r="MH94" t="s">
        <v>3404</v>
      </c>
      <c r="MI94" t="s">
        <v>746</v>
      </c>
      <c r="MJ94" t="s">
        <v>3401</v>
      </c>
      <c r="MK94" t="s">
        <v>746</v>
      </c>
      <c r="ML94" t="s">
        <v>3401</v>
      </c>
      <c r="MO94" t="s">
        <v>783</v>
      </c>
      <c r="MP94" t="s">
        <v>783</v>
      </c>
      <c r="MQ94" t="s">
        <v>783</v>
      </c>
      <c r="MR94" t="s">
        <v>783</v>
      </c>
      <c r="MS94" t="s">
        <v>907</v>
      </c>
      <c r="MT94" t="s">
        <v>783</v>
      </c>
      <c r="MU94" t="s">
        <v>783</v>
      </c>
      <c r="MV94" t="s">
        <v>783</v>
      </c>
      <c r="MW94" t="s">
        <v>783</v>
      </c>
      <c r="MX94" t="s">
        <v>783</v>
      </c>
      <c r="MZ94" t="s">
        <v>783</v>
      </c>
      <c r="NA94" t="s">
        <v>783</v>
      </c>
      <c r="NB94" t="s">
        <v>783</v>
      </c>
      <c r="NC94" t="s">
        <v>783</v>
      </c>
      <c r="ND94" t="s">
        <v>783</v>
      </c>
      <c r="NE94" t="s">
        <v>784</v>
      </c>
      <c r="NF94" t="s">
        <v>783</v>
      </c>
      <c r="NG94" t="s">
        <v>783</v>
      </c>
      <c r="NH94" t="s">
        <v>783</v>
      </c>
      <c r="NI94" t="s">
        <v>783</v>
      </c>
      <c r="NJ94" t="s">
        <v>783</v>
      </c>
      <c r="NK94" t="s">
        <v>784</v>
      </c>
      <c r="NL94" t="s">
        <v>783</v>
      </c>
      <c r="NM94" t="s">
        <v>783</v>
      </c>
      <c r="NN94" t="s">
        <v>784</v>
      </c>
      <c r="NO94" t="s">
        <v>784</v>
      </c>
      <c r="NP94" t="s">
        <v>783</v>
      </c>
      <c r="NQ94" t="s">
        <v>783</v>
      </c>
      <c r="NR94" t="s">
        <v>783</v>
      </c>
      <c r="NS94" t="s">
        <v>784</v>
      </c>
      <c r="NT94" t="s">
        <v>784</v>
      </c>
      <c r="NU94" t="s">
        <v>783</v>
      </c>
      <c r="NV94" t="s">
        <v>784</v>
      </c>
      <c r="NW94" t="s">
        <v>784</v>
      </c>
      <c r="NX94" t="s">
        <v>783</v>
      </c>
      <c r="NY94" t="s">
        <v>784</v>
      </c>
      <c r="NZ94" t="s">
        <v>784</v>
      </c>
      <c r="OA94" t="s">
        <v>783</v>
      </c>
      <c r="OB94" t="s">
        <v>783</v>
      </c>
      <c r="OC94" t="s">
        <v>784</v>
      </c>
      <c r="OD94" t="s">
        <v>783</v>
      </c>
      <c r="OE94" t="s">
        <v>783</v>
      </c>
      <c r="OF94" t="s">
        <v>783</v>
      </c>
      <c r="OG94" t="s">
        <v>783</v>
      </c>
      <c r="OH94" t="s">
        <v>783</v>
      </c>
      <c r="OI94" t="s">
        <v>783</v>
      </c>
      <c r="OJ94" t="s">
        <v>783</v>
      </c>
    </row>
    <row r="95" spans="1:400" x14ac:dyDescent="0.25">
      <c r="A95">
        <v>89</v>
      </c>
      <c r="B95" t="s">
        <v>3405</v>
      </c>
      <c r="C95" t="s">
        <v>70</v>
      </c>
      <c r="D95" t="s">
        <v>57</v>
      </c>
      <c r="E95">
        <v>19</v>
      </c>
      <c r="F95" t="s">
        <v>481</v>
      </c>
      <c r="G95" t="s">
        <v>76</v>
      </c>
      <c r="H95" t="s">
        <v>60</v>
      </c>
      <c r="I95" t="s">
        <v>113</v>
      </c>
      <c r="J95" t="s">
        <v>62</v>
      </c>
      <c r="K95" t="s">
        <v>63</v>
      </c>
      <c r="M95" t="s">
        <v>146</v>
      </c>
      <c r="N95" t="s">
        <v>316</v>
      </c>
      <c r="O95">
        <v>3</v>
      </c>
      <c r="P95" s="1">
        <v>19000</v>
      </c>
      <c r="Q95" s="1">
        <v>0</v>
      </c>
      <c r="R95" t="s">
        <v>437</v>
      </c>
      <c r="S95" s="7">
        <v>10000</v>
      </c>
      <c r="T95" t="s">
        <v>439</v>
      </c>
      <c r="U95" s="5">
        <v>9000</v>
      </c>
      <c r="V95" s="3" t="s">
        <v>70</v>
      </c>
      <c r="W95" s="5">
        <v>0</v>
      </c>
      <c r="X95" t="s">
        <v>94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P95" t="s">
        <v>63</v>
      </c>
      <c r="AR95">
        <v>1</v>
      </c>
      <c r="AS95" s="2">
        <v>0.25</v>
      </c>
      <c r="AT95" t="s">
        <v>531</v>
      </c>
      <c r="AU95">
        <v>0</v>
      </c>
      <c r="AV95">
        <v>0</v>
      </c>
      <c r="AW95">
        <v>1</v>
      </c>
      <c r="AX95">
        <v>0</v>
      </c>
      <c r="AY95">
        <v>0</v>
      </c>
      <c r="AZ95" t="s">
        <v>529</v>
      </c>
      <c r="BA95" t="s">
        <v>71</v>
      </c>
      <c r="BB95" t="s">
        <v>506</v>
      </c>
      <c r="BC95" t="s">
        <v>515</v>
      </c>
      <c r="BD95" t="s">
        <v>513</v>
      </c>
      <c r="BE95">
        <v>2020</v>
      </c>
      <c r="BF95">
        <v>3</v>
      </c>
      <c r="BG95" t="s">
        <v>508</v>
      </c>
      <c r="BH95">
        <v>1</v>
      </c>
      <c r="BI95">
        <v>0</v>
      </c>
      <c r="BJ95">
        <v>0</v>
      </c>
      <c r="BK95">
        <v>0</v>
      </c>
      <c r="BL95">
        <v>0</v>
      </c>
      <c r="BM95" t="s">
        <v>84</v>
      </c>
      <c r="BN95" t="s">
        <v>84</v>
      </c>
      <c r="CM95" t="s">
        <v>785</v>
      </c>
      <c r="CN95" t="s">
        <v>84</v>
      </c>
      <c r="CO95" t="s">
        <v>84</v>
      </c>
      <c r="CZ95" s="26"/>
      <c r="DA95" s="27"/>
      <c r="DB95" t="s">
        <v>2996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 t="s">
        <v>3406</v>
      </c>
      <c r="DJ95" t="s">
        <v>63</v>
      </c>
      <c r="DK95" s="35" t="s">
        <v>4158</v>
      </c>
      <c r="DL95" s="37" t="s">
        <v>4257</v>
      </c>
      <c r="DM95" t="s">
        <v>4118</v>
      </c>
      <c r="DN95">
        <v>0</v>
      </c>
      <c r="DO95">
        <v>0</v>
      </c>
      <c r="DP95">
        <v>0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O95" t="s">
        <v>2996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</v>
      </c>
      <c r="EY95" t="s">
        <v>4105</v>
      </c>
      <c r="EZ95">
        <v>0</v>
      </c>
      <c r="FA95">
        <v>0</v>
      </c>
      <c r="FB95">
        <v>1</v>
      </c>
      <c r="FC95">
        <v>0</v>
      </c>
      <c r="FF95" t="s">
        <v>4163</v>
      </c>
      <c r="FI95" t="s">
        <v>733</v>
      </c>
      <c r="FJ95" t="s">
        <v>1763</v>
      </c>
      <c r="FK95" t="s">
        <v>733</v>
      </c>
      <c r="FL95" t="s">
        <v>1763</v>
      </c>
      <c r="FM95" t="s">
        <v>733</v>
      </c>
      <c r="FN95" t="s">
        <v>1763</v>
      </c>
      <c r="FO95" t="s">
        <v>733</v>
      </c>
      <c r="FP95" t="s">
        <v>1763</v>
      </c>
      <c r="FQ95" t="s">
        <v>736</v>
      </c>
      <c r="FR95" t="s">
        <v>3407</v>
      </c>
      <c r="FS95" t="s">
        <v>736</v>
      </c>
      <c r="FT95" t="s">
        <v>3408</v>
      </c>
      <c r="FU95" t="s">
        <v>733</v>
      </c>
      <c r="FV95" t="s">
        <v>1763</v>
      </c>
      <c r="FW95" t="s">
        <v>733</v>
      </c>
      <c r="FX95" t="s">
        <v>1763</v>
      </c>
      <c r="FY95" t="s">
        <v>733</v>
      </c>
      <c r="FZ95" t="s">
        <v>1763</v>
      </c>
      <c r="GA95" t="s">
        <v>733</v>
      </c>
      <c r="GB95" t="s">
        <v>1763</v>
      </c>
      <c r="GC95" t="s">
        <v>733</v>
      </c>
      <c r="GD95" t="s">
        <v>1763</v>
      </c>
      <c r="GE95" t="s">
        <v>733</v>
      </c>
      <c r="GF95" t="s">
        <v>1763</v>
      </c>
      <c r="GG95" t="s">
        <v>746</v>
      </c>
      <c r="GH95" t="s">
        <v>3409</v>
      </c>
      <c r="GI95" t="s">
        <v>746</v>
      </c>
      <c r="GJ95" t="s">
        <v>3409</v>
      </c>
      <c r="GK95" t="s">
        <v>733</v>
      </c>
      <c r="GL95" t="s">
        <v>1763</v>
      </c>
      <c r="GM95" t="s">
        <v>733</v>
      </c>
      <c r="GN95" t="s">
        <v>1763</v>
      </c>
      <c r="GO95" t="s">
        <v>733</v>
      </c>
      <c r="GP95" t="s">
        <v>1763</v>
      </c>
      <c r="GQ95" t="s">
        <v>733</v>
      </c>
      <c r="GR95" t="s">
        <v>1763</v>
      </c>
      <c r="GS95" t="s">
        <v>733</v>
      </c>
      <c r="GT95" t="s">
        <v>1763</v>
      </c>
      <c r="GU95" t="s">
        <v>733</v>
      </c>
      <c r="GV95" t="s">
        <v>1763</v>
      </c>
      <c r="GW95" t="s">
        <v>733</v>
      </c>
      <c r="GX95" t="s">
        <v>3410</v>
      </c>
      <c r="GY95" t="s">
        <v>733</v>
      </c>
      <c r="GZ95" t="s">
        <v>3410</v>
      </c>
      <c r="HA95" t="s">
        <v>733</v>
      </c>
      <c r="HB95" t="s">
        <v>3410</v>
      </c>
      <c r="HC95" t="s">
        <v>733</v>
      </c>
      <c r="HD95" t="s">
        <v>3410</v>
      </c>
      <c r="HE95" t="s">
        <v>733</v>
      </c>
      <c r="HF95" t="s">
        <v>3410</v>
      </c>
      <c r="HG95" t="s">
        <v>733</v>
      </c>
      <c r="HH95" t="s">
        <v>3410</v>
      </c>
      <c r="HI95" t="s">
        <v>733</v>
      </c>
      <c r="HJ95" t="s">
        <v>3410</v>
      </c>
      <c r="HK95" t="s">
        <v>746</v>
      </c>
      <c r="HL95" t="s">
        <v>3411</v>
      </c>
      <c r="HM95" t="s">
        <v>746</v>
      </c>
      <c r="HN95" t="s">
        <v>3411</v>
      </c>
      <c r="HO95" t="s">
        <v>746</v>
      </c>
      <c r="HP95" t="s">
        <v>3411</v>
      </c>
      <c r="HQ95" t="s">
        <v>746</v>
      </c>
      <c r="HR95" t="s">
        <v>3411</v>
      </c>
      <c r="HS95" t="s">
        <v>736</v>
      </c>
      <c r="HT95" t="s">
        <v>3412</v>
      </c>
      <c r="HU95" t="s">
        <v>736</v>
      </c>
      <c r="HV95" t="s">
        <v>3412</v>
      </c>
      <c r="HW95" t="s">
        <v>736</v>
      </c>
      <c r="HX95" t="s">
        <v>3413</v>
      </c>
      <c r="HY95" t="s">
        <v>736</v>
      </c>
      <c r="HZ95" t="s">
        <v>3412</v>
      </c>
      <c r="IA95" t="s">
        <v>733</v>
      </c>
      <c r="IB95" t="s">
        <v>3414</v>
      </c>
      <c r="IC95" t="s">
        <v>733</v>
      </c>
      <c r="ID95" t="s">
        <v>3414</v>
      </c>
      <c r="IE95" t="s">
        <v>746</v>
      </c>
      <c r="IF95" t="s">
        <v>3415</v>
      </c>
      <c r="IG95" t="s">
        <v>746</v>
      </c>
      <c r="IH95" t="s">
        <v>3415</v>
      </c>
      <c r="II95" t="s">
        <v>733</v>
      </c>
      <c r="IJ95" t="s">
        <v>3416</v>
      </c>
      <c r="IK95" t="s">
        <v>733</v>
      </c>
      <c r="IL95" t="s">
        <v>3416</v>
      </c>
      <c r="IM95" t="s">
        <v>746</v>
      </c>
      <c r="IN95" t="s">
        <v>3417</v>
      </c>
      <c r="IO95" t="s">
        <v>746</v>
      </c>
      <c r="IP95" t="s">
        <v>3417</v>
      </c>
      <c r="IQ95" t="s">
        <v>746</v>
      </c>
      <c r="IR95" t="s">
        <v>3417</v>
      </c>
      <c r="IS95" t="s">
        <v>746</v>
      </c>
      <c r="IT95" t="s">
        <v>3417</v>
      </c>
      <c r="IU95" t="s">
        <v>746</v>
      </c>
      <c r="IV95" t="s">
        <v>3417</v>
      </c>
      <c r="IW95" t="s">
        <v>746</v>
      </c>
      <c r="IX95" t="s">
        <v>3417</v>
      </c>
      <c r="IY95" t="s">
        <v>746</v>
      </c>
      <c r="IZ95" t="s">
        <v>3417</v>
      </c>
      <c r="JA95" t="s">
        <v>746</v>
      </c>
      <c r="JB95" t="s">
        <v>3417</v>
      </c>
      <c r="JC95" t="s">
        <v>746</v>
      </c>
      <c r="JD95" t="s">
        <v>3417</v>
      </c>
      <c r="JE95" t="s">
        <v>746</v>
      </c>
      <c r="JF95" t="s">
        <v>3417</v>
      </c>
      <c r="JG95" t="s">
        <v>746</v>
      </c>
      <c r="JH95" t="s">
        <v>3417</v>
      </c>
      <c r="JI95" t="s">
        <v>746</v>
      </c>
      <c r="JJ95" t="s">
        <v>3417</v>
      </c>
      <c r="JK95" t="s">
        <v>746</v>
      </c>
      <c r="JL95" t="s">
        <v>3417</v>
      </c>
      <c r="JM95" t="s">
        <v>746</v>
      </c>
      <c r="JN95" t="s">
        <v>3417</v>
      </c>
      <c r="JO95" t="s">
        <v>746</v>
      </c>
      <c r="JP95" t="s">
        <v>3417</v>
      </c>
      <c r="JQ95" t="s">
        <v>746</v>
      </c>
      <c r="JR95" t="s">
        <v>3417</v>
      </c>
      <c r="JS95" t="s">
        <v>746</v>
      </c>
      <c r="JT95" t="s">
        <v>3417</v>
      </c>
      <c r="JU95" t="s">
        <v>746</v>
      </c>
      <c r="JV95" t="s">
        <v>3417</v>
      </c>
      <c r="JW95" t="s">
        <v>746</v>
      </c>
      <c r="JX95" t="s">
        <v>3417</v>
      </c>
      <c r="JY95" t="s">
        <v>746</v>
      </c>
      <c r="JZ95" t="s">
        <v>3417</v>
      </c>
      <c r="KA95" t="s">
        <v>746</v>
      </c>
      <c r="KB95" t="s">
        <v>3417</v>
      </c>
      <c r="KC95" t="s">
        <v>746</v>
      </c>
      <c r="KD95" t="s">
        <v>3417</v>
      </c>
      <c r="KE95" t="s">
        <v>746</v>
      </c>
      <c r="KF95" t="s">
        <v>3417</v>
      </c>
      <c r="KG95" t="s">
        <v>746</v>
      </c>
      <c r="KH95" t="s">
        <v>3417</v>
      </c>
      <c r="KI95" t="s">
        <v>746</v>
      </c>
      <c r="KJ95" t="s">
        <v>3417</v>
      </c>
      <c r="KK95" t="s">
        <v>746</v>
      </c>
      <c r="KL95" t="s">
        <v>3417</v>
      </c>
      <c r="KM95" t="s">
        <v>746</v>
      </c>
      <c r="KN95" t="s">
        <v>3417</v>
      </c>
      <c r="KO95" t="s">
        <v>746</v>
      </c>
      <c r="KP95" t="s">
        <v>3417</v>
      </c>
      <c r="KQ95" t="s">
        <v>746</v>
      </c>
      <c r="KR95" t="s">
        <v>3417</v>
      </c>
      <c r="KS95" t="s">
        <v>746</v>
      </c>
      <c r="KT95" t="s">
        <v>3417</v>
      </c>
      <c r="KU95" t="s">
        <v>746</v>
      </c>
      <c r="KV95" t="s">
        <v>3417</v>
      </c>
      <c r="KW95" t="s">
        <v>746</v>
      </c>
      <c r="KX95" t="s">
        <v>3417</v>
      </c>
      <c r="KY95" t="s">
        <v>746</v>
      </c>
      <c r="KZ95" t="s">
        <v>3417</v>
      </c>
      <c r="LA95" t="s">
        <v>746</v>
      </c>
      <c r="LB95" t="s">
        <v>3417</v>
      </c>
      <c r="LC95" t="s">
        <v>736</v>
      </c>
      <c r="LD95" t="s">
        <v>3412</v>
      </c>
      <c r="LE95" t="s">
        <v>736</v>
      </c>
      <c r="LF95" t="s">
        <v>3412</v>
      </c>
      <c r="LG95" t="s">
        <v>736</v>
      </c>
      <c r="LH95" t="s">
        <v>3412</v>
      </c>
      <c r="LI95" t="s">
        <v>736</v>
      </c>
      <c r="LJ95" t="s">
        <v>3412</v>
      </c>
      <c r="LK95" t="s">
        <v>746</v>
      </c>
      <c r="LL95" t="s">
        <v>3418</v>
      </c>
      <c r="LM95" t="s">
        <v>746</v>
      </c>
      <c r="LN95" t="s">
        <v>3418</v>
      </c>
      <c r="LO95" t="s">
        <v>746</v>
      </c>
      <c r="LP95" t="s">
        <v>3419</v>
      </c>
      <c r="LQ95" t="s">
        <v>746</v>
      </c>
      <c r="LR95" t="s">
        <v>3419</v>
      </c>
      <c r="LS95" t="s">
        <v>746</v>
      </c>
      <c r="LT95" t="s">
        <v>3420</v>
      </c>
      <c r="LU95" t="s">
        <v>746</v>
      </c>
      <c r="LV95" t="s">
        <v>3420</v>
      </c>
      <c r="LW95" t="s">
        <v>746</v>
      </c>
      <c r="LX95" t="s">
        <v>3420</v>
      </c>
      <c r="LY95" t="s">
        <v>746</v>
      </c>
      <c r="LZ95" t="s">
        <v>3420</v>
      </c>
      <c r="MA95" t="s">
        <v>746</v>
      </c>
      <c r="MB95" t="s">
        <v>3420</v>
      </c>
      <c r="MC95" t="s">
        <v>746</v>
      </c>
      <c r="MD95" t="s">
        <v>3420</v>
      </c>
      <c r="ME95" t="s">
        <v>746</v>
      </c>
      <c r="MF95" t="s">
        <v>3420</v>
      </c>
      <c r="MG95" t="s">
        <v>746</v>
      </c>
      <c r="MH95" t="s">
        <v>3420</v>
      </c>
      <c r="MI95" t="s">
        <v>746</v>
      </c>
      <c r="MJ95" t="s">
        <v>3371</v>
      </c>
      <c r="MK95" t="s">
        <v>746</v>
      </c>
      <c r="ML95" t="s">
        <v>3371</v>
      </c>
      <c r="MO95" t="s">
        <v>783</v>
      </c>
      <c r="MP95" t="s">
        <v>783</v>
      </c>
      <c r="MQ95" t="s">
        <v>783</v>
      </c>
      <c r="MR95" t="s">
        <v>783</v>
      </c>
      <c r="MS95" t="s">
        <v>784</v>
      </c>
      <c r="MT95" t="s">
        <v>907</v>
      </c>
      <c r="MU95" t="s">
        <v>784</v>
      </c>
      <c r="MV95" t="s">
        <v>783</v>
      </c>
      <c r="MW95" t="s">
        <v>907</v>
      </c>
      <c r="MX95" t="s">
        <v>907</v>
      </c>
      <c r="MZ95" t="s">
        <v>783</v>
      </c>
      <c r="NA95" t="s">
        <v>783</v>
      </c>
      <c r="NB95" t="s">
        <v>783</v>
      </c>
      <c r="NC95" t="s">
        <v>783</v>
      </c>
      <c r="ND95" t="s">
        <v>783</v>
      </c>
      <c r="NE95" t="s">
        <v>907</v>
      </c>
      <c r="NF95" t="s">
        <v>783</v>
      </c>
      <c r="NG95" t="s">
        <v>783</v>
      </c>
      <c r="NH95" t="s">
        <v>784</v>
      </c>
      <c r="NI95" t="s">
        <v>783</v>
      </c>
      <c r="NJ95" t="s">
        <v>907</v>
      </c>
      <c r="NK95" t="s">
        <v>783</v>
      </c>
      <c r="NL95" t="s">
        <v>783</v>
      </c>
      <c r="NM95" t="s">
        <v>783</v>
      </c>
      <c r="NN95" t="s">
        <v>784</v>
      </c>
      <c r="NO95" t="s">
        <v>907</v>
      </c>
      <c r="NP95" t="s">
        <v>907</v>
      </c>
      <c r="NQ95" t="s">
        <v>783</v>
      </c>
      <c r="NR95" t="s">
        <v>783</v>
      </c>
      <c r="NS95" t="s">
        <v>907</v>
      </c>
      <c r="NT95" t="s">
        <v>784</v>
      </c>
      <c r="NU95" t="s">
        <v>907</v>
      </c>
      <c r="NV95" t="s">
        <v>784</v>
      </c>
      <c r="NW95" t="s">
        <v>907</v>
      </c>
      <c r="NX95" t="s">
        <v>784</v>
      </c>
      <c r="NY95" t="s">
        <v>784</v>
      </c>
      <c r="NZ95" t="s">
        <v>907</v>
      </c>
      <c r="OA95" t="s">
        <v>907</v>
      </c>
      <c r="OB95" t="s">
        <v>784</v>
      </c>
      <c r="OC95" t="s">
        <v>784</v>
      </c>
      <c r="OD95" t="s">
        <v>783</v>
      </c>
      <c r="OE95" t="s">
        <v>783</v>
      </c>
      <c r="OF95" t="s">
        <v>783</v>
      </c>
      <c r="OG95" t="s">
        <v>907</v>
      </c>
      <c r="OH95" t="s">
        <v>783</v>
      </c>
      <c r="OI95" t="s">
        <v>783</v>
      </c>
      <c r="OJ95" t="s">
        <v>783</v>
      </c>
    </row>
    <row r="96" spans="1:400" x14ac:dyDescent="0.25">
      <c r="A96">
        <v>90</v>
      </c>
      <c r="B96" t="s">
        <v>3421</v>
      </c>
      <c r="C96" t="s">
        <v>70</v>
      </c>
      <c r="D96" t="s">
        <v>57</v>
      </c>
      <c r="E96">
        <v>33</v>
      </c>
      <c r="F96" t="s">
        <v>481</v>
      </c>
      <c r="G96" t="s">
        <v>76</v>
      </c>
      <c r="H96" t="s">
        <v>60</v>
      </c>
      <c r="I96" t="s">
        <v>61</v>
      </c>
      <c r="J96" t="s">
        <v>62</v>
      </c>
      <c r="K96" t="s">
        <v>63</v>
      </c>
      <c r="M96" t="s">
        <v>146</v>
      </c>
      <c r="N96" t="s">
        <v>316</v>
      </c>
      <c r="O96">
        <v>5</v>
      </c>
      <c r="P96" s="1">
        <v>34000</v>
      </c>
      <c r="Q96" s="1">
        <v>4000</v>
      </c>
      <c r="R96" t="s">
        <v>148</v>
      </c>
      <c r="S96" s="7">
        <v>20000</v>
      </c>
      <c r="T96" t="s">
        <v>434</v>
      </c>
      <c r="U96" s="5">
        <v>10000</v>
      </c>
      <c r="V96" s="3" t="s">
        <v>224</v>
      </c>
      <c r="W96" s="5">
        <v>4000</v>
      </c>
      <c r="X96" t="s">
        <v>73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P96" t="s">
        <v>63</v>
      </c>
      <c r="AR96">
        <v>1</v>
      </c>
      <c r="AS96" s="2">
        <v>0.25</v>
      </c>
      <c r="AT96" t="s">
        <v>509</v>
      </c>
      <c r="AU96">
        <v>0</v>
      </c>
      <c r="AV96">
        <v>1</v>
      </c>
      <c r="AW96">
        <v>0</v>
      </c>
      <c r="AX96">
        <v>0</v>
      </c>
      <c r="AY96">
        <v>0</v>
      </c>
      <c r="AZ96" t="s">
        <v>529</v>
      </c>
      <c r="BA96" t="s">
        <v>71</v>
      </c>
      <c r="BB96" t="s">
        <v>568</v>
      </c>
      <c r="BC96" t="s">
        <v>533</v>
      </c>
      <c r="BD96" t="s">
        <v>521</v>
      </c>
      <c r="BE96">
        <v>2018</v>
      </c>
      <c r="BF96">
        <v>5</v>
      </c>
      <c r="BG96" t="s">
        <v>508</v>
      </c>
      <c r="BH96">
        <v>1</v>
      </c>
      <c r="BI96">
        <v>0</v>
      </c>
      <c r="BJ96">
        <v>0</v>
      </c>
      <c r="BK96">
        <v>0</v>
      </c>
      <c r="BL96">
        <v>0</v>
      </c>
      <c r="BM96" t="s">
        <v>63</v>
      </c>
      <c r="BN96" t="s">
        <v>63</v>
      </c>
      <c r="BO96" t="s">
        <v>3913</v>
      </c>
      <c r="BP96" t="s">
        <v>3889</v>
      </c>
      <c r="BR96" t="s">
        <v>3919</v>
      </c>
      <c r="BS96" t="s">
        <v>3838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CA96" t="s">
        <v>3839</v>
      </c>
      <c r="CC96" t="s">
        <v>3920</v>
      </c>
      <c r="CD96" t="s">
        <v>3841</v>
      </c>
      <c r="CE96" t="s">
        <v>3867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0</v>
      </c>
      <c r="CN96" t="s">
        <v>84</v>
      </c>
      <c r="CO96" t="s">
        <v>84</v>
      </c>
      <c r="CZ96" s="26"/>
      <c r="DA96" s="27"/>
      <c r="DB96" t="s">
        <v>976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J96" t="s">
        <v>84</v>
      </c>
      <c r="DK96" s="35"/>
      <c r="DL96" s="37"/>
      <c r="FI96" t="s">
        <v>733</v>
      </c>
      <c r="FJ96" t="s">
        <v>3422</v>
      </c>
      <c r="FK96" t="s">
        <v>733</v>
      </c>
      <c r="FL96" t="s">
        <v>3422</v>
      </c>
      <c r="FM96" t="s">
        <v>733</v>
      </c>
      <c r="FN96" t="s">
        <v>3422</v>
      </c>
      <c r="FO96" t="s">
        <v>733</v>
      </c>
      <c r="FP96" t="s">
        <v>3422</v>
      </c>
      <c r="FQ96" t="s">
        <v>733</v>
      </c>
      <c r="FR96" t="s">
        <v>3422</v>
      </c>
      <c r="FS96" t="s">
        <v>733</v>
      </c>
      <c r="FT96" t="s">
        <v>3422</v>
      </c>
      <c r="FU96" t="s">
        <v>733</v>
      </c>
      <c r="FV96" t="s">
        <v>3422</v>
      </c>
      <c r="FW96" t="s">
        <v>733</v>
      </c>
      <c r="FX96" t="s">
        <v>3422</v>
      </c>
      <c r="FY96" t="s">
        <v>733</v>
      </c>
      <c r="FZ96" t="s">
        <v>3422</v>
      </c>
      <c r="GA96" t="s">
        <v>733</v>
      </c>
      <c r="GB96" t="s">
        <v>3422</v>
      </c>
      <c r="GC96" t="s">
        <v>733</v>
      </c>
      <c r="GD96" t="s">
        <v>3422</v>
      </c>
      <c r="GE96" t="s">
        <v>733</v>
      </c>
      <c r="GF96" t="s">
        <v>3422</v>
      </c>
      <c r="GG96" t="s">
        <v>746</v>
      </c>
      <c r="GH96" t="s">
        <v>2961</v>
      </c>
      <c r="GI96" t="s">
        <v>746</v>
      </c>
      <c r="GJ96" t="s">
        <v>2961</v>
      </c>
      <c r="GK96" t="s">
        <v>733</v>
      </c>
      <c r="GL96" t="s">
        <v>3422</v>
      </c>
      <c r="GM96" t="s">
        <v>733</v>
      </c>
      <c r="GN96" t="s">
        <v>3422</v>
      </c>
      <c r="GO96" t="s">
        <v>733</v>
      </c>
      <c r="GP96" t="s">
        <v>3422</v>
      </c>
      <c r="GQ96" t="s">
        <v>733</v>
      </c>
      <c r="GR96" t="s">
        <v>3422</v>
      </c>
      <c r="GS96" t="s">
        <v>733</v>
      </c>
      <c r="GT96" t="s">
        <v>3422</v>
      </c>
      <c r="GU96" t="s">
        <v>733</v>
      </c>
      <c r="GV96" t="s">
        <v>3422</v>
      </c>
      <c r="GW96" t="s">
        <v>736</v>
      </c>
      <c r="GX96" t="s">
        <v>3423</v>
      </c>
      <c r="GY96" t="s">
        <v>736</v>
      </c>
      <c r="GZ96" t="s">
        <v>3423</v>
      </c>
      <c r="HA96" t="s">
        <v>736</v>
      </c>
      <c r="HB96" t="s">
        <v>3423</v>
      </c>
      <c r="HC96" t="s">
        <v>736</v>
      </c>
      <c r="HD96" t="s">
        <v>3423</v>
      </c>
      <c r="HE96" t="s">
        <v>798</v>
      </c>
      <c r="HF96" t="s">
        <v>3423</v>
      </c>
      <c r="HG96" t="s">
        <v>736</v>
      </c>
      <c r="HH96" t="s">
        <v>3423</v>
      </c>
      <c r="HI96" t="s">
        <v>736</v>
      </c>
      <c r="HJ96" t="s">
        <v>3423</v>
      </c>
      <c r="HK96" t="s">
        <v>736</v>
      </c>
      <c r="HL96" t="s">
        <v>3423</v>
      </c>
      <c r="HM96" t="s">
        <v>736</v>
      </c>
      <c r="HN96" t="s">
        <v>3423</v>
      </c>
      <c r="HO96" t="s">
        <v>746</v>
      </c>
      <c r="HP96" t="s">
        <v>1307</v>
      </c>
      <c r="HQ96" t="s">
        <v>746</v>
      </c>
      <c r="HR96" t="s">
        <v>3424</v>
      </c>
      <c r="HS96" t="s">
        <v>736</v>
      </c>
      <c r="HT96" t="s">
        <v>3423</v>
      </c>
      <c r="HU96" t="s">
        <v>736</v>
      </c>
      <c r="HV96" t="s">
        <v>3423</v>
      </c>
      <c r="HW96" t="s">
        <v>746</v>
      </c>
      <c r="HX96" t="s">
        <v>3425</v>
      </c>
      <c r="HY96" t="s">
        <v>746</v>
      </c>
      <c r="HZ96" t="s">
        <v>3426</v>
      </c>
      <c r="IA96" t="s">
        <v>736</v>
      </c>
      <c r="IB96" t="s">
        <v>3427</v>
      </c>
      <c r="IC96" t="s">
        <v>736</v>
      </c>
      <c r="ID96" t="s">
        <v>3427</v>
      </c>
      <c r="IE96" t="s">
        <v>746</v>
      </c>
      <c r="IF96" t="s">
        <v>3428</v>
      </c>
      <c r="IG96" t="s">
        <v>746</v>
      </c>
      <c r="IH96" t="s">
        <v>3428</v>
      </c>
      <c r="II96" t="s">
        <v>736</v>
      </c>
      <c r="IJ96" t="s">
        <v>3423</v>
      </c>
      <c r="IK96" t="s">
        <v>736</v>
      </c>
      <c r="IL96" t="s">
        <v>3423</v>
      </c>
      <c r="IM96" t="s">
        <v>746</v>
      </c>
      <c r="IN96" t="s">
        <v>3429</v>
      </c>
      <c r="IO96" t="s">
        <v>746</v>
      </c>
      <c r="IP96" t="s">
        <v>3429</v>
      </c>
      <c r="IQ96" t="s">
        <v>746</v>
      </c>
      <c r="IR96" t="s">
        <v>3429</v>
      </c>
      <c r="IS96" t="s">
        <v>746</v>
      </c>
      <c r="IT96" t="s">
        <v>3429</v>
      </c>
      <c r="IU96" t="s">
        <v>746</v>
      </c>
      <c r="IV96" t="s">
        <v>3429</v>
      </c>
      <c r="IW96" t="s">
        <v>746</v>
      </c>
      <c r="IX96" t="s">
        <v>3429</v>
      </c>
      <c r="IY96" t="s">
        <v>746</v>
      </c>
      <c r="IZ96" t="s">
        <v>3429</v>
      </c>
      <c r="JA96" t="s">
        <v>746</v>
      </c>
      <c r="JB96" t="s">
        <v>3429</v>
      </c>
      <c r="JC96" t="s">
        <v>746</v>
      </c>
      <c r="JD96" t="s">
        <v>3429</v>
      </c>
      <c r="JE96" t="s">
        <v>746</v>
      </c>
      <c r="JF96" t="s">
        <v>3429</v>
      </c>
      <c r="JG96" t="s">
        <v>746</v>
      </c>
      <c r="JH96" t="s">
        <v>3429</v>
      </c>
      <c r="JI96" t="s">
        <v>746</v>
      </c>
      <c r="JJ96" t="s">
        <v>3429</v>
      </c>
      <c r="JK96" t="s">
        <v>746</v>
      </c>
      <c r="JL96" t="s">
        <v>3429</v>
      </c>
      <c r="JM96" t="s">
        <v>746</v>
      </c>
      <c r="JN96" t="s">
        <v>3429</v>
      </c>
      <c r="JO96" t="s">
        <v>746</v>
      </c>
      <c r="JP96" t="s">
        <v>3429</v>
      </c>
      <c r="JQ96" t="s">
        <v>746</v>
      </c>
      <c r="JR96" t="s">
        <v>3429</v>
      </c>
      <c r="JS96" t="s">
        <v>746</v>
      </c>
      <c r="JT96" t="s">
        <v>3429</v>
      </c>
      <c r="JU96" t="s">
        <v>746</v>
      </c>
      <c r="JV96" t="s">
        <v>3429</v>
      </c>
      <c r="JW96" t="s">
        <v>746</v>
      </c>
      <c r="JX96" t="s">
        <v>3429</v>
      </c>
      <c r="JY96" t="s">
        <v>746</v>
      </c>
      <c r="JZ96" t="s">
        <v>3429</v>
      </c>
      <c r="KA96" t="s">
        <v>746</v>
      </c>
      <c r="KB96" t="s">
        <v>3429</v>
      </c>
      <c r="KC96" t="s">
        <v>746</v>
      </c>
      <c r="KD96" t="s">
        <v>3429</v>
      </c>
      <c r="KE96" t="s">
        <v>746</v>
      </c>
      <c r="KF96" t="s">
        <v>3429</v>
      </c>
      <c r="KG96" t="s">
        <v>746</v>
      </c>
      <c r="KH96" t="s">
        <v>3429</v>
      </c>
      <c r="KI96" t="s">
        <v>746</v>
      </c>
      <c r="KJ96" t="s">
        <v>3429</v>
      </c>
      <c r="KK96" t="s">
        <v>746</v>
      </c>
      <c r="KL96" t="s">
        <v>3429</v>
      </c>
      <c r="KM96" t="s">
        <v>746</v>
      </c>
      <c r="KN96" t="s">
        <v>3429</v>
      </c>
      <c r="KO96" t="s">
        <v>746</v>
      </c>
      <c r="KP96" t="s">
        <v>3429</v>
      </c>
      <c r="KQ96" t="s">
        <v>746</v>
      </c>
      <c r="KR96" t="s">
        <v>3429</v>
      </c>
      <c r="KS96" t="s">
        <v>746</v>
      </c>
      <c r="KT96" t="s">
        <v>3429</v>
      </c>
      <c r="KU96" t="s">
        <v>746</v>
      </c>
      <c r="KV96" t="s">
        <v>3429</v>
      </c>
      <c r="KW96" t="s">
        <v>746</v>
      </c>
      <c r="KX96" t="s">
        <v>3429</v>
      </c>
      <c r="KY96" t="s">
        <v>746</v>
      </c>
      <c r="KZ96" t="s">
        <v>3429</v>
      </c>
      <c r="LA96" t="s">
        <v>746</v>
      </c>
      <c r="LB96" t="s">
        <v>3429</v>
      </c>
      <c r="LC96" t="s">
        <v>746</v>
      </c>
      <c r="LD96" t="s">
        <v>3430</v>
      </c>
      <c r="LE96" t="s">
        <v>746</v>
      </c>
      <c r="LF96" t="s">
        <v>3430</v>
      </c>
      <c r="LG96" t="s">
        <v>746</v>
      </c>
      <c r="LH96" t="s">
        <v>3430</v>
      </c>
      <c r="LI96" t="s">
        <v>746</v>
      </c>
      <c r="LJ96" t="s">
        <v>3430</v>
      </c>
      <c r="LK96" t="s">
        <v>746</v>
      </c>
      <c r="LL96" t="s">
        <v>3371</v>
      </c>
      <c r="LM96" t="s">
        <v>746</v>
      </c>
      <c r="LN96" t="s">
        <v>3371</v>
      </c>
      <c r="LO96" t="s">
        <v>746</v>
      </c>
      <c r="LP96" t="s">
        <v>3431</v>
      </c>
      <c r="LQ96" t="s">
        <v>746</v>
      </c>
      <c r="LR96" t="s">
        <v>3431</v>
      </c>
      <c r="LS96" t="s">
        <v>746</v>
      </c>
      <c r="LT96" t="s">
        <v>3432</v>
      </c>
      <c r="LU96" t="s">
        <v>746</v>
      </c>
      <c r="LV96" t="s">
        <v>3433</v>
      </c>
      <c r="LW96" t="s">
        <v>746</v>
      </c>
      <c r="LX96" t="s">
        <v>3371</v>
      </c>
      <c r="LY96" t="s">
        <v>746</v>
      </c>
      <c r="LZ96" t="s">
        <v>3371</v>
      </c>
      <c r="MA96" t="s">
        <v>746</v>
      </c>
      <c r="MB96" t="s">
        <v>3371</v>
      </c>
      <c r="MC96" t="s">
        <v>746</v>
      </c>
      <c r="MD96" t="s">
        <v>3371</v>
      </c>
      <c r="ME96" t="s">
        <v>746</v>
      </c>
      <c r="MF96" t="s">
        <v>3434</v>
      </c>
      <c r="MG96" t="s">
        <v>746</v>
      </c>
      <c r="MH96" t="s">
        <v>3434</v>
      </c>
      <c r="MI96" t="s">
        <v>746</v>
      </c>
      <c r="MJ96" t="s">
        <v>2990</v>
      </c>
      <c r="MK96" t="s">
        <v>746</v>
      </c>
      <c r="ML96" t="s">
        <v>2990</v>
      </c>
      <c r="MO96" t="s">
        <v>783</v>
      </c>
      <c r="MP96" t="s">
        <v>782</v>
      </c>
      <c r="MQ96" t="s">
        <v>783</v>
      </c>
      <c r="MR96" t="s">
        <v>783</v>
      </c>
      <c r="MS96" t="s">
        <v>783</v>
      </c>
      <c r="MT96" t="s">
        <v>783</v>
      </c>
      <c r="MU96" t="s">
        <v>781</v>
      </c>
      <c r="MV96" t="s">
        <v>783</v>
      </c>
      <c r="MW96" t="s">
        <v>783</v>
      </c>
      <c r="MX96" t="s">
        <v>781</v>
      </c>
      <c r="MZ96" t="s">
        <v>783</v>
      </c>
      <c r="NA96" t="s">
        <v>783</v>
      </c>
      <c r="NB96" t="s">
        <v>781</v>
      </c>
      <c r="NC96" t="s">
        <v>783</v>
      </c>
      <c r="ND96" t="s">
        <v>783</v>
      </c>
      <c r="NE96" t="s">
        <v>784</v>
      </c>
      <c r="NF96" t="s">
        <v>783</v>
      </c>
      <c r="NG96" t="s">
        <v>783</v>
      </c>
      <c r="NH96" t="s">
        <v>783</v>
      </c>
      <c r="NI96" t="s">
        <v>783</v>
      </c>
      <c r="NJ96" t="s">
        <v>783</v>
      </c>
      <c r="NK96" t="s">
        <v>783</v>
      </c>
      <c r="NL96" t="s">
        <v>781</v>
      </c>
      <c r="NM96" t="s">
        <v>783</v>
      </c>
      <c r="NN96" t="s">
        <v>784</v>
      </c>
      <c r="NO96" t="s">
        <v>784</v>
      </c>
      <c r="NP96" t="s">
        <v>783</v>
      </c>
      <c r="NQ96" t="s">
        <v>783</v>
      </c>
      <c r="NR96" t="s">
        <v>783</v>
      </c>
      <c r="NS96" t="s">
        <v>783</v>
      </c>
      <c r="NT96" t="s">
        <v>783</v>
      </c>
      <c r="NU96" t="s">
        <v>783</v>
      </c>
      <c r="NV96" t="s">
        <v>784</v>
      </c>
      <c r="NW96" t="s">
        <v>784</v>
      </c>
      <c r="NX96" t="s">
        <v>783</v>
      </c>
      <c r="NY96" t="s">
        <v>783</v>
      </c>
      <c r="NZ96" t="s">
        <v>783</v>
      </c>
      <c r="OA96" t="s">
        <v>783</v>
      </c>
      <c r="OB96" t="s">
        <v>783</v>
      </c>
      <c r="OC96" t="s">
        <v>784</v>
      </c>
      <c r="OD96" t="s">
        <v>783</v>
      </c>
      <c r="OE96" t="s">
        <v>783</v>
      </c>
      <c r="OF96" t="s">
        <v>783</v>
      </c>
      <c r="OG96" t="s">
        <v>783</v>
      </c>
      <c r="OH96" t="s">
        <v>783</v>
      </c>
      <c r="OI96" t="s">
        <v>783</v>
      </c>
      <c r="OJ96" t="s">
        <v>783</v>
      </c>
    </row>
    <row r="97" spans="1:400" x14ac:dyDescent="0.25">
      <c r="A97">
        <v>91</v>
      </c>
      <c r="B97" t="s">
        <v>441</v>
      </c>
      <c r="C97" t="s">
        <v>70</v>
      </c>
      <c r="D97" t="s">
        <v>57</v>
      </c>
      <c r="E97">
        <v>34</v>
      </c>
      <c r="F97" t="s">
        <v>87</v>
      </c>
      <c r="G97" t="s">
        <v>76</v>
      </c>
      <c r="H97" t="s">
        <v>60</v>
      </c>
      <c r="I97" t="s">
        <v>61</v>
      </c>
      <c r="J97" t="s">
        <v>62</v>
      </c>
      <c r="K97" t="s">
        <v>63</v>
      </c>
      <c r="M97" t="s">
        <v>146</v>
      </c>
      <c r="N97" t="s">
        <v>70</v>
      </c>
      <c r="O97">
        <v>5</v>
      </c>
      <c r="P97" s="1">
        <v>50000</v>
      </c>
      <c r="Q97" s="1">
        <v>0</v>
      </c>
      <c r="R97" t="s">
        <v>81</v>
      </c>
      <c r="S97" s="7">
        <v>25000</v>
      </c>
      <c r="T97" t="s">
        <v>81</v>
      </c>
      <c r="U97" s="5">
        <v>25000</v>
      </c>
      <c r="V97" s="3" t="s">
        <v>70</v>
      </c>
      <c r="W97" s="5">
        <v>0</v>
      </c>
      <c r="X97" t="s">
        <v>83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P97" t="s">
        <v>63</v>
      </c>
      <c r="AR97">
        <v>1</v>
      </c>
      <c r="AS97" s="2">
        <v>0.25</v>
      </c>
      <c r="AT97" t="s">
        <v>509</v>
      </c>
      <c r="AU97">
        <v>0</v>
      </c>
      <c r="AV97">
        <v>1</v>
      </c>
      <c r="AW97">
        <v>0</v>
      </c>
      <c r="AX97">
        <v>0</v>
      </c>
      <c r="AY97">
        <v>0</v>
      </c>
      <c r="AZ97" t="s">
        <v>527</v>
      </c>
      <c r="BA97" t="s">
        <v>71</v>
      </c>
      <c r="BB97" t="s">
        <v>506</v>
      </c>
      <c r="BC97" t="s">
        <v>515</v>
      </c>
      <c r="BD97" t="s">
        <v>513</v>
      </c>
      <c r="BE97">
        <v>2000</v>
      </c>
      <c r="BF97">
        <v>23</v>
      </c>
      <c r="BG97" t="s">
        <v>508</v>
      </c>
      <c r="BH97">
        <v>1</v>
      </c>
      <c r="BI97">
        <v>0</v>
      </c>
      <c r="BJ97">
        <v>0</v>
      </c>
      <c r="BK97">
        <v>0</v>
      </c>
      <c r="BL97">
        <v>0</v>
      </c>
      <c r="BM97" t="s">
        <v>84</v>
      </c>
      <c r="BN97" t="s">
        <v>84</v>
      </c>
      <c r="CM97" t="s">
        <v>785</v>
      </c>
      <c r="CN97" t="s">
        <v>84</v>
      </c>
      <c r="CO97" t="s">
        <v>84</v>
      </c>
      <c r="CZ97" s="26"/>
      <c r="DA97" s="27"/>
      <c r="DB97" t="s">
        <v>976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J97" t="s">
        <v>84</v>
      </c>
      <c r="DK97" s="35"/>
      <c r="DL97" s="37"/>
      <c r="FI97" t="s">
        <v>733</v>
      </c>
      <c r="FJ97" t="s">
        <v>3435</v>
      </c>
      <c r="FK97" t="s">
        <v>736</v>
      </c>
      <c r="FL97" t="s">
        <v>3436</v>
      </c>
      <c r="FM97" t="s">
        <v>736</v>
      </c>
      <c r="FN97" t="s">
        <v>3437</v>
      </c>
      <c r="FO97" t="s">
        <v>736</v>
      </c>
      <c r="FP97" t="s">
        <v>3438</v>
      </c>
      <c r="FQ97" t="s">
        <v>733</v>
      </c>
      <c r="FR97" t="s">
        <v>3439</v>
      </c>
      <c r="FS97" t="s">
        <v>733</v>
      </c>
      <c r="FT97" t="s">
        <v>3439</v>
      </c>
      <c r="FU97" t="s">
        <v>733</v>
      </c>
      <c r="FV97" t="s">
        <v>2970</v>
      </c>
      <c r="FW97" t="s">
        <v>733</v>
      </c>
      <c r="FX97" t="s">
        <v>2970</v>
      </c>
      <c r="FY97" t="s">
        <v>733</v>
      </c>
      <c r="FZ97" t="s">
        <v>3440</v>
      </c>
      <c r="GA97" t="s">
        <v>733</v>
      </c>
      <c r="GB97" t="s">
        <v>3440</v>
      </c>
      <c r="GC97" t="s">
        <v>733</v>
      </c>
      <c r="GD97" t="s">
        <v>2971</v>
      </c>
      <c r="GE97" t="s">
        <v>733</v>
      </c>
      <c r="GF97" t="s">
        <v>2971</v>
      </c>
      <c r="GG97" t="s">
        <v>733</v>
      </c>
      <c r="GH97" t="s">
        <v>3441</v>
      </c>
      <c r="GI97" t="s">
        <v>733</v>
      </c>
      <c r="GJ97" t="s">
        <v>3441</v>
      </c>
      <c r="GK97" t="s">
        <v>733</v>
      </c>
      <c r="GL97" t="s">
        <v>3442</v>
      </c>
      <c r="GM97" t="s">
        <v>733</v>
      </c>
      <c r="GN97" t="s">
        <v>3443</v>
      </c>
      <c r="GO97" t="s">
        <v>733</v>
      </c>
      <c r="GP97" t="s">
        <v>3444</v>
      </c>
      <c r="GQ97" t="s">
        <v>733</v>
      </c>
      <c r="GR97" t="s">
        <v>3444</v>
      </c>
      <c r="GS97" t="s">
        <v>733</v>
      </c>
      <c r="GT97" t="s">
        <v>2971</v>
      </c>
      <c r="GU97" t="s">
        <v>733</v>
      </c>
      <c r="GV97" t="s">
        <v>2971</v>
      </c>
      <c r="GW97" t="s">
        <v>733</v>
      </c>
      <c r="GX97" t="s">
        <v>3445</v>
      </c>
      <c r="GY97" t="s">
        <v>736</v>
      </c>
      <c r="GZ97" t="s">
        <v>3446</v>
      </c>
      <c r="HA97" t="s">
        <v>736</v>
      </c>
      <c r="HB97" t="s">
        <v>3447</v>
      </c>
      <c r="HC97" t="s">
        <v>746</v>
      </c>
      <c r="HD97" t="s">
        <v>3448</v>
      </c>
      <c r="HE97" t="s">
        <v>798</v>
      </c>
      <c r="HF97" t="s">
        <v>3449</v>
      </c>
      <c r="HG97" t="s">
        <v>736</v>
      </c>
      <c r="HH97" t="s">
        <v>3450</v>
      </c>
      <c r="HI97" t="s">
        <v>736</v>
      </c>
      <c r="HJ97" t="s">
        <v>3451</v>
      </c>
      <c r="HK97" t="s">
        <v>736</v>
      </c>
      <c r="HL97" t="s">
        <v>3452</v>
      </c>
      <c r="HM97" t="s">
        <v>736</v>
      </c>
      <c r="HN97" t="s">
        <v>3453</v>
      </c>
      <c r="HO97" t="s">
        <v>736</v>
      </c>
      <c r="HP97" t="s">
        <v>3454</v>
      </c>
      <c r="HQ97" t="s">
        <v>746</v>
      </c>
      <c r="HR97" t="s">
        <v>3455</v>
      </c>
      <c r="HS97" t="s">
        <v>733</v>
      </c>
      <c r="HT97" t="s">
        <v>3456</v>
      </c>
      <c r="HU97" t="s">
        <v>733</v>
      </c>
      <c r="HV97" t="s">
        <v>2648</v>
      </c>
      <c r="HW97" t="s">
        <v>733</v>
      </c>
      <c r="HX97" t="s">
        <v>3457</v>
      </c>
      <c r="HY97" t="s">
        <v>736</v>
      </c>
      <c r="HZ97" t="s">
        <v>3458</v>
      </c>
      <c r="IA97" t="s">
        <v>736</v>
      </c>
      <c r="IB97" t="s">
        <v>3039</v>
      </c>
      <c r="IC97" t="s">
        <v>736</v>
      </c>
      <c r="ID97" t="s">
        <v>3446</v>
      </c>
      <c r="IE97" t="s">
        <v>743</v>
      </c>
      <c r="IF97" t="s">
        <v>3459</v>
      </c>
      <c r="IG97" t="s">
        <v>743</v>
      </c>
      <c r="IH97" t="s">
        <v>3460</v>
      </c>
      <c r="II97" t="s">
        <v>736</v>
      </c>
      <c r="IJ97" t="s">
        <v>3461</v>
      </c>
      <c r="IK97" t="s">
        <v>736</v>
      </c>
      <c r="IL97" t="s">
        <v>3461</v>
      </c>
      <c r="IM97" t="s">
        <v>733</v>
      </c>
      <c r="IN97" t="s">
        <v>2970</v>
      </c>
      <c r="IO97" t="s">
        <v>733</v>
      </c>
      <c r="IP97" t="s">
        <v>2970</v>
      </c>
      <c r="IQ97" t="s">
        <v>733</v>
      </c>
      <c r="IR97" t="s">
        <v>2970</v>
      </c>
      <c r="IS97" t="s">
        <v>733</v>
      </c>
      <c r="IT97" t="s">
        <v>2970</v>
      </c>
      <c r="IU97" t="s">
        <v>733</v>
      </c>
      <c r="IV97" t="s">
        <v>3462</v>
      </c>
      <c r="IW97" t="s">
        <v>733</v>
      </c>
      <c r="IX97" t="s">
        <v>3463</v>
      </c>
      <c r="IY97" t="s">
        <v>733</v>
      </c>
      <c r="IZ97" t="s">
        <v>3464</v>
      </c>
      <c r="JA97" t="s">
        <v>733</v>
      </c>
      <c r="JB97" t="s">
        <v>3465</v>
      </c>
      <c r="JC97" t="s">
        <v>733</v>
      </c>
      <c r="JD97" t="s">
        <v>3466</v>
      </c>
      <c r="JE97" t="s">
        <v>733</v>
      </c>
      <c r="JF97" t="s">
        <v>3467</v>
      </c>
      <c r="JS97" t="s">
        <v>733</v>
      </c>
      <c r="JT97" t="s">
        <v>3468</v>
      </c>
      <c r="JU97" t="s">
        <v>733</v>
      </c>
      <c r="JV97" t="s">
        <v>3469</v>
      </c>
      <c r="JW97" t="s">
        <v>743</v>
      </c>
      <c r="JX97" t="s">
        <v>3470</v>
      </c>
      <c r="JY97" t="s">
        <v>743</v>
      </c>
      <c r="JZ97" t="s">
        <v>3471</v>
      </c>
      <c r="KE97" t="s">
        <v>743</v>
      </c>
      <c r="KF97" t="s">
        <v>3472</v>
      </c>
      <c r="KG97" t="s">
        <v>743</v>
      </c>
      <c r="KH97" t="s">
        <v>3473</v>
      </c>
      <c r="KI97" t="s">
        <v>743</v>
      </c>
      <c r="KJ97" t="s">
        <v>3474</v>
      </c>
      <c r="KK97" t="s">
        <v>743</v>
      </c>
      <c r="KL97" t="s">
        <v>3475</v>
      </c>
      <c r="KM97" t="s">
        <v>733</v>
      </c>
      <c r="KN97" t="s">
        <v>3476</v>
      </c>
      <c r="KO97" t="s">
        <v>733</v>
      </c>
      <c r="KP97" t="s">
        <v>3476</v>
      </c>
      <c r="KQ97" t="s">
        <v>733</v>
      </c>
      <c r="KR97" t="s">
        <v>3477</v>
      </c>
      <c r="KS97" t="s">
        <v>733</v>
      </c>
      <c r="KT97" t="s">
        <v>3477</v>
      </c>
      <c r="KU97" t="s">
        <v>733</v>
      </c>
      <c r="KV97" t="s">
        <v>3478</v>
      </c>
      <c r="KW97" t="s">
        <v>733</v>
      </c>
      <c r="KX97" t="s">
        <v>3478</v>
      </c>
      <c r="KY97" t="s">
        <v>733</v>
      </c>
      <c r="KZ97" t="s">
        <v>3479</v>
      </c>
      <c r="LA97" t="s">
        <v>733</v>
      </c>
      <c r="LB97" t="s">
        <v>3479</v>
      </c>
      <c r="LC97" t="s">
        <v>736</v>
      </c>
      <c r="LD97" t="s">
        <v>3480</v>
      </c>
      <c r="LE97" t="s">
        <v>736</v>
      </c>
      <c r="LF97" t="s">
        <v>3481</v>
      </c>
      <c r="LG97" t="s">
        <v>736</v>
      </c>
      <c r="LH97" t="s">
        <v>3480</v>
      </c>
      <c r="LI97" t="s">
        <v>736</v>
      </c>
      <c r="LJ97" t="s">
        <v>3480</v>
      </c>
      <c r="LK97" t="s">
        <v>733</v>
      </c>
      <c r="LL97" t="s">
        <v>2944</v>
      </c>
      <c r="LM97" t="s">
        <v>733</v>
      </c>
      <c r="LN97" t="s">
        <v>3482</v>
      </c>
      <c r="LO97" t="s">
        <v>733</v>
      </c>
      <c r="LP97" t="s">
        <v>3483</v>
      </c>
      <c r="LQ97" t="s">
        <v>733</v>
      </c>
      <c r="LR97" t="s">
        <v>3483</v>
      </c>
      <c r="LS97" t="s">
        <v>733</v>
      </c>
      <c r="LT97" t="s">
        <v>2970</v>
      </c>
      <c r="LU97" t="s">
        <v>733</v>
      </c>
      <c r="LV97" t="s">
        <v>2970</v>
      </c>
      <c r="LW97" t="s">
        <v>736</v>
      </c>
      <c r="LX97" t="s">
        <v>3484</v>
      </c>
      <c r="LY97" t="s">
        <v>736</v>
      </c>
      <c r="LZ97" t="s">
        <v>3484</v>
      </c>
      <c r="MA97" t="s">
        <v>736</v>
      </c>
      <c r="MB97" t="s">
        <v>3484</v>
      </c>
      <c r="MC97" t="s">
        <v>736</v>
      </c>
      <c r="MD97" t="s">
        <v>3484</v>
      </c>
      <c r="ME97" t="s">
        <v>736</v>
      </c>
      <c r="MF97" t="s">
        <v>3461</v>
      </c>
      <c r="MG97" t="s">
        <v>736</v>
      </c>
      <c r="MH97" t="s">
        <v>3461</v>
      </c>
      <c r="MI97" t="s">
        <v>733</v>
      </c>
      <c r="MJ97" t="s">
        <v>2950</v>
      </c>
      <c r="MK97" t="s">
        <v>733</v>
      </c>
      <c r="ML97" t="s">
        <v>3388</v>
      </c>
      <c r="MO97" t="s">
        <v>783</v>
      </c>
      <c r="MP97" t="s">
        <v>783</v>
      </c>
      <c r="MQ97" t="s">
        <v>783</v>
      </c>
      <c r="MR97" t="s">
        <v>907</v>
      </c>
      <c r="MS97" t="s">
        <v>783</v>
      </c>
      <c r="MT97" t="s">
        <v>907</v>
      </c>
      <c r="MU97" t="s">
        <v>783</v>
      </c>
      <c r="MV97" t="s">
        <v>783</v>
      </c>
      <c r="MW97" t="s">
        <v>783</v>
      </c>
      <c r="MX97" t="s">
        <v>783</v>
      </c>
      <c r="MZ97" t="s">
        <v>783</v>
      </c>
      <c r="NA97" t="s">
        <v>783</v>
      </c>
      <c r="NB97" t="s">
        <v>783</v>
      </c>
      <c r="NC97" t="s">
        <v>783</v>
      </c>
      <c r="ND97" t="s">
        <v>783</v>
      </c>
      <c r="NE97" t="s">
        <v>783</v>
      </c>
      <c r="NF97" t="s">
        <v>783</v>
      </c>
      <c r="NG97" t="s">
        <v>783</v>
      </c>
      <c r="NH97" t="s">
        <v>783</v>
      </c>
      <c r="NI97" t="s">
        <v>783</v>
      </c>
      <c r="NJ97" t="s">
        <v>784</v>
      </c>
      <c r="NK97" t="s">
        <v>783</v>
      </c>
      <c r="NL97" t="s">
        <v>783</v>
      </c>
      <c r="NM97" t="s">
        <v>783</v>
      </c>
      <c r="NN97" t="s">
        <v>784</v>
      </c>
      <c r="NO97" t="s">
        <v>784</v>
      </c>
      <c r="NP97" t="s">
        <v>783</v>
      </c>
      <c r="NQ97" t="s">
        <v>783</v>
      </c>
      <c r="NR97" t="s">
        <v>783</v>
      </c>
      <c r="NS97" t="s">
        <v>784</v>
      </c>
      <c r="NT97" t="s">
        <v>783</v>
      </c>
      <c r="NU97" t="s">
        <v>783</v>
      </c>
      <c r="NV97" t="s">
        <v>784</v>
      </c>
      <c r="NW97" t="s">
        <v>784</v>
      </c>
      <c r="NX97" t="s">
        <v>783</v>
      </c>
      <c r="NY97" t="s">
        <v>784</v>
      </c>
      <c r="NZ97" t="s">
        <v>783</v>
      </c>
      <c r="OA97" t="s">
        <v>784</v>
      </c>
      <c r="OB97" t="s">
        <v>783</v>
      </c>
      <c r="OC97" t="s">
        <v>783</v>
      </c>
      <c r="OD97" t="s">
        <v>783</v>
      </c>
      <c r="OE97" t="s">
        <v>783</v>
      </c>
      <c r="OF97" t="s">
        <v>783</v>
      </c>
      <c r="OG97" t="s">
        <v>783</v>
      </c>
      <c r="OH97" t="s">
        <v>783</v>
      </c>
      <c r="OI97" t="s">
        <v>783</v>
      </c>
      <c r="OJ97" t="s">
        <v>783</v>
      </c>
    </row>
    <row r="98" spans="1:400" x14ac:dyDescent="0.25">
      <c r="A98">
        <v>92</v>
      </c>
      <c r="B98" t="s">
        <v>442</v>
      </c>
      <c r="C98" t="s">
        <v>443</v>
      </c>
      <c r="D98" t="s">
        <v>97</v>
      </c>
      <c r="E98">
        <v>41</v>
      </c>
      <c r="F98" t="s">
        <v>58</v>
      </c>
      <c r="G98" t="s">
        <v>59</v>
      </c>
      <c r="H98" t="s">
        <v>60</v>
      </c>
      <c r="I98" t="s">
        <v>61</v>
      </c>
      <c r="J98" t="s">
        <v>62</v>
      </c>
      <c r="K98" t="s">
        <v>84</v>
      </c>
      <c r="L98" t="s">
        <v>98</v>
      </c>
      <c r="M98" t="s">
        <v>444</v>
      </c>
      <c r="N98" t="s">
        <v>445</v>
      </c>
      <c r="O98">
        <v>5</v>
      </c>
      <c r="P98" s="1">
        <v>364000</v>
      </c>
      <c r="Q98" s="1">
        <v>14400</v>
      </c>
      <c r="R98" t="s">
        <v>447</v>
      </c>
      <c r="S98" s="7">
        <v>350000</v>
      </c>
      <c r="T98" t="s">
        <v>70</v>
      </c>
      <c r="U98" s="5">
        <v>0</v>
      </c>
      <c r="V98" s="3" t="s">
        <v>445</v>
      </c>
      <c r="W98" s="5">
        <v>14400</v>
      </c>
      <c r="X98" t="s">
        <v>73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 t="s">
        <v>63</v>
      </c>
      <c r="AR98">
        <v>1</v>
      </c>
      <c r="AS98" s="2">
        <v>0.75</v>
      </c>
      <c r="AT98" t="s">
        <v>503</v>
      </c>
      <c r="AU98">
        <v>0</v>
      </c>
      <c r="AV98">
        <v>0</v>
      </c>
      <c r="AW98">
        <v>0</v>
      </c>
      <c r="AX98">
        <v>1</v>
      </c>
      <c r="AY98">
        <v>0</v>
      </c>
      <c r="AZ98" t="s">
        <v>589</v>
      </c>
      <c r="BA98" t="s">
        <v>530</v>
      </c>
      <c r="BC98" t="s">
        <v>512</v>
      </c>
      <c r="BD98" t="s">
        <v>513</v>
      </c>
      <c r="BE98">
        <v>2022</v>
      </c>
      <c r="BF98">
        <v>1</v>
      </c>
      <c r="BG98" t="s">
        <v>71</v>
      </c>
      <c r="BH98">
        <v>0</v>
      </c>
      <c r="BI98">
        <v>0</v>
      </c>
      <c r="BJ98">
        <v>0</v>
      </c>
      <c r="BK98">
        <v>0</v>
      </c>
      <c r="BL98">
        <v>1</v>
      </c>
      <c r="BM98" t="s">
        <v>63</v>
      </c>
      <c r="BN98" t="s">
        <v>63</v>
      </c>
      <c r="BO98" t="s">
        <v>3921</v>
      </c>
      <c r="BP98" t="s">
        <v>3889</v>
      </c>
      <c r="BR98" t="s">
        <v>3857</v>
      </c>
      <c r="BS98" t="s">
        <v>3838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CA98" t="s">
        <v>3839</v>
      </c>
      <c r="CC98" t="s">
        <v>3877</v>
      </c>
      <c r="CD98" t="s">
        <v>3841</v>
      </c>
      <c r="CE98" t="s">
        <v>3867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N98" t="s">
        <v>63</v>
      </c>
      <c r="CO98" t="s">
        <v>732</v>
      </c>
      <c r="CP98" t="s">
        <v>4047</v>
      </c>
      <c r="CQ98" t="s">
        <v>3945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Y98" t="s">
        <v>3854</v>
      </c>
      <c r="CZ98" s="26" t="s">
        <v>4048</v>
      </c>
      <c r="DA98" s="27" t="s">
        <v>4192</v>
      </c>
      <c r="DJ98" t="s">
        <v>63</v>
      </c>
      <c r="DK98" s="35" t="s">
        <v>4161</v>
      </c>
      <c r="DL98" s="37" t="s">
        <v>4258</v>
      </c>
      <c r="DM98" t="s">
        <v>4162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 t="s">
        <v>4118</v>
      </c>
      <c r="EO98" t="s">
        <v>4111</v>
      </c>
      <c r="EP98">
        <v>0</v>
      </c>
      <c r="EQ98">
        <v>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 t="s">
        <v>4105</v>
      </c>
      <c r="EZ98">
        <v>0</v>
      </c>
      <c r="FA98">
        <v>0</v>
      </c>
      <c r="FB98">
        <v>1</v>
      </c>
      <c r="FC98">
        <v>0</v>
      </c>
      <c r="FF98" t="s">
        <v>1543</v>
      </c>
      <c r="FI98" t="s">
        <v>736</v>
      </c>
      <c r="FJ98" t="s">
        <v>3485</v>
      </c>
      <c r="FK98" t="s">
        <v>736</v>
      </c>
      <c r="FL98" t="s">
        <v>3485</v>
      </c>
      <c r="FM98" t="s">
        <v>736</v>
      </c>
      <c r="FN98" t="s">
        <v>3486</v>
      </c>
      <c r="FO98" t="s">
        <v>736</v>
      </c>
      <c r="FP98" t="s">
        <v>3487</v>
      </c>
      <c r="FQ98" t="s">
        <v>736</v>
      </c>
      <c r="FR98" t="s">
        <v>3487</v>
      </c>
      <c r="FS98" t="s">
        <v>736</v>
      </c>
      <c r="FT98" t="s">
        <v>3487</v>
      </c>
      <c r="FU98" t="s">
        <v>736</v>
      </c>
      <c r="FV98" t="s">
        <v>3487</v>
      </c>
      <c r="FW98" t="s">
        <v>736</v>
      </c>
      <c r="FX98" t="s">
        <v>3488</v>
      </c>
      <c r="FY98" t="s">
        <v>736</v>
      </c>
      <c r="FZ98" t="s">
        <v>3487</v>
      </c>
      <c r="GA98" t="s">
        <v>736</v>
      </c>
      <c r="GB98" t="s">
        <v>3486</v>
      </c>
      <c r="GC98" t="s">
        <v>736</v>
      </c>
      <c r="GD98" t="s">
        <v>3488</v>
      </c>
      <c r="GE98" t="s">
        <v>736</v>
      </c>
      <c r="GF98" t="s">
        <v>3489</v>
      </c>
      <c r="GG98" t="s">
        <v>736</v>
      </c>
      <c r="GH98" t="s">
        <v>3490</v>
      </c>
      <c r="GI98" t="s">
        <v>736</v>
      </c>
      <c r="GJ98" t="s">
        <v>3491</v>
      </c>
      <c r="GK98" t="s">
        <v>736</v>
      </c>
      <c r="GL98" t="s">
        <v>3487</v>
      </c>
      <c r="GM98" t="s">
        <v>736</v>
      </c>
      <c r="GN98" t="s">
        <v>3487</v>
      </c>
      <c r="GO98" t="s">
        <v>736</v>
      </c>
      <c r="GP98" t="s">
        <v>3487</v>
      </c>
      <c r="GQ98" t="s">
        <v>736</v>
      </c>
      <c r="GR98" t="s">
        <v>3487</v>
      </c>
      <c r="GS98" t="s">
        <v>736</v>
      </c>
      <c r="GT98" t="s">
        <v>3488</v>
      </c>
      <c r="GU98" t="s">
        <v>736</v>
      </c>
      <c r="GV98" t="s">
        <v>3488</v>
      </c>
      <c r="GW98" t="s">
        <v>746</v>
      </c>
      <c r="GX98" t="s">
        <v>3492</v>
      </c>
      <c r="GY98" t="s">
        <v>746</v>
      </c>
      <c r="GZ98" t="s">
        <v>3493</v>
      </c>
      <c r="HA98" t="s">
        <v>746</v>
      </c>
      <c r="HB98" t="s">
        <v>3492</v>
      </c>
      <c r="HC98" t="s">
        <v>746</v>
      </c>
      <c r="HD98" t="s">
        <v>3492</v>
      </c>
      <c r="HE98" t="s">
        <v>798</v>
      </c>
      <c r="HF98" t="s">
        <v>3494</v>
      </c>
      <c r="HG98" t="s">
        <v>746</v>
      </c>
      <c r="HH98" t="s">
        <v>3492</v>
      </c>
      <c r="HI98" t="s">
        <v>746</v>
      </c>
      <c r="HK98" t="s">
        <v>746</v>
      </c>
      <c r="HL98" t="s">
        <v>3495</v>
      </c>
      <c r="HM98" t="s">
        <v>746</v>
      </c>
      <c r="HN98" t="s">
        <v>3496</v>
      </c>
      <c r="HO98" t="s">
        <v>746</v>
      </c>
      <c r="HP98" t="s">
        <v>3497</v>
      </c>
      <c r="HQ98" t="s">
        <v>746</v>
      </c>
      <c r="HS98" t="s">
        <v>736</v>
      </c>
      <c r="HT98" t="s">
        <v>3498</v>
      </c>
      <c r="HU98" t="s">
        <v>736</v>
      </c>
      <c r="HV98" t="s">
        <v>3498</v>
      </c>
      <c r="HW98" t="s">
        <v>736</v>
      </c>
      <c r="HX98" t="s">
        <v>3499</v>
      </c>
      <c r="HY98" t="s">
        <v>736</v>
      </c>
      <c r="HZ98" t="s">
        <v>3499</v>
      </c>
      <c r="IA98" t="s">
        <v>736</v>
      </c>
      <c r="IB98" t="s">
        <v>3485</v>
      </c>
      <c r="IC98" t="s">
        <v>736</v>
      </c>
      <c r="ID98" t="s">
        <v>3485</v>
      </c>
      <c r="IE98" t="s">
        <v>736</v>
      </c>
      <c r="IF98" t="s">
        <v>3500</v>
      </c>
      <c r="IG98" t="s">
        <v>736</v>
      </c>
      <c r="IH98" t="s">
        <v>3500</v>
      </c>
      <c r="II98" t="s">
        <v>736</v>
      </c>
      <c r="IJ98" t="s">
        <v>3501</v>
      </c>
      <c r="IK98" t="s">
        <v>736</v>
      </c>
      <c r="IL98" t="s">
        <v>3498</v>
      </c>
      <c r="IM98" t="s">
        <v>736</v>
      </c>
      <c r="IN98" t="s">
        <v>3502</v>
      </c>
      <c r="IO98" t="s">
        <v>736</v>
      </c>
      <c r="IP98" t="s">
        <v>3502</v>
      </c>
      <c r="IQ98" t="s">
        <v>736</v>
      </c>
      <c r="IR98" t="s">
        <v>3502</v>
      </c>
      <c r="IS98" t="s">
        <v>736</v>
      </c>
      <c r="IU98" t="s">
        <v>736</v>
      </c>
      <c r="IV98" t="s">
        <v>3502</v>
      </c>
      <c r="IW98" t="s">
        <v>736</v>
      </c>
      <c r="IX98" t="s">
        <v>3502</v>
      </c>
      <c r="IY98" t="s">
        <v>736</v>
      </c>
      <c r="JA98" t="s">
        <v>746</v>
      </c>
      <c r="JB98" t="s">
        <v>3503</v>
      </c>
      <c r="JC98" t="s">
        <v>736</v>
      </c>
      <c r="JD98" t="s">
        <v>3502</v>
      </c>
      <c r="JE98" t="s">
        <v>736</v>
      </c>
      <c r="JG98" t="s">
        <v>736</v>
      </c>
      <c r="JI98" t="s">
        <v>736</v>
      </c>
      <c r="JK98" t="s">
        <v>736</v>
      </c>
      <c r="JM98" t="s">
        <v>736</v>
      </c>
      <c r="JO98" t="s">
        <v>736</v>
      </c>
      <c r="JQ98" t="s">
        <v>736</v>
      </c>
      <c r="JS98" t="s">
        <v>736</v>
      </c>
      <c r="JU98" t="s">
        <v>736</v>
      </c>
      <c r="JW98" t="s">
        <v>736</v>
      </c>
      <c r="JY98" t="s">
        <v>736</v>
      </c>
      <c r="KA98" t="s">
        <v>736</v>
      </c>
      <c r="KC98" t="s">
        <v>736</v>
      </c>
      <c r="KE98" t="s">
        <v>736</v>
      </c>
      <c r="KF98" t="s">
        <v>3504</v>
      </c>
      <c r="KG98" t="s">
        <v>743</v>
      </c>
      <c r="KH98" t="s">
        <v>3505</v>
      </c>
      <c r="KI98" t="s">
        <v>736</v>
      </c>
      <c r="KJ98" t="s">
        <v>3506</v>
      </c>
      <c r="KK98" t="s">
        <v>743</v>
      </c>
      <c r="KL98" t="s">
        <v>3505</v>
      </c>
      <c r="KM98" t="s">
        <v>736</v>
      </c>
      <c r="KO98" t="s">
        <v>736</v>
      </c>
      <c r="KQ98" t="s">
        <v>736</v>
      </c>
      <c r="KS98" t="s">
        <v>736</v>
      </c>
      <c r="KU98" t="s">
        <v>733</v>
      </c>
      <c r="KV98" t="s">
        <v>3507</v>
      </c>
      <c r="KW98" t="s">
        <v>733</v>
      </c>
      <c r="KY98" t="s">
        <v>736</v>
      </c>
      <c r="LA98" t="s">
        <v>736</v>
      </c>
      <c r="LC98" t="s">
        <v>736</v>
      </c>
      <c r="LD98" t="s">
        <v>3490</v>
      </c>
      <c r="LE98" t="s">
        <v>736</v>
      </c>
      <c r="LG98" t="s">
        <v>736</v>
      </c>
      <c r="LH98" t="s">
        <v>3490</v>
      </c>
      <c r="LI98" t="s">
        <v>736</v>
      </c>
      <c r="LK98" t="s">
        <v>736</v>
      </c>
      <c r="LL98" t="s">
        <v>3508</v>
      </c>
      <c r="LM98" t="s">
        <v>736</v>
      </c>
      <c r="LO98" t="s">
        <v>736</v>
      </c>
      <c r="LP98" t="s">
        <v>3509</v>
      </c>
      <c r="LQ98" t="s">
        <v>736</v>
      </c>
      <c r="LR98" t="s">
        <v>3509</v>
      </c>
      <c r="LS98" t="s">
        <v>736</v>
      </c>
      <c r="LT98" t="s">
        <v>3510</v>
      </c>
      <c r="LU98" t="s">
        <v>736</v>
      </c>
      <c r="LW98" t="s">
        <v>736</v>
      </c>
      <c r="LX98" t="s">
        <v>3511</v>
      </c>
      <c r="LY98" t="s">
        <v>736</v>
      </c>
      <c r="LZ98" t="s">
        <v>3512</v>
      </c>
      <c r="MA98" t="s">
        <v>736</v>
      </c>
      <c r="MB98" t="s">
        <v>3513</v>
      </c>
      <c r="MC98" t="s">
        <v>736</v>
      </c>
      <c r="ME98" t="s">
        <v>736</v>
      </c>
      <c r="MF98" t="s">
        <v>3510</v>
      </c>
      <c r="MG98" t="s">
        <v>736</v>
      </c>
      <c r="MI98" t="s">
        <v>736</v>
      </c>
      <c r="MJ98" t="s">
        <v>3514</v>
      </c>
      <c r="MK98" t="s">
        <v>736</v>
      </c>
      <c r="ML98" t="s">
        <v>3515</v>
      </c>
      <c r="MO98" t="s">
        <v>783</v>
      </c>
      <c r="MP98" t="s">
        <v>783</v>
      </c>
      <c r="MQ98" t="s">
        <v>783</v>
      </c>
      <c r="MR98" t="s">
        <v>783</v>
      </c>
      <c r="MS98" t="s">
        <v>783</v>
      </c>
      <c r="MT98" t="s">
        <v>783</v>
      </c>
      <c r="MU98" t="s">
        <v>783</v>
      </c>
      <c r="MV98" t="s">
        <v>783</v>
      </c>
      <c r="MW98" t="s">
        <v>783</v>
      </c>
      <c r="MX98" t="s">
        <v>783</v>
      </c>
      <c r="MZ98" t="s">
        <v>781</v>
      </c>
      <c r="NA98" t="s">
        <v>781</v>
      </c>
      <c r="NB98" t="s">
        <v>783</v>
      </c>
      <c r="NC98" t="s">
        <v>781</v>
      </c>
      <c r="ND98" t="s">
        <v>781</v>
      </c>
      <c r="NE98" t="s">
        <v>784</v>
      </c>
      <c r="NF98" t="s">
        <v>783</v>
      </c>
      <c r="NG98" t="s">
        <v>781</v>
      </c>
      <c r="NH98" t="s">
        <v>783</v>
      </c>
      <c r="NI98" t="s">
        <v>783</v>
      </c>
      <c r="NJ98" t="s">
        <v>783</v>
      </c>
      <c r="NK98" t="s">
        <v>783</v>
      </c>
      <c r="NL98" t="s">
        <v>783</v>
      </c>
      <c r="NM98" t="s">
        <v>783</v>
      </c>
      <c r="NN98" t="s">
        <v>784</v>
      </c>
      <c r="NO98" t="s">
        <v>784</v>
      </c>
      <c r="NP98" t="s">
        <v>783</v>
      </c>
      <c r="NQ98" t="s">
        <v>783</v>
      </c>
      <c r="NR98" t="s">
        <v>783</v>
      </c>
      <c r="NS98" t="s">
        <v>783</v>
      </c>
      <c r="NT98" t="s">
        <v>784</v>
      </c>
      <c r="NU98" t="s">
        <v>783</v>
      </c>
      <c r="NV98" t="s">
        <v>784</v>
      </c>
      <c r="NW98" t="s">
        <v>784</v>
      </c>
      <c r="NX98" t="s">
        <v>783</v>
      </c>
      <c r="NY98" t="s">
        <v>784</v>
      </c>
      <c r="NZ98" t="s">
        <v>784</v>
      </c>
      <c r="OA98" t="s">
        <v>783</v>
      </c>
      <c r="OB98" t="s">
        <v>783</v>
      </c>
      <c r="OC98" t="s">
        <v>784</v>
      </c>
      <c r="OD98" t="s">
        <v>783</v>
      </c>
      <c r="OE98" t="s">
        <v>783</v>
      </c>
      <c r="OF98" t="s">
        <v>783</v>
      </c>
      <c r="OG98" t="s">
        <v>783</v>
      </c>
      <c r="OH98" t="s">
        <v>783</v>
      </c>
      <c r="OI98" t="s">
        <v>783</v>
      </c>
      <c r="OJ98" t="s">
        <v>783</v>
      </c>
    </row>
    <row r="99" spans="1:400" x14ac:dyDescent="0.25">
      <c r="A99">
        <v>93</v>
      </c>
      <c r="B99" t="s">
        <v>3516</v>
      </c>
      <c r="C99" t="s">
        <v>449</v>
      </c>
      <c r="D99" t="s">
        <v>57</v>
      </c>
      <c r="E99">
        <v>42</v>
      </c>
      <c r="F99" t="s">
        <v>58</v>
      </c>
      <c r="G99" t="s">
        <v>105</v>
      </c>
      <c r="H99" t="s">
        <v>60</v>
      </c>
      <c r="I99" t="s">
        <v>113</v>
      </c>
      <c r="J99" t="s">
        <v>62</v>
      </c>
      <c r="K99" t="s">
        <v>63</v>
      </c>
      <c r="M99" t="s">
        <v>146</v>
      </c>
      <c r="N99" t="s">
        <v>65</v>
      </c>
      <c r="O99">
        <v>4</v>
      </c>
      <c r="P99" s="1">
        <v>150000</v>
      </c>
      <c r="Q99" s="1">
        <v>0</v>
      </c>
      <c r="R99" t="s">
        <v>81</v>
      </c>
      <c r="S99" s="7">
        <v>100000</v>
      </c>
      <c r="T99" t="s">
        <v>70</v>
      </c>
      <c r="U99" s="5">
        <v>0</v>
      </c>
      <c r="V99" s="3" t="s">
        <v>65</v>
      </c>
      <c r="W99" s="5">
        <v>50000</v>
      </c>
      <c r="X99" t="s">
        <v>177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P99" t="s">
        <v>63</v>
      </c>
      <c r="AR99">
        <v>1</v>
      </c>
      <c r="AS99" s="2">
        <v>1.25</v>
      </c>
      <c r="AT99" t="s">
        <v>509</v>
      </c>
      <c r="AU99">
        <v>0</v>
      </c>
      <c r="AV99">
        <v>1</v>
      </c>
      <c r="AW99">
        <v>0</v>
      </c>
      <c r="AX99">
        <v>0</v>
      </c>
      <c r="AY99">
        <v>0</v>
      </c>
      <c r="AZ99" t="s">
        <v>590</v>
      </c>
      <c r="BA99" t="s">
        <v>511</v>
      </c>
      <c r="BC99" t="s">
        <v>512</v>
      </c>
      <c r="BD99" t="s">
        <v>507</v>
      </c>
      <c r="BE99">
        <v>2012</v>
      </c>
      <c r="BF99">
        <v>11</v>
      </c>
      <c r="BG99" t="s">
        <v>508</v>
      </c>
      <c r="BH99">
        <v>1</v>
      </c>
      <c r="BI99">
        <v>0</v>
      </c>
      <c r="BJ99">
        <v>0</v>
      </c>
      <c r="BK99">
        <v>0</v>
      </c>
      <c r="BL99">
        <v>0</v>
      </c>
      <c r="BM99" t="s">
        <v>84</v>
      </c>
      <c r="BN99" t="s">
        <v>63</v>
      </c>
      <c r="BO99" t="s">
        <v>3856</v>
      </c>
      <c r="BP99" t="s">
        <v>3845</v>
      </c>
      <c r="BR99" t="s">
        <v>3860</v>
      </c>
      <c r="BS99" t="s">
        <v>3838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CA99" t="s">
        <v>3847</v>
      </c>
      <c r="CB99" t="s">
        <v>1315</v>
      </c>
      <c r="CC99" t="s">
        <v>3840</v>
      </c>
      <c r="CD99" t="s">
        <v>3841</v>
      </c>
      <c r="CE99" t="s">
        <v>3867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N99" t="s">
        <v>84</v>
      </c>
      <c r="CO99" t="s">
        <v>84</v>
      </c>
      <c r="CZ99" s="26"/>
      <c r="DA99" s="27"/>
      <c r="DB99" t="s">
        <v>976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J99" t="s">
        <v>63</v>
      </c>
      <c r="DK99" s="35" t="s">
        <v>4164</v>
      </c>
      <c r="DL99" s="37" t="s">
        <v>4257</v>
      </c>
      <c r="DM99" t="s">
        <v>4165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M99" t="s">
        <v>4166</v>
      </c>
      <c r="EO99" t="s">
        <v>4101</v>
      </c>
      <c r="EP99">
        <v>1</v>
      </c>
      <c r="EQ99">
        <v>0</v>
      </c>
      <c r="ER99">
        <v>1</v>
      </c>
      <c r="ES99">
        <v>0</v>
      </c>
      <c r="ET99">
        <v>0</v>
      </c>
      <c r="EU99">
        <v>0</v>
      </c>
      <c r="EV99">
        <v>0</v>
      </c>
      <c r="EW99">
        <v>0</v>
      </c>
      <c r="EX99" t="s">
        <v>4168</v>
      </c>
      <c r="EY99" t="s">
        <v>4102</v>
      </c>
      <c r="EZ99">
        <v>0</v>
      </c>
      <c r="FA99">
        <v>0</v>
      </c>
      <c r="FB99">
        <v>0</v>
      </c>
      <c r="FC99">
        <v>1</v>
      </c>
      <c r="FG99" t="s">
        <v>4160</v>
      </c>
      <c r="FI99" t="s">
        <v>736</v>
      </c>
      <c r="FJ99" t="s">
        <v>1663</v>
      </c>
      <c r="FK99" t="s">
        <v>736</v>
      </c>
      <c r="FL99" t="s">
        <v>3517</v>
      </c>
      <c r="FM99" t="s">
        <v>733</v>
      </c>
      <c r="FN99" t="s">
        <v>3518</v>
      </c>
      <c r="FO99" t="s">
        <v>733</v>
      </c>
      <c r="FP99" t="s">
        <v>868</v>
      </c>
      <c r="FQ99" t="s">
        <v>733</v>
      </c>
      <c r="FR99" t="s">
        <v>3519</v>
      </c>
      <c r="FS99" t="s">
        <v>746</v>
      </c>
      <c r="FT99" t="s">
        <v>3520</v>
      </c>
      <c r="FU99" t="s">
        <v>733</v>
      </c>
      <c r="FV99" t="s">
        <v>3521</v>
      </c>
      <c r="FW99" t="s">
        <v>746</v>
      </c>
      <c r="FX99" t="s">
        <v>3522</v>
      </c>
      <c r="FY99" t="s">
        <v>733</v>
      </c>
      <c r="FZ99" t="s">
        <v>3523</v>
      </c>
      <c r="GA99" t="s">
        <v>733</v>
      </c>
      <c r="GB99" t="s">
        <v>3524</v>
      </c>
      <c r="GC99" t="s">
        <v>733</v>
      </c>
      <c r="GE99" t="s">
        <v>733</v>
      </c>
      <c r="GG99" t="s">
        <v>746</v>
      </c>
      <c r="GH99" t="s">
        <v>823</v>
      </c>
      <c r="GI99" t="s">
        <v>746</v>
      </c>
      <c r="GJ99" t="s">
        <v>3525</v>
      </c>
      <c r="GK99" t="s">
        <v>746</v>
      </c>
      <c r="GL99" t="s">
        <v>3526</v>
      </c>
      <c r="GM99" t="s">
        <v>736</v>
      </c>
      <c r="GN99" t="s">
        <v>3527</v>
      </c>
      <c r="GO99" t="s">
        <v>733</v>
      </c>
      <c r="GP99" t="s">
        <v>868</v>
      </c>
      <c r="GQ99" t="s">
        <v>733</v>
      </c>
      <c r="GR99" t="s">
        <v>912</v>
      </c>
      <c r="GS99" t="s">
        <v>733</v>
      </c>
      <c r="GT99" t="s">
        <v>3528</v>
      </c>
      <c r="GU99" t="s">
        <v>733</v>
      </c>
      <c r="GW99" t="s">
        <v>736</v>
      </c>
      <c r="GX99" t="s">
        <v>3529</v>
      </c>
      <c r="GY99" t="s">
        <v>736</v>
      </c>
      <c r="GZ99" t="s">
        <v>1663</v>
      </c>
      <c r="HA99" t="s">
        <v>736</v>
      </c>
      <c r="HB99" t="s">
        <v>3530</v>
      </c>
      <c r="HC99" t="s">
        <v>736</v>
      </c>
      <c r="HD99" t="s">
        <v>3531</v>
      </c>
      <c r="HE99" t="s">
        <v>798</v>
      </c>
      <c r="HF99" t="s">
        <v>862</v>
      </c>
      <c r="HG99" t="s">
        <v>736</v>
      </c>
      <c r="HH99" t="s">
        <v>3532</v>
      </c>
      <c r="HI99" t="s">
        <v>736</v>
      </c>
      <c r="HJ99" t="s">
        <v>949</v>
      </c>
      <c r="HK99" t="s">
        <v>746</v>
      </c>
      <c r="HL99" t="s">
        <v>3533</v>
      </c>
      <c r="HM99" t="s">
        <v>746</v>
      </c>
      <c r="HN99" t="s">
        <v>1140</v>
      </c>
      <c r="HO99" t="s">
        <v>746</v>
      </c>
      <c r="HP99" t="s">
        <v>3534</v>
      </c>
      <c r="HQ99" t="s">
        <v>746</v>
      </c>
      <c r="HS99" t="s">
        <v>736</v>
      </c>
      <c r="HT99" t="s">
        <v>3535</v>
      </c>
      <c r="HU99" t="s">
        <v>736</v>
      </c>
      <c r="HV99" t="s">
        <v>3536</v>
      </c>
      <c r="HW99" t="s">
        <v>746</v>
      </c>
      <c r="HX99" t="s">
        <v>3537</v>
      </c>
      <c r="HY99" t="s">
        <v>746</v>
      </c>
      <c r="HZ99" t="s">
        <v>3538</v>
      </c>
      <c r="IA99" t="s">
        <v>736</v>
      </c>
      <c r="IB99" t="s">
        <v>3539</v>
      </c>
      <c r="IC99" t="s">
        <v>733</v>
      </c>
      <c r="ID99" t="s">
        <v>3540</v>
      </c>
      <c r="IE99" t="s">
        <v>736</v>
      </c>
      <c r="IF99" t="s">
        <v>862</v>
      </c>
      <c r="IG99" t="s">
        <v>736</v>
      </c>
      <c r="IH99" t="s">
        <v>3541</v>
      </c>
      <c r="II99" t="s">
        <v>736</v>
      </c>
      <c r="IK99" t="s">
        <v>736</v>
      </c>
      <c r="IM99" t="s">
        <v>746</v>
      </c>
      <c r="IN99" t="s">
        <v>3542</v>
      </c>
      <c r="IO99" t="s">
        <v>746</v>
      </c>
      <c r="IP99" t="s">
        <v>3525</v>
      </c>
      <c r="IQ99" t="s">
        <v>746</v>
      </c>
      <c r="IR99" t="s">
        <v>3543</v>
      </c>
      <c r="IS99" t="s">
        <v>746</v>
      </c>
      <c r="IT99" t="s">
        <v>1981</v>
      </c>
      <c r="IU99" t="s">
        <v>746</v>
      </c>
      <c r="IV99" t="s">
        <v>3544</v>
      </c>
      <c r="IW99" t="s">
        <v>746</v>
      </c>
      <c r="IX99" t="s">
        <v>3545</v>
      </c>
      <c r="IY99" t="s">
        <v>746</v>
      </c>
      <c r="IZ99" t="s">
        <v>3545</v>
      </c>
      <c r="JA99" t="s">
        <v>746</v>
      </c>
      <c r="JC99" t="s">
        <v>746</v>
      </c>
      <c r="JD99" t="s">
        <v>3546</v>
      </c>
      <c r="JE99" t="s">
        <v>746</v>
      </c>
      <c r="JF99" t="s">
        <v>3547</v>
      </c>
      <c r="JG99" t="s">
        <v>746</v>
      </c>
      <c r="JH99" t="s">
        <v>3548</v>
      </c>
      <c r="JI99" t="s">
        <v>746</v>
      </c>
      <c r="JJ99" t="s">
        <v>3548</v>
      </c>
      <c r="JL99" t="s">
        <v>3549</v>
      </c>
      <c r="JO99" t="s">
        <v>746</v>
      </c>
      <c r="JP99" t="s">
        <v>945</v>
      </c>
      <c r="JQ99" t="s">
        <v>746</v>
      </c>
      <c r="JR99" t="s">
        <v>3550</v>
      </c>
      <c r="JS99" t="s">
        <v>746</v>
      </c>
      <c r="JT99" t="s">
        <v>3548</v>
      </c>
      <c r="JU99" t="s">
        <v>746</v>
      </c>
      <c r="JV99" t="s">
        <v>3548</v>
      </c>
      <c r="JW99" t="s">
        <v>746</v>
      </c>
      <c r="JX99" t="s">
        <v>3548</v>
      </c>
      <c r="JY99" t="s">
        <v>746</v>
      </c>
      <c r="JZ99" t="s">
        <v>3548</v>
      </c>
      <c r="KA99" t="s">
        <v>746</v>
      </c>
      <c r="KB99" t="s">
        <v>3551</v>
      </c>
      <c r="KC99" t="s">
        <v>746</v>
      </c>
      <c r="KD99" t="s">
        <v>3548</v>
      </c>
      <c r="KE99" t="s">
        <v>746</v>
      </c>
      <c r="KF99" t="s">
        <v>3552</v>
      </c>
      <c r="KG99" t="s">
        <v>746</v>
      </c>
      <c r="KH99" t="s">
        <v>3548</v>
      </c>
      <c r="KI99" t="s">
        <v>746</v>
      </c>
      <c r="KJ99" t="s">
        <v>3553</v>
      </c>
      <c r="KK99" t="s">
        <v>746</v>
      </c>
      <c r="KL99" t="s">
        <v>3548</v>
      </c>
      <c r="KM99" t="s">
        <v>746</v>
      </c>
      <c r="KN99" t="s">
        <v>3554</v>
      </c>
      <c r="KO99" t="s">
        <v>746</v>
      </c>
      <c r="KP99" t="s">
        <v>844</v>
      </c>
      <c r="KQ99" t="s">
        <v>746</v>
      </c>
      <c r="KR99" t="s">
        <v>3555</v>
      </c>
      <c r="KS99" t="s">
        <v>746</v>
      </c>
      <c r="KU99" t="s">
        <v>746</v>
      </c>
      <c r="KV99" t="s">
        <v>3556</v>
      </c>
      <c r="KW99" t="s">
        <v>746</v>
      </c>
      <c r="KX99" t="s">
        <v>3556</v>
      </c>
      <c r="KY99" t="s">
        <v>746</v>
      </c>
      <c r="KZ99" t="s">
        <v>3557</v>
      </c>
      <c r="LA99" t="s">
        <v>746</v>
      </c>
      <c r="LB99" t="s">
        <v>3557</v>
      </c>
      <c r="LC99" t="s">
        <v>746</v>
      </c>
      <c r="LD99" t="s">
        <v>3558</v>
      </c>
      <c r="LE99" t="s">
        <v>746</v>
      </c>
      <c r="LF99" t="s">
        <v>3559</v>
      </c>
      <c r="LG99" t="s">
        <v>746</v>
      </c>
      <c r="LH99" t="s">
        <v>3560</v>
      </c>
      <c r="LI99" t="s">
        <v>746</v>
      </c>
      <c r="LJ99" t="s">
        <v>3561</v>
      </c>
      <c r="LK99" t="s">
        <v>746</v>
      </c>
      <c r="LL99" t="s">
        <v>3562</v>
      </c>
      <c r="LM99" t="s">
        <v>746</v>
      </c>
      <c r="LN99" t="s">
        <v>3563</v>
      </c>
      <c r="LO99" t="s">
        <v>746</v>
      </c>
      <c r="LP99" t="s">
        <v>3564</v>
      </c>
      <c r="LQ99" t="s">
        <v>746</v>
      </c>
      <c r="LR99" t="s">
        <v>3565</v>
      </c>
      <c r="LS99" t="s">
        <v>733</v>
      </c>
      <c r="LT99" t="s">
        <v>3566</v>
      </c>
      <c r="LU99" t="s">
        <v>733</v>
      </c>
      <c r="LV99" t="s">
        <v>3567</v>
      </c>
      <c r="LW99" t="s">
        <v>733</v>
      </c>
      <c r="LY99" t="s">
        <v>733</v>
      </c>
      <c r="ME99" t="s">
        <v>733</v>
      </c>
      <c r="MF99" t="s">
        <v>3568</v>
      </c>
      <c r="MG99" t="s">
        <v>733</v>
      </c>
      <c r="MH99" t="s">
        <v>3569</v>
      </c>
      <c r="MI99" t="s">
        <v>746</v>
      </c>
      <c r="MJ99" t="s">
        <v>3570</v>
      </c>
      <c r="MK99" t="s">
        <v>746</v>
      </c>
      <c r="ML99" t="s">
        <v>3571</v>
      </c>
      <c r="MO99" t="s">
        <v>783</v>
      </c>
      <c r="MP99" t="s">
        <v>783</v>
      </c>
      <c r="MQ99" t="s">
        <v>783</v>
      </c>
      <c r="MR99" t="s">
        <v>783</v>
      </c>
      <c r="MS99" t="s">
        <v>783</v>
      </c>
      <c r="MT99" t="s">
        <v>783</v>
      </c>
      <c r="MU99" t="s">
        <v>783</v>
      </c>
      <c r="MV99" t="s">
        <v>783</v>
      </c>
      <c r="MW99" t="s">
        <v>783</v>
      </c>
      <c r="MX99" t="s">
        <v>783</v>
      </c>
      <c r="MZ99" t="s">
        <v>783</v>
      </c>
      <c r="NA99" t="s">
        <v>784</v>
      </c>
      <c r="NB99" t="s">
        <v>783</v>
      </c>
      <c r="NC99" t="s">
        <v>783</v>
      </c>
      <c r="ND99" t="s">
        <v>783</v>
      </c>
      <c r="NE99" t="s">
        <v>784</v>
      </c>
      <c r="NF99" t="s">
        <v>783</v>
      </c>
      <c r="NG99" t="s">
        <v>781</v>
      </c>
      <c r="NH99" t="s">
        <v>783</v>
      </c>
      <c r="NI99" t="s">
        <v>907</v>
      </c>
      <c r="NJ99" t="s">
        <v>907</v>
      </c>
      <c r="NK99" t="s">
        <v>783</v>
      </c>
      <c r="NL99" t="s">
        <v>783</v>
      </c>
      <c r="NM99" t="s">
        <v>781</v>
      </c>
      <c r="NN99" t="s">
        <v>783</v>
      </c>
      <c r="NO99" t="s">
        <v>782</v>
      </c>
      <c r="NP99" t="s">
        <v>783</v>
      </c>
      <c r="NQ99" t="s">
        <v>783</v>
      </c>
      <c r="NR99" t="s">
        <v>907</v>
      </c>
      <c r="NS99" t="s">
        <v>907</v>
      </c>
      <c r="NT99" t="s">
        <v>907</v>
      </c>
      <c r="NU99" t="s">
        <v>907</v>
      </c>
      <c r="NV99" t="s">
        <v>784</v>
      </c>
      <c r="NW99" t="s">
        <v>907</v>
      </c>
      <c r="NX99" t="s">
        <v>783</v>
      </c>
      <c r="NY99" t="s">
        <v>907</v>
      </c>
      <c r="NZ99" t="s">
        <v>783</v>
      </c>
      <c r="OA99" t="s">
        <v>783</v>
      </c>
      <c r="OB99" t="s">
        <v>784</v>
      </c>
      <c r="OC99" t="s">
        <v>783</v>
      </c>
      <c r="OD99" t="s">
        <v>781</v>
      </c>
      <c r="OE99" t="s">
        <v>783</v>
      </c>
      <c r="OF99" t="s">
        <v>783</v>
      </c>
      <c r="OG99" t="s">
        <v>907</v>
      </c>
      <c r="OH99" t="s">
        <v>783</v>
      </c>
      <c r="OI99" t="s">
        <v>783</v>
      </c>
      <c r="OJ99" t="s">
        <v>783</v>
      </c>
    </row>
    <row r="100" spans="1:400" x14ac:dyDescent="0.25">
      <c r="A100">
        <v>94</v>
      </c>
      <c r="B100" t="s">
        <v>450</v>
      </c>
      <c r="C100" t="s">
        <v>451</v>
      </c>
      <c r="D100" t="s">
        <v>57</v>
      </c>
      <c r="E100">
        <v>36</v>
      </c>
      <c r="F100" t="s">
        <v>58</v>
      </c>
      <c r="G100" t="s">
        <v>452</v>
      </c>
      <c r="H100" t="s">
        <v>60</v>
      </c>
      <c r="I100" t="s">
        <v>88</v>
      </c>
      <c r="J100" t="s">
        <v>62</v>
      </c>
      <c r="K100" t="s">
        <v>63</v>
      </c>
      <c r="M100" t="s">
        <v>77</v>
      </c>
      <c r="N100" t="s">
        <v>453</v>
      </c>
      <c r="O100">
        <v>5</v>
      </c>
      <c r="P100" s="1">
        <v>30000</v>
      </c>
      <c r="Q100" s="1">
        <f>30000*0.05</f>
        <v>1500</v>
      </c>
      <c r="R100" t="s">
        <v>140</v>
      </c>
      <c r="S100" s="7">
        <v>30000</v>
      </c>
      <c r="T100" t="s">
        <v>70</v>
      </c>
      <c r="U100" s="5">
        <v>0</v>
      </c>
      <c r="V100" s="3" t="s">
        <v>453</v>
      </c>
      <c r="W100" s="5">
        <v>10000</v>
      </c>
      <c r="X100" t="s">
        <v>94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P100" t="s">
        <v>84</v>
      </c>
      <c r="AQ100" t="s">
        <v>454</v>
      </c>
      <c r="AR100">
        <v>1</v>
      </c>
      <c r="AS100" s="2">
        <v>0.25</v>
      </c>
      <c r="AT100" t="s">
        <v>591</v>
      </c>
      <c r="AU100">
        <v>0</v>
      </c>
      <c r="AV100">
        <v>1</v>
      </c>
      <c r="AW100">
        <v>1</v>
      </c>
      <c r="AX100">
        <v>1</v>
      </c>
      <c r="AY100">
        <v>0</v>
      </c>
      <c r="AZ100" t="s">
        <v>592</v>
      </c>
      <c r="BA100" t="s">
        <v>511</v>
      </c>
      <c r="BC100" t="s">
        <v>515</v>
      </c>
      <c r="BD100" t="s">
        <v>507</v>
      </c>
      <c r="BE100">
        <v>2002</v>
      </c>
      <c r="BF100">
        <v>21</v>
      </c>
      <c r="BG100" t="s">
        <v>508</v>
      </c>
      <c r="BH100">
        <v>1</v>
      </c>
      <c r="BI100">
        <v>0</v>
      </c>
      <c r="BJ100">
        <v>0</v>
      </c>
      <c r="BK100">
        <v>0</v>
      </c>
      <c r="BL100">
        <v>0</v>
      </c>
      <c r="BM100" t="s">
        <v>63</v>
      </c>
      <c r="BN100" t="s">
        <v>63</v>
      </c>
      <c r="BO100" t="s">
        <v>3835</v>
      </c>
      <c r="BP100" t="s">
        <v>3845</v>
      </c>
      <c r="BR100" t="s">
        <v>3922</v>
      </c>
      <c r="BS100" t="s">
        <v>3838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0</v>
      </c>
      <c r="CA100" t="s">
        <v>3839</v>
      </c>
      <c r="CC100" t="s">
        <v>3920</v>
      </c>
      <c r="CD100" t="s">
        <v>3841</v>
      </c>
      <c r="CE100" t="s">
        <v>3867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N100" t="s">
        <v>84</v>
      </c>
      <c r="CO100" t="s">
        <v>84</v>
      </c>
      <c r="CZ100" s="26"/>
      <c r="DA100" s="27"/>
      <c r="DB100" t="s">
        <v>3572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J100" t="s">
        <v>63</v>
      </c>
      <c r="DK100" s="35" t="s">
        <v>4263</v>
      </c>
      <c r="DL100" s="37" t="s">
        <v>4255</v>
      </c>
      <c r="DM100" t="s">
        <v>4167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0</v>
      </c>
      <c r="EJ100">
        <v>0</v>
      </c>
      <c r="EO100" t="s">
        <v>2996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1</v>
      </c>
      <c r="EX100" t="s">
        <v>4170</v>
      </c>
      <c r="EY100" t="s">
        <v>4102</v>
      </c>
      <c r="EZ100">
        <v>0</v>
      </c>
      <c r="FA100">
        <v>0</v>
      </c>
      <c r="FB100">
        <v>0</v>
      </c>
      <c r="FC100">
        <v>1</v>
      </c>
      <c r="FG100" t="s">
        <v>4179</v>
      </c>
      <c r="FI100" t="s">
        <v>746</v>
      </c>
      <c r="FJ100" t="s">
        <v>3573</v>
      </c>
      <c r="FK100" t="s">
        <v>746</v>
      </c>
      <c r="FM100" t="s">
        <v>736</v>
      </c>
      <c r="FN100" t="s">
        <v>3574</v>
      </c>
      <c r="FO100" t="s">
        <v>736</v>
      </c>
      <c r="FQ100" t="s">
        <v>736</v>
      </c>
      <c r="FR100" t="s">
        <v>3575</v>
      </c>
      <c r="FS100" t="s">
        <v>736</v>
      </c>
      <c r="FU100" t="s">
        <v>733</v>
      </c>
      <c r="FV100" t="s">
        <v>3576</v>
      </c>
      <c r="FW100" t="s">
        <v>733</v>
      </c>
      <c r="FX100" t="s">
        <v>3577</v>
      </c>
      <c r="FY100" t="s">
        <v>746</v>
      </c>
      <c r="FZ100" t="s">
        <v>3578</v>
      </c>
      <c r="GA100" t="s">
        <v>746</v>
      </c>
      <c r="GB100" t="s">
        <v>3579</v>
      </c>
      <c r="GC100" t="s">
        <v>733</v>
      </c>
      <c r="GD100" t="s">
        <v>3580</v>
      </c>
      <c r="GE100" t="s">
        <v>733</v>
      </c>
      <c r="GG100" t="s">
        <v>746</v>
      </c>
      <c r="GH100" t="s">
        <v>3581</v>
      </c>
      <c r="GI100" t="s">
        <v>746</v>
      </c>
      <c r="GK100" t="s">
        <v>777</v>
      </c>
      <c r="GL100" t="s">
        <v>3582</v>
      </c>
      <c r="GM100" t="s">
        <v>736</v>
      </c>
      <c r="GN100" t="s">
        <v>3583</v>
      </c>
      <c r="GO100" t="s">
        <v>736</v>
      </c>
      <c r="GP100" t="s">
        <v>3584</v>
      </c>
      <c r="GQ100" t="s">
        <v>736</v>
      </c>
      <c r="GR100" t="s">
        <v>3585</v>
      </c>
      <c r="GS100" t="s">
        <v>733</v>
      </c>
      <c r="GT100" t="s">
        <v>3586</v>
      </c>
      <c r="GU100" t="s">
        <v>733</v>
      </c>
      <c r="GV100" t="s">
        <v>3587</v>
      </c>
      <c r="GW100" t="s">
        <v>746</v>
      </c>
      <c r="GX100" t="s">
        <v>3588</v>
      </c>
      <c r="GY100" t="s">
        <v>746</v>
      </c>
      <c r="HA100" t="s">
        <v>736</v>
      </c>
      <c r="HB100" t="s">
        <v>3589</v>
      </c>
      <c r="HC100" t="s">
        <v>736</v>
      </c>
      <c r="HE100" t="s">
        <v>798</v>
      </c>
      <c r="HF100" t="s">
        <v>3590</v>
      </c>
      <c r="HG100" t="s">
        <v>736</v>
      </c>
      <c r="HH100" t="s">
        <v>3591</v>
      </c>
      <c r="HI100" t="s">
        <v>736</v>
      </c>
      <c r="HK100" t="s">
        <v>736</v>
      </c>
      <c r="HL100" t="s">
        <v>3592</v>
      </c>
      <c r="HM100" t="s">
        <v>736</v>
      </c>
      <c r="HO100" t="s">
        <v>736</v>
      </c>
      <c r="HP100" t="s">
        <v>3593</v>
      </c>
      <c r="HQ100" t="s">
        <v>736</v>
      </c>
      <c r="HS100" t="s">
        <v>733</v>
      </c>
      <c r="HT100" t="s">
        <v>3594</v>
      </c>
      <c r="HU100" t="s">
        <v>733</v>
      </c>
      <c r="HV100" t="s">
        <v>3595</v>
      </c>
      <c r="HW100" t="s">
        <v>733</v>
      </c>
      <c r="HX100" t="s">
        <v>3596</v>
      </c>
      <c r="HY100" t="s">
        <v>733</v>
      </c>
      <c r="HZ100" t="s">
        <v>3597</v>
      </c>
      <c r="IA100" t="s">
        <v>733</v>
      </c>
      <c r="IB100" t="s">
        <v>3598</v>
      </c>
      <c r="IC100" t="s">
        <v>733</v>
      </c>
      <c r="ID100" t="s">
        <v>3599</v>
      </c>
      <c r="IE100" t="s">
        <v>746</v>
      </c>
      <c r="IF100" t="s">
        <v>3600</v>
      </c>
      <c r="IG100" t="s">
        <v>746</v>
      </c>
      <c r="IH100" t="s">
        <v>3601</v>
      </c>
      <c r="II100" t="s">
        <v>733</v>
      </c>
      <c r="IJ100" t="s">
        <v>3602</v>
      </c>
      <c r="IK100" t="s">
        <v>733</v>
      </c>
      <c r="IL100" t="s">
        <v>3602</v>
      </c>
      <c r="IM100" t="s">
        <v>746</v>
      </c>
      <c r="IN100" t="s">
        <v>3603</v>
      </c>
      <c r="IO100" t="s">
        <v>746</v>
      </c>
      <c r="IP100" t="s">
        <v>3604</v>
      </c>
      <c r="IQ100" t="s">
        <v>746</v>
      </c>
      <c r="IR100" t="s">
        <v>3605</v>
      </c>
      <c r="IS100" t="s">
        <v>746</v>
      </c>
      <c r="IT100" t="s">
        <v>3606</v>
      </c>
      <c r="IU100" t="s">
        <v>746</v>
      </c>
      <c r="IV100" t="s">
        <v>3607</v>
      </c>
      <c r="IW100" t="s">
        <v>746</v>
      </c>
      <c r="IX100" t="s">
        <v>3608</v>
      </c>
      <c r="IY100" t="s">
        <v>746</v>
      </c>
      <c r="IZ100" t="s">
        <v>3609</v>
      </c>
      <c r="JA100" t="s">
        <v>746</v>
      </c>
      <c r="JB100" t="s">
        <v>3610</v>
      </c>
      <c r="JC100" t="s">
        <v>746</v>
      </c>
      <c r="JD100" t="s">
        <v>3611</v>
      </c>
      <c r="JE100" t="s">
        <v>746</v>
      </c>
      <c r="JF100" t="s">
        <v>3612</v>
      </c>
      <c r="JG100" t="s">
        <v>746</v>
      </c>
      <c r="JH100" t="s">
        <v>3613</v>
      </c>
      <c r="JI100" t="s">
        <v>746</v>
      </c>
      <c r="JJ100" t="s">
        <v>3614</v>
      </c>
      <c r="JK100" t="s">
        <v>746</v>
      </c>
      <c r="JL100" t="s">
        <v>3615</v>
      </c>
      <c r="JM100" t="s">
        <v>746</v>
      </c>
      <c r="JN100" t="s">
        <v>3616</v>
      </c>
      <c r="JO100" t="s">
        <v>746</v>
      </c>
      <c r="JP100" t="s">
        <v>3617</v>
      </c>
      <c r="JQ100" t="s">
        <v>746</v>
      </c>
      <c r="JR100" t="s">
        <v>3618</v>
      </c>
      <c r="JS100" t="s">
        <v>746</v>
      </c>
      <c r="JT100" t="s">
        <v>3617</v>
      </c>
      <c r="JU100" t="s">
        <v>746</v>
      </c>
      <c r="JV100" t="s">
        <v>3618</v>
      </c>
      <c r="JW100" t="s">
        <v>746</v>
      </c>
      <c r="JX100" t="s">
        <v>3619</v>
      </c>
      <c r="JY100" t="s">
        <v>746</v>
      </c>
      <c r="JZ100" t="s">
        <v>3620</v>
      </c>
      <c r="KA100" t="s">
        <v>746</v>
      </c>
      <c r="KB100" t="s">
        <v>3617</v>
      </c>
      <c r="KC100" t="s">
        <v>746</v>
      </c>
      <c r="KD100" t="s">
        <v>3621</v>
      </c>
      <c r="KE100" t="s">
        <v>746</v>
      </c>
      <c r="KF100" t="s">
        <v>3622</v>
      </c>
      <c r="KG100" t="s">
        <v>746</v>
      </c>
      <c r="KH100" t="s">
        <v>3618</v>
      </c>
      <c r="KI100" t="s">
        <v>746</v>
      </c>
      <c r="KJ100" t="s">
        <v>3617</v>
      </c>
      <c r="KK100" t="s">
        <v>746</v>
      </c>
      <c r="KL100" t="s">
        <v>3623</v>
      </c>
      <c r="KM100" t="s">
        <v>746</v>
      </c>
      <c r="KN100" t="s">
        <v>3617</v>
      </c>
      <c r="KO100" t="s">
        <v>746</v>
      </c>
      <c r="KP100" t="s">
        <v>3624</v>
      </c>
      <c r="KQ100" t="s">
        <v>746</v>
      </c>
      <c r="KR100" t="s">
        <v>3617</v>
      </c>
      <c r="KS100" t="s">
        <v>746</v>
      </c>
      <c r="KT100" t="s">
        <v>3604</v>
      </c>
      <c r="KU100" t="s">
        <v>746</v>
      </c>
      <c r="KV100" t="s">
        <v>3617</v>
      </c>
      <c r="KW100" t="s">
        <v>746</v>
      </c>
      <c r="KX100" t="s">
        <v>3618</v>
      </c>
      <c r="KY100" t="s">
        <v>746</v>
      </c>
      <c r="KZ100" t="s">
        <v>3617</v>
      </c>
      <c r="LA100" t="s">
        <v>746</v>
      </c>
      <c r="LB100" t="s">
        <v>3618</v>
      </c>
      <c r="LC100" t="s">
        <v>746</v>
      </c>
      <c r="LD100" t="s">
        <v>3625</v>
      </c>
      <c r="LE100" t="s">
        <v>746</v>
      </c>
      <c r="LG100" t="s">
        <v>746</v>
      </c>
      <c r="LH100" t="s">
        <v>3626</v>
      </c>
      <c r="LI100" t="s">
        <v>746</v>
      </c>
      <c r="LJ100" t="s">
        <v>3626</v>
      </c>
      <c r="LK100" t="s">
        <v>733</v>
      </c>
      <c r="LL100" t="s">
        <v>3627</v>
      </c>
      <c r="LM100" t="s">
        <v>733</v>
      </c>
      <c r="LN100" t="s">
        <v>3628</v>
      </c>
      <c r="LO100" t="s">
        <v>746</v>
      </c>
      <c r="LP100" t="s">
        <v>3629</v>
      </c>
      <c r="LQ100" t="s">
        <v>746</v>
      </c>
      <c r="LR100" t="s">
        <v>3630</v>
      </c>
      <c r="LS100" t="s">
        <v>733</v>
      </c>
      <c r="LT100" t="s">
        <v>3631</v>
      </c>
      <c r="LU100" t="s">
        <v>733</v>
      </c>
      <c r="LV100" t="s">
        <v>3632</v>
      </c>
      <c r="ME100" t="s">
        <v>733</v>
      </c>
      <c r="MF100" t="s">
        <v>3633</v>
      </c>
      <c r="MG100" t="s">
        <v>733</v>
      </c>
      <c r="MH100" t="s">
        <v>3634</v>
      </c>
      <c r="MI100" t="s">
        <v>746</v>
      </c>
      <c r="MJ100" t="s">
        <v>3635</v>
      </c>
      <c r="MK100" t="s">
        <v>746</v>
      </c>
      <c r="MO100" t="s">
        <v>781</v>
      </c>
      <c r="MP100" t="s">
        <v>782</v>
      </c>
      <c r="MQ100" t="s">
        <v>781</v>
      </c>
      <c r="MR100" t="s">
        <v>781</v>
      </c>
      <c r="MS100" t="s">
        <v>784</v>
      </c>
      <c r="MT100" t="s">
        <v>781</v>
      </c>
      <c r="MU100" t="s">
        <v>781</v>
      </c>
      <c r="MV100" t="s">
        <v>781</v>
      </c>
      <c r="MW100" t="s">
        <v>784</v>
      </c>
      <c r="MX100" t="s">
        <v>781</v>
      </c>
      <c r="MZ100" t="s">
        <v>781</v>
      </c>
      <c r="NA100" t="s">
        <v>781</v>
      </c>
      <c r="NB100" t="s">
        <v>781</v>
      </c>
      <c r="NC100" t="s">
        <v>781</v>
      </c>
      <c r="ND100" t="s">
        <v>783</v>
      </c>
      <c r="NE100" t="s">
        <v>784</v>
      </c>
      <c r="NF100" t="s">
        <v>784</v>
      </c>
      <c r="NG100" t="s">
        <v>781</v>
      </c>
      <c r="NH100" t="s">
        <v>781</v>
      </c>
      <c r="NI100" t="s">
        <v>781</v>
      </c>
      <c r="NJ100" t="s">
        <v>907</v>
      </c>
      <c r="NK100" t="s">
        <v>781</v>
      </c>
      <c r="NL100" t="s">
        <v>781</v>
      </c>
      <c r="NM100" t="s">
        <v>781</v>
      </c>
      <c r="NN100" t="s">
        <v>907</v>
      </c>
      <c r="NO100" t="s">
        <v>784</v>
      </c>
      <c r="NP100" t="s">
        <v>781</v>
      </c>
      <c r="NQ100" t="s">
        <v>781</v>
      </c>
      <c r="NR100" t="s">
        <v>781</v>
      </c>
      <c r="NS100" t="s">
        <v>781</v>
      </c>
      <c r="NT100" t="s">
        <v>784</v>
      </c>
      <c r="NU100" t="s">
        <v>781</v>
      </c>
      <c r="NV100" t="s">
        <v>784</v>
      </c>
      <c r="NW100" t="s">
        <v>784</v>
      </c>
      <c r="NX100" t="s">
        <v>781</v>
      </c>
      <c r="NY100" t="s">
        <v>784</v>
      </c>
      <c r="NZ100" t="s">
        <v>781</v>
      </c>
      <c r="OA100" t="s">
        <v>781</v>
      </c>
      <c r="OB100" t="s">
        <v>784</v>
      </c>
      <c r="OC100" t="s">
        <v>781</v>
      </c>
      <c r="OD100" t="s">
        <v>781</v>
      </c>
      <c r="OE100" t="s">
        <v>781</v>
      </c>
      <c r="OF100" t="s">
        <v>781</v>
      </c>
      <c r="OG100" t="s">
        <v>781</v>
      </c>
      <c r="OH100" t="s">
        <v>781</v>
      </c>
      <c r="OI100" t="s">
        <v>781</v>
      </c>
      <c r="OJ100" t="s">
        <v>781</v>
      </c>
    </row>
    <row r="101" spans="1:400" x14ac:dyDescent="0.25">
      <c r="A101">
        <v>95</v>
      </c>
      <c r="B101" t="s">
        <v>455</v>
      </c>
      <c r="C101" t="s">
        <v>456</v>
      </c>
      <c r="D101" t="s">
        <v>57</v>
      </c>
      <c r="E101">
        <v>43</v>
      </c>
      <c r="F101" t="s">
        <v>58</v>
      </c>
      <c r="G101" t="s">
        <v>76</v>
      </c>
      <c r="H101" t="s">
        <v>60</v>
      </c>
      <c r="I101" t="s">
        <v>61</v>
      </c>
      <c r="J101" t="s">
        <v>62</v>
      </c>
      <c r="K101" t="s">
        <v>63</v>
      </c>
      <c r="M101" t="s">
        <v>146</v>
      </c>
      <c r="N101" t="s">
        <v>316</v>
      </c>
      <c r="O101">
        <v>9</v>
      </c>
      <c r="P101" s="1">
        <v>100000</v>
      </c>
      <c r="Q101" s="1">
        <v>0</v>
      </c>
      <c r="R101" t="s">
        <v>457</v>
      </c>
      <c r="S101" s="7">
        <v>46000</v>
      </c>
      <c r="T101" t="s">
        <v>316</v>
      </c>
      <c r="U101" s="5">
        <v>30000</v>
      </c>
      <c r="V101" s="3" t="s">
        <v>70</v>
      </c>
      <c r="W101" s="5">
        <v>0</v>
      </c>
      <c r="X101" t="s">
        <v>177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P101" t="s">
        <v>63</v>
      </c>
      <c r="AR101">
        <v>1</v>
      </c>
      <c r="AS101" s="2">
        <v>0.75</v>
      </c>
      <c r="AT101" t="s">
        <v>531</v>
      </c>
      <c r="AU101">
        <v>0</v>
      </c>
      <c r="AV101">
        <v>0</v>
      </c>
      <c r="AW101">
        <v>1</v>
      </c>
      <c r="AX101">
        <v>0</v>
      </c>
      <c r="AY101">
        <v>0</v>
      </c>
      <c r="AZ101" t="s">
        <v>593</v>
      </c>
      <c r="BA101" t="s">
        <v>511</v>
      </c>
      <c r="BC101" t="s">
        <v>506</v>
      </c>
      <c r="BD101" t="s">
        <v>507</v>
      </c>
      <c r="BE101">
        <v>1995</v>
      </c>
      <c r="BF101">
        <v>28</v>
      </c>
      <c r="BG101" t="s">
        <v>508</v>
      </c>
      <c r="BH101">
        <v>1</v>
      </c>
      <c r="BI101">
        <v>0</v>
      </c>
      <c r="BJ101">
        <v>0</v>
      </c>
      <c r="BK101">
        <v>0</v>
      </c>
      <c r="BL101">
        <v>0</v>
      </c>
      <c r="BM101" t="s">
        <v>63</v>
      </c>
      <c r="BN101" t="s">
        <v>63</v>
      </c>
      <c r="BO101" t="s">
        <v>3923</v>
      </c>
      <c r="BP101" t="s">
        <v>3845</v>
      </c>
      <c r="BR101" t="s">
        <v>3854</v>
      </c>
      <c r="BS101" t="s">
        <v>3838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CA101" t="s">
        <v>3839</v>
      </c>
      <c r="CC101" t="s">
        <v>3840</v>
      </c>
      <c r="CD101" t="s">
        <v>3841</v>
      </c>
      <c r="CE101" t="s">
        <v>3842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0</v>
      </c>
      <c r="CN101" t="s">
        <v>84</v>
      </c>
      <c r="CO101" t="s">
        <v>84</v>
      </c>
      <c r="CZ101" s="26"/>
      <c r="DA101" s="27"/>
      <c r="DB101" t="s">
        <v>976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J101" t="s">
        <v>63</v>
      </c>
      <c r="DK101" s="35" t="s">
        <v>4169</v>
      </c>
      <c r="DL101" s="37" t="s">
        <v>4254</v>
      </c>
      <c r="DM101" t="s">
        <v>4114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O101" t="s">
        <v>2996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</v>
      </c>
      <c r="EX101" t="s">
        <v>4173</v>
      </c>
      <c r="EY101" t="s">
        <v>4105</v>
      </c>
      <c r="EZ101">
        <v>0</v>
      </c>
      <c r="FA101">
        <v>0</v>
      </c>
      <c r="FB101">
        <v>1</v>
      </c>
      <c r="FC101">
        <v>0</v>
      </c>
      <c r="FF101" t="s">
        <v>4174</v>
      </c>
      <c r="FI101" t="s">
        <v>743</v>
      </c>
      <c r="FJ101" t="s">
        <v>3636</v>
      </c>
      <c r="FK101" t="s">
        <v>736</v>
      </c>
      <c r="FL101" t="s">
        <v>3637</v>
      </c>
      <c r="FM101" t="s">
        <v>736</v>
      </c>
      <c r="FN101" t="s">
        <v>3638</v>
      </c>
      <c r="FO101" t="s">
        <v>736</v>
      </c>
      <c r="FP101" t="s">
        <v>3639</v>
      </c>
      <c r="FQ101" t="s">
        <v>733</v>
      </c>
      <c r="FR101" t="s">
        <v>3640</v>
      </c>
      <c r="FS101" t="s">
        <v>733</v>
      </c>
      <c r="FU101" t="s">
        <v>733</v>
      </c>
      <c r="FV101" t="s">
        <v>2653</v>
      </c>
      <c r="FW101" t="s">
        <v>733</v>
      </c>
      <c r="FY101" t="s">
        <v>733</v>
      </c>
      <c r="FZ101" t="s">
        <v>3641</v>
      </c>
      <c r="GA101" t="s">
        <v>733</v>
      </c>
      <c r="GB101" t="s">
        <v>3642</v>
      </c>
      <c r="GC101" t="s">
        <v>733</v>
      </c>
      <c r="GD101" t="s">
        <v>3641</v>
      </c>
      <c r="GE101" t="s">
        <v>733</v>
      </c>
      <c r="GF101" t="s">
        <v>3642</v>
      </c>
      <c r="GG101" t="s">
        <v>733</v>
      </c>
      <c r="GH101" t="s">
        <v>2216</v>
      </c>
      <c r="GI101" t="s">
        <v>733</v>
      </c>
      <c r="GJ101" t="s">
        <v>3643</v>
      </c>
      <c r="GK101" t="s">
        <v>733</v>
      </c>
      <c r="GL101" t="s">
        <v>3644</v>
      </c>
      <c r="GM101" t="s">
        <v>733</v>
      </c>
      <c r="GN101" t="s">
        <v>3644</v>
      </c>
      <c r="GO101" t="s">
        <v>733</v>
      </c>
      <c r="GP101" t="s">
        <v>3645</v>
      </c>
      <c r="GQ101" t="s">
        <v>733</v>
      </c>
      <c r="GR101" t="s">
        <v>3645</v>
      </c>
      <c r="GS101" t="s">
        <v>733</v>
      </c>
      <c r="GT101" t="s">
        <v>2466</v>
      </c>
      <c r="GU101" t="s">
        <v>733</v>
      </c>
      <c r="GV101" t="s">
        <v>2466</v>
      </c>
      <c r="GW101" t="s">
        <v>736</v>
      </c>
      <c r="GX101" t="s">
        <v>3646</v>
      </c>
      <c r="GY101" t="s">
        <v>736</v>
      </c>
      <c r="GZ101" t="s">
        <v>3646</v>
      </c>
      <c r="HA101" t="s">
        <v>733</v>
      </c>
      <c r="HB101" t="s">
        <v>3647</v>
      </c>
      <c r="HC101" t="s">
        <v>736</v>
      </c>
      <c r="HD101" t="s">
        <v>3648</v>
      </c>
      <c r="HE101" t="s">
        <v>733</v>
      </c>
      <c r="HF101" t="s">
        <v>3649</v>
      </c>
      <c r="HG101" t="s">
        <v>736</v>
      </c>
      <c r="HH101" t="s">
        <v>3650</v>
      </c>
      <c r="HI101" t="s">
        <v>733</v>
      </c>
      <c r="HJ101" t="s">
        <v>3651</v>
      </c>
      <c r="HK101" t="s">
        <v>733</v>
      </c>
      <c r="HM101" t="s">
        <v>743</v>
      </c>
      <c r="HN101" t="s">
        <v>3652</v>
      </c>
      <c r="HO101" t="s">
        <v>743</v>
      </c>
      <c r="HP101" t="s">
        <v>3653</v>
      </c>
      <c r="HQ101" t="s">
        <v>743</v>
      </c>
      <c r="HR101" t="s">
        <v>3653</v>
      </c>
      <c r="HS101" t="s">
        <v>733</v>
      </c>
      <c r="HT101" t="s">
        <v>3654</v>
      </c>
      <c r="HU101" t="s">
        <v>736</v>
      </c>
      <c r="HV101" t="s">
        <v>3655</v>
      </c>
      <c r="HW101" t="s">
        <v>746</v>
      </c>
      <c r="HX101" t="s">
        <v>3656</v>
      </c>
      <c r="HY101" t="s">
        <v>746</v>
      </c>
      <c r="HZ101" t="s">
        <v>3657</v>
      </c>
      <c r="IA101" t="s">
        <v>743</v>
      </c>
      <c r="IB101" t="s">
        <v>3658</v>
      </c>
      <c r="IC101" t="s">
        <v>736</v>
      </c>
      <c r="ID101" t="s">
        <v>3646</v>
      </c>
      <c r="IE101" t="s">
        <v>733</v>
      </c>
      <c r="IF101" t="s">
        <v>2216</v>
      </c>
      <c r="IG101" t="s">
        <v>733</v>
      </c>
      <c r="IH101" t="s">
        <v>3643</v>
      </c>
      <c r="II101" t="s">
        <v>733</v>
      </c>
      <c r="IK101" t="s">
        <v>733</v>
      </c>
      <c r="IM101" t="s">
        <v>733</v>
      </c>
      <c r="IN101" t="s">
        <v>3659</v>
      </c>
      <c r="IO101" t="s">
        <v>733</v>
      </c>
      <c r="IP101" t="s">
        <v>3659</v>
      </c>
      <c r="IQ101" t="s">
        <v>746</v>
      </c>
      <c r="IR101" t="s">
        <v>3660</v>
      </c>
      <c r="IS101" t="s">
        <v>746</v>
      </c>
      <c r="IT101" t="s">
        <v>3660</v>
      </c>
      <c r="IU101" t="s">
        <v>733</v>
      </c>
      <c r="IV101" t="s">
        <v>3661</v>
      </c>
      <c r="IW101" t="s">
        <v>733</v>
      </c>
      <c r="IX101" t="s">
        <v>3662</v>
      </c>
      <c r="IZ101" t="s">
        <v>3663</v>
      </c>
      <c r="JB101" t="s">
        <v>3663</v>
      </c>
      <c r="JC101" t="s">
        <v>733</v>
      </c>
      <c r="JD101" t="s">
        <v>1577</v>
      </c>
      <c r="JE101" t="s">
        <v>733</v>
      </c>
      <c r="JF101" t="s">
        <v>1577</v>
      </c>
      <c r="JG101" t="s">
        <v>746</v>
      </c>
      <c r="JH101" t="s">
        <v>3664</v>
      </c>
      <c r="JI101" t="s">
        <v>746</v>
      </c>
      <c r="JJ101" t="s">
        <v>3664</v>
      </c>
      <c r="JL101" t="s">
        <v>3663</v>
      </c>
      <c r="JN101" t="s">
        <v>3663</v>
      </c>
      <c r="JO101" t="s">
        <v>746</v>
      </c>
      <c r="JP101" t="s">
        <v>3665</v>
      </c>
      <c r="JQ101" t="s">
        <v>746</v>
      </c>
      <c r="JR101" t="s">
        <v>3666</v>
      </c>
      <c r="JS101" t="s">
        <v>733</v>
      </c>
      <c r="JT101" t="s">
        <v>3667</v>
      </c>
      <c r="JU101" t="s">
        <v>733</v>
      </c>
      <c r="JV101" t="s">
        <v>3667</v>
      </c>
      <c r="JW101" t="s">
        <v>746</v>
      </c>
      <c r="JX101" t="s">
        <v>3665</v>
      </c>
      <c r="JY101" t="s">
        <v>746</v>
      </c>
      <c r="JZ101" t="s">
        <v>3666</v>
      </c>
      <c r="KB101" t="s">
        <v>3663</v>
      </c>
      <c r="KD101" t="s">
        <v>3663</v>
      </c>
      <c r="KE101" t="s">
        <v>746</v>
      </c>
      <c r="KF101" t="s">
        <v>3668</v>
      </c>
      <c r="KG101" t="s">
        <v>746</v>
      </c>
      <c r="KH101" t="s">
        <v>3669</v>
      </c>
      <c r="KI101" t="s">
        <v>746</v>
      </c>
      <c r="KJ101" t="s">
        <v>3668</v>
      </c>
      <c r="KK101" t="s">
        <v>746</v>
      </c>
      <c r="KL101" t="s">
        <v>3669</v>
      </c>
      <c r="KM101" t="s">
        <v>733</v>
      </c>
      <c r="KN101" t="s">
        <v>3670</v>
      </c>
      <c r="KO101" t="s">
        <v>733</v>
      </c>
      <c r="KP101" t="s">
        <v>3671</v>
      </c>
      <c r="KQ101" t="s">
        <v>743</v>
      </c>
      <c r="KR101" t="s">
        <v>3672</v>
      </c>
      <c r="KS101" t="s">
        <v>743</v>
      </c>
      <c r="KT101" t="s">
        <v>3672</v>
      </c>
      <c r="KU101" t="s">
        <v>733</v>
      </c>
      <c r="KV101" t="s">
        <v>3673</v>
      </c>
      <c r="KW101" t="s">
        <v>733</v>
      </c>
      <c r="KX101" t="s">
        <v>3673</v>
      </c>
      <c r="KY101" t="s">
        <v>733</v>
      </c>
      <c r="KZ101" t="s">
        <v>3673</v>
      </c>
      <c r="LA101" t="s">
        <v>733</v>
      </c>
      <c r="LB101" t="s">
        <v>3673</v>
      </c>
      <c r="LD101" t="s">
        <v>3663</v>
      </c>
      <c r="LF101" t="s">
        <v>3663</v>
      </c>
      <c r="LH101" t="s">
        <v>3663</v>
      </c>
      <c r="LJ101" t="s">
        <v>3663</v>
      </c>
      <c r="LK101" t="s">
        <v>733</v>
      </c>
      <c r="LL101" t="s">
        <v>2872</v>
      </c>
      <c r="LM101" t="s">
        <v>733</v>
      </c>
      <c r="LN101" t="s">
        <v>2872</v>
      </c>
      <c r="LO101" t="s">
        <v>746</v>
      </c>
      <c r="LP101" t="s">
        <v>3146</v>
      </c>
      <c r="LQ101" t="s">
        <v>746</v>
      </c>
      <c r="LR101" t="s">
        <v>3674</v>
      </c>
      <c r="LS101" t="s">
        <v>733</v>
      </c>
      <c r="LT101" t="s">
        <v>3675</v>
      </c>
      <c r="LU101" t="s">
        <v>733</v>
      </c>
      <c r="LV101" t="s">
        <v>3675</v>
      </c>
      <c r="LW101" t="s">
        <v>733</v>
      </c>
      <c r="LX101" t="s">
        <v>3675</v>
      </c>
      <c r="LY101" t="s">
        <v>733</v>
      </c>
      <c r="LZ101" t="s">
        <v>3675</v>
      </c>
      <c r="MA101" t="s">
        <v>733</v>
      </c>
      <c r="MB101" t="s">
        <v>3675</v>
      </c>
      <c r="MC101" t="s">
        <v>733</v>
      </c>
      <c r="MD101" t="s">
        <v>3675</v>
      </c>
      <c r="ME101" t="s">
        <v>733</v>
      </c>
      <c r="MF101" t="s">
        <v>3676</v>
      </c>
      <c r="MG101" t="s">
        <v>746</v>
      </c>
      <c r="MH101" t="s">
        <v>3677</v>
      </c>
      <c r="MJ101" t="s">
        <v>3663</v>
      </c>
      <c r="ML101" t="s">
        <v>3663</v>
      </c>
      <c r="MO101" t="s">
        <v>783</v>
      </c>
      <c r="MP101" t="s">
        <v>783</v>
      </c>
      <c r="MQ101" t="s">
        <v>783</v>
      </c>
      <c r="MR101" t="s">
        <v>783</v>
      </c>
      <c r="MS101" t="s">
        <v>783</v>
      </c>
      <c r="MT101" t="s">
        <v>783</v>
      </c>
      <c r="MU101" t="s">
        <v>783</v>
      </c>
      <c r="MV101" t="s">
        <v>783</v>
      </c>
      <c r="MW101" t="s">
        <v>783</v>
      </c>
      <c r="MX101" t="s">
        <v>783</v>
      </c>
      <c r="MZ101" t="s">
        <v>781</v>
      </c>
      <c r="NA101" t="s">
        <v>783</v>
      </c>
      <c r="NB101" t="s">
        <v>783</v>
      </c>
      <c r="NC101" t="s">
        <v>783</v>
      </c>
      <c r="ND101" t="s">
        <v>783</v>
      </c>
      <c r="NE101" t="s">
        <v>784</v>
      </c>
      <c r="NF101" t="s">
        <v>783</v>
      </c>
      <c r="NG101" t="s">
        <v>783</v>
      </c>
      <c r="NH101" t="s">
        <v>783</v>
      </c>
      <c r="NI101" t="s">
        <v>784</v>
      </c>
      <c r="NJ101" t="s">
        <v>783</v>
      </c>
      <c r="NK101" t="s">
        <v>783</v>
      </c>
      <c r="NL101" t="s">
        <v>781</v>
      </c>
      <c r="NM101" t="s">
        <v>783</v>
      </c>
      <c r="NN101" t="s">
        <v>784</v>
      </c>
      <c r="NO101" t="s">
        <v>783</v>
      </c>
      <c r="NP101" t="s">
        <v>783</v>
      </c>
      <c r="NQ101" t="s">
        <v>783</v>
      </c>
      <c r="NR101" t="s">
        <v>783</v>
      </c>
      <c r="NS101" t="s">
        <v>784</v>
      </c>
      <c r="NT101" t="s">
        <v>784</v>
      </c>
      <c r="NU101" t="s">
        <v>783</v>
      </c>
      <c r="NV101" t="s">
        <v>784</v>
      </c>
      <c r="NW101" t="s">
        <v>784</v>
      </c>
      <c r="NX101" t="s">
        <v>784</v>
      </c>
      <c r="NY101" t="s">
        <v>784</v>
      </c>
      <c r="NZ101" t="s">
        <v>783</v>
      </c>
      <c r="OA101" t="s">
        <v>783</v>
      </c>
      <c r="OB101" t="s">
        <v>784</v>
      </c>
      <c r="OC101" t="s">
        <v>784</v>
      </c>
      <c r="OD101" t="s">
        <v>783</v>
      </c>
      <c r="OE101" t="s">
        <v>783</v>
      </c>
      <c r="OF101" t="s">
        <v>783</v>
      </c>
      <c r="OG101" t="s">
        <v>784</v>
      </c>
      <c r="OH101" t="s">
        <v>784</v>
      </c>
      <c r="OI101" t="s">
        <v>783</v>
      </c>
      <c r="OJ101" t="s">
        <v>783</v>
      </c>
    </row>
    <row r="102" spans="1:400" x14ac:dyDescent="0.25">
      <c r="A102">
        <v>96</v>
      </c>
      <c r="B102" t="s">
        <v>470</v>
      </c>
      <c r="C102" t="s">
        <v>70</v>
      </c>
      <c r="D102" t="s">
        <v>97</v>
      </c>
      <c r="E102">
        <v>35</v>
      </c>
      <c r="F102" t="s">
        <v>481</v>
      </c>
      <c r="G102" t="s">
        <v>76</v>
      </c>
      <c r="H102" t="s">
        <v>60</v>
      </c>
      <c r="I102" t="s">
        <v>61</v>
      </c>
      <c r="J102" t="s">
        <v>62</v>
      </c>
      <c r="K102" t="s">
        <v>84</v>
      </c>
      <c r="L102" t="s">
        <v>98</v>
      </c>
      <c r="M102" t="s">
        <v>146</v>
      </c>
      <c r="N102" t="s">
        <v>316</v>
      </c>
      <c r="O102">
        <v>5</v>
      </c>
      <c r="P102" s="1">
        <v>12000</v>
      </c>
      <c r="Q102" s="1">
        <v>0</v>
      </c>
      <c r="R102" t="s">
        <v>70</v>
      </c>
      <c r="S102" s="7">
        <v>12000</v>
      </c>
      <c r="T102" t="s">
        <v>316</v>
      </c>
      <c r="U102" s="5">
        <v>12000</v>
      </c>
      <c r="V102" s="3" t="s">
        <v>70</v>
      </c>
      <c r="W102" s="5">
        <v>0</v>
      </c>
      <c r="X102" t="s">
        <v>177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P102" t="s">
        <v>63</v>
      </c>
      <c r="BM102" t="s">
        <v>84</v>
      </c>
      <c r="BN102" t="s">
        <v>84</v>
      </c>
      <c r="CM102" t="s">
        <v>785</v>
      </c>
      <c r="CN102" t="s">
        <v>63</v>
      </c>
      <c r="CO102" t="s">
        <v>84</v>
      </c>
      <c r="CZ102" s="26"/>
      <c r="DA102" s="27"/>
      <c r="DB102" t="s">
        <v>3678</v>
      </c>
      <c r="DC102">
        <v>1</v>
      </c>
      <c r="DD102">
        <v>0</v>
      </c>
      <c r="DE102">
        <v>1</v>
      </c>
      <c r="DF102">
        <v>0</v>
      </c>
      <c r="DG102">
        <v>0</v>
      </c>
      <c r="DH102">
        <v>1</v>
      </c>
      <c r="DI102" t="s">
        <v>3679</v>
      </c>
      <c r="DJ102" t="s">
        <v>84</v>
      </c>
      <c r="DK102" s="35"/>
      <c r="DL102" s="37"/>
      <c r="FI102" t="s">
        <v>736</v>
      </c>
      <c r="FJ102" t="s">
        <v>3680</v>
      </c>
      <c r="FK102" t="s">
        <v>736</v>
      </c>
      <c r="FL102" t="s">
        <v>3680</v>
      </c>
      <c r="FM102" t="s">
        <v>736</v>
      </c>
      <c r="FN102" t="s">
        <v>3681</v>
      </c>
      <c r="FO102" t="s">
        <v>736</v>
      </c>
      <c r="FP102" t="s">
        <v>3681</v>
      </c>
      <c r="FQ102" t="s">
        <v>736</v>
      </c>
      <c r="FR102" t="s">
        <v>3682</v>
      </c>
      <c r="FS102" t="s">
        <v>736</v>
      </c>
      <c r="FT102" t="s">
        <v>3682</v>
      </c>
      <c r="FU102" t="s">
        <v>736</v>
      </c>
      <c r="FV102" t="s">
        <v>3683</v>
      </c>
      <c r="FW102" t="s">
        <v>736</v>
      </c>
      <c r="FX102" t="s">
        <v>3683</v>
      </c>
      <c r="FY102" t="s">
        <v>746</v>
      </c>
      <c r="FZ102" t="s">
        <v>3684</v>
      </c>
      <c r="GA102" t="s">
        <v>746</v>
      </c>
      <c r="GB102" t="s">
        <v>3684</v>
      </c>
      <c r="GC102" t="s">
        <v>746</v>
      </c>
      <c r="GE102" t="s">
        <v>746</v>
      </c>
      <c r="GG102" t="s">
        <v>746</v>
      </c>
      <c r="GI102" t="s">
        <v>746</v>
      </c>
      <c r="GK102" t="s">
        <v>746</v>
      </c>
      <c r="GL102" t="s">
        <v>3685</v>
      </c>
      <c r="GM102" t="s">
        <v>746</v>
      </c>
      <c r="GN102" t="s">
        <v>3685</v>
      </c>
      <c r="GO102" t="s">
        <v>736</v>
      </c>
      <c r="GP102" t="s">
        <v>3686</v>
      </c>
      <c r="GQ102" t="s">
        <v>736</v>
      </c>
      <c r="GR102" t="s">
        <v>3686</v>
      </c>
      <c r="GS102" t="s">
        <v>746</v>
      </c>
      <c r="GT102" t="s">
        <v>3687</v>
      </c>
      <c r="GU102" t="s">
        <v>746</v>
      </c>
      <c r="GV102" t="s">
        <v>3687</v>
      </c>
      <c r="GW102" t="s">
        <v>736</v>
      </c>
      <c r="GX102" t="s">
        <v>3688</v>
      </c>
      <c r="GY102" t="s">
        <v>736</v>
      </c>
      <c r="GZ102" t="s">
        <v>3688</v>
      </c>
      <c r="HA102" t="s">
        <v>736</v>
      </c>
      <c r="HC102" t="s">
        <v>736</v>
      </c>
      <c r="HE102" t="s">
        <v>798</v>
      </c>
      <c r="HG102" t="s">
        <v>736</v>
      </c>
      <c r="HI102" t="s">
        <v>736</v>
      </c>
      <c r="HK102" t="s">
        <v>736</v>
      </c>
      <c r="HM102" t="s">
        <v>736</v>
      </c>
      <c r="HO102" t="s">
        <v>746</v>
      </c>
      <c r="HQ102" t="s">
        <v>746</v>
      </c>
      <c r="HS102" t="s">
        <v>736</v>
      </c>
      <c r="HU102" t="s">
        <v>736</v>
      </c>
      <c r="HW102" t="s">
        <v>736</v>
      </c>
      <c r="HY102" t="s">
        <v>736</v>
      </c>
      <c r="IA102" t="s">
        <v>736</v>
      </c>
      <c r="IC102" t="s">
        <v>736</v>
      </c>
      <c r="IE102" t="s">
        <v>746</v>
      </c>
      <c r="IG102" t="s">
        <v>746</v>
      </c>
      <c r="II102" t="s">
        <v>736</v>
      </c>
      <c r="IK102" t="s">
        <v>736</v>
      </c>
      <c r="IM102" t="s">
        <v>746</v>
      </c>
      <c r="IN102" t="s">
        <v>3689</v>
      </c>
      <c r="IO102" t="s">
        <v>746</v>
      </c>
      <c r="IP102" t="s">
        <v>3689</v>
      </c>
      <c r="IQ102" t="s">
        <v>746</v>
      </c>
      <c r="IR102" t="s">
        <v>3689</v>
      </c>
      <c r="IS102" t="s">
        <v>746</v>
      </c>
      <c r="IT102" t="s">
        <v>3689</v>
      </c>
      <c r="IU102" t="s">
        <v>746</v>
      </c>
      <c r="IV102" t="s">
        <v>3689</v>
      </c>
      <c r="IW102" t="s">
        <v>746</v>
      </c>
      <c r="IX102" t="s">
        <v>3689</v>
      </c>
      <c r="IY102" t="s">
        <v>746</v>
      </c>
      <c r="IZ102" t="s">
        <v>3689</v>
      </c>
      <c r="JA102" t="s">
        <v>746</v>
      </c>
      <c r="JB102" t="s">
        <v>3689</v>
      </c>
      <c r="JC102" t="s">
        <v>746</v>
      </c>
      <c r="JD102" t="s">
        <v>3689</v>
      </c>
      <c r="JE102" t="s">
        <v>746</v>
      </c>
      <c r="JF102" t="s">
        <v>3689</v>
      </c>
      <c r="JG102" t="s">
        <v>746</v>
      </c>
      <c r="JH102" t="s">
        <v>3689</v>
      </c>
      <c r="JI102" t="s">
        <v>746</v>
      </c>
      <c r="JJ102" t="s">
        <v>3689</v>
      </c>
      <c r="JK102" t="s">
        <v>746</v>
      </c>
      <c r="JL102" t="s">
        <v>3689</v>
      </c>
      <c r="JM102" t="s">
        <v>746</v>
      </c>
      <c r="JN102" t="s">
        <v>3689</v>
      </c>
      <c r="JO102" t="s">
        <v>746</v>
      </c>
      <c r="JP102" t="s">
        <v>3689</v>
      </c>
      <c r="JQ102" t="s">
        <v>746</v>
      </c>
      <c r="JR102" t="s">
        <v>3689</v>
      </c>
      <c r="JS102" t="s">
        <v>746</v>
      </c>
      <c r="JT102" t="s">
        <v>3689</v>
      </c>
      <c r="JU102" t="s">
        <v>746</v>
      </c>
      <c r="JV102" t="s">
        <v>3689</v>
      </c>
      <c r="JW102" t="s">
        <v>746</v>
      </c>
      <c r="JX102" t="s">
        <v>3689</v>
      </c>
      <c r="JY102" t="s">
        <v>746</v>
      </c>
      <c r="JZ102" t="s">
        <v>3689</v>
      </c>
      <c r="KA102" t="s">
        <v>746</v>
      </c>
      <c r="KB102" t="s">
        <v>3689</v>
      </c>
      <c r="KC102" t="s">
        <v>746</v>
      </c>
      <c r="KD102" t="s">
        <v>3689</v>
      </c>
      <c r="KE102" t="s">
        <v>746</v>
      </c>
      <c r="KF102" t="s">
        <v>3689</v>
      </c>
      <c r="KG102" t="s">
        <v>746</v>
      </c>
      <c r="KH102" t="s">
        <v>3689</v>
      </c>
      <c r="KI102" t="s">
        <v>746</v>
      </c>
      <c r="KJ102" t="s">
        <v>3689</v>
      </c>
      <c r="KK102" t="s">
        <v>746</v>
      </c>
      <c r="KL102" t="s">
        <v>3689</v>
      </c>
      <c r="KM102" t="s">
        <v>746</v>
      </c>
      <c r="KN102" t="s">
        <v>3689</v>
      </c>
      <c r="KO102" t="s">
        <v>746</v>
      </c>
      <c r="KP102" t="s">
        <v>3689</v>
      </c>
      <c r="KQ102" t="s">
        <v>746</v>
      </c>
      <c r="KR102" t="s">
        <v>3689</v>
      </c>
      <c r="KS102" t="s">
        <v>746</v>
      </c>
      <c r="KT102" t="s">
        <v>3689</v>
      </c>
      <c r="KU102" t="s">
        <v>746</v>
      </c>
      <c r="KV102" t="s">
        <v>3689</v>
      </c>
      <c r="KW102" t="s">
        <v>746</v>
      </c>
      <c r="KX102" t="s">
        <v>3689</v>
      </c>
      <c r="KY102" t="s">
        <v>746</v>
      </c>
      <c r="KZ102" t="s">
        <v>3689</v>
      </c>
      <c r="LA102" t="s">
        <v>746</v>
      </c>
      <c r="LB102" t="s">
        <v>3689</v>
      </c>
      <c r="LC102" t="s">
        <v>736</v>
      </c>
      <c r="LD102" t="s">
        <v>3690</v>
      </c>
      <c r="LE102" t="s">
        <v>736</v>
      </c>
      <c r="LF102" t="s">
        <v>3690</v>
      </c>
      <c r="LG102" t="s">
        <v>736</v>
      </c>
      <c r="LI102" t="s">
        <v>736</v>
      </c>
      <c r="LK102" t="s">
        <v>736</v>
      </c>
      <c r="LL102" t="s">
        <v>3691</v>
      </c>
      <c r="LM102" t="s">
        <v>736</v>
      </c>
      <c r="LN102" t="s">
        <v>3691</v>
      </c>
      <c r="LO102" t="s">
        <v>736</v>
      </c>
      <c r="LQ102" t="s">
        <v>736</v>
      </c>
      <c r="MO102" t="s">
        <v>781</v>
      </c>
      <c r="MP102" t="s">
        <v>783</v>
      </c>
      <c r="MQ102" t="s">
        <v>783</v>
      </c>
      <c r="MR102" t="s">
        <v>783</v>
      </c>
      <c r="MS102" t="s">
        <v>783</v>
      </c>
      <c r="MT102" t="s">
        <v>783</v>
      </c>
      <c r="MU102" t="s">
        <v>781</v>
      </c>
      <c r="MV102" t="s">
        <v>783</v>
      </c>
      <c r="MW102" t="s">
        <v>783</v>
      </c>
      <c r="MX102" t="s">
        <v>783</v>
      </c>
      <c r="MZ102" t="s">
        <v>781</v>
      </c>
      <c r="NA102" t="s">
        <v>781</v>
      </c>
      <c r="NB102" t="s">
        <v>781</v>
      </c>
      <c r="NC102" t="s">
        <v>784</v>
      </c>
      <c r="ND102" t="s">
        <v>784</v>
      </c>
      <c r="NE102" t="s">
        <v>783</v>
      </c>
      <c r="NF102" t="s">
        <v>783</v>
      </c>
      <c r="NG102" t="s">
        <v>783</v>
      </c>
      <c r="NH102" t="s">
        <v>783</v>
      </c>
      <c r="NI102" t="s">
        <v>783</v>
      </c>
      <c r="NJ102" t="s">
        <v>784</v>
      </c>
      <c r="NK102" t="s">
        <v>783</v>
      </c>
      <c r="NL102" t="s">
        <v>783</v>
      </c>
      <c r="NM102" t="s">
        <v>784</v>
      </c>
      <c r="NN102" t="s">
        <v>784</v>
      </c>
      <c r="NO102" t="s">
        <v>783</v>
      </c>
      <c r="NP102" t="s">
        <v>783</v>
      </c>
      <c r="NQ102" t="s">
        <v>783</v>
      </c>
      <c r="NR102" t="s">
        <v>784</v>
      </c>
      <c r="NS102" t="s">
        <v>784</v>
      </c>
      <c r="NT102" t="s">
        <v>783</v>
      </c>
      <c r="NU102" t="s">
        <v>783</v>
      </c>
      <c r="NV102" t="s">
        <v>784</v>
      </c>
      <c r="NW102" t="s">
        <v>783</v>
      </c>
      <c r="NX102" t="s">
        <v>783</v>
      </c>
      <c r="NY102" t="s">
        <v>783</v>
      </c>
      <c r="NZ102" t="s">
        <v>783</v>
      </c>
      <c r="OA102" t="s">
        <v>784</v>
      </c>
      <c r="OB102" t="s">
        <v>784</v>
      </c>
      <c r="OC102" t="s">
        <v>783</v>
      </c>
      <c r="OD102" t="s">
        <v>783</v>
      </c>
      <c r="OE102" t="s">
        <v>783</v>
      </c>
      <c r="OF102" t="s">
        <v>784</v>
      </c>
      <c r="OG102" t="s">
        <v>783</v>
      </c>
      <c r="OH102" t="s">
        <v>783</v>
      </c>
      <c r="OI102" t="s">
        <v>783</v>
      </c>
      <c r="OJ102" t="s">
        <v>783</v>
      </c>
    </row>
    <row r="103" spans="1:400" x14ac:dyDescent="0.25">
      <c r="A103">
        <v>97</v>
      </c>
      <c r="B103" t="s">
        <v>462</v>
      </c>
      <c r="C103" t="s">
        <v>70</v>
      </c>
      <c r="D103" t="s">
        <v>97</v>
      </c>
      <c r="E103">
        <v>37</v>
      </c>
      <c r="F103" t="s">
        <v>58</v>
      </c>
      <c r="G103" t="s">
        <v>59</v>
      </c>
      <c r="H103" t="s">
        <v>60</v>
      </c>
      <c r="I103" t="s">
        <v>61</v>
      </c>
      <c r="J103" t="s">
        <v>62</v>
      </c>
      <c r="K103" t="s">
        <v>84</v>
      </c>
      <c r="L103" t="s">
        <v>98</v>
      </c>
      <c r="M103" t="s">
        <v>146</v>
      </c>
      <c r="N103" t="s">
        <v>316</v>
      </c>
      <c r="O103">
        <v>5</v>
      </c>
      <c r="P103" s="1">
        <v>15500</v>
      </c>
      <c r="Q103" s="1">
        <f>130700*0.37</f>
        <v>48359</v>
      </c>
      <c r="R103" t="s">
        <v>464</v>
      </c>
      <c r="S103" s="7">
        <v>15500</v>
      </c>
      <c r="T103" t="s">
        <v>465</v>
      </c>
      <c r="U103" s="5">
        <v>115200</v>
      </c>
      <c r="V103" s="3" t="s">
        <v>70</v>
      </c>
      <c r="W103" s="5">
        <v>0</v>
      </c>
      <c r="X103" t="s">
        <v>467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P103" t="s">
        <v>84</v>
      </c>
      <c r="AQ103" t="s">
        <v>468</v>
      </c>
      <c r="AR103">
        <v>1</v>
      </c>
      <c r="AS103" s="2">
        <v>0.75</v>
      </c>
      <c r="AT103" t="s">
        <v>503</v>
      </c>
      <c r="AU103">
        <v>0</v>
      </c>
      <c r="AV103">
        <v>0</v>
      </c>
      <c r="AW103">
        <v>0</v>
      </c>
      <c r="AX103">
        <v>1</v>
      </c>
      <c r="AY103">
        <v>0</v>
      </c>
      <c r="BA103" t="s">
        <v>511</v>
      </c>
      <c r="BC103" t="s">
        <v>512</v>
      </c>
      <c r="BD103" t="s">
        <v>507</v>
      </c>
      <c r="BE103">
        <v>2022</v>
      </c>
      <c r="BF103">
        <v>1</v>
      </c>
      <c r="BG103" t="s">
        <v>508</v>
      </c>
      <c r="BH103">
        <v>1</v>
      </c>
      <c r="BI103">
        <v>0</v>
      </c>
      <c r="BJ103">
        <v>0</v>
      </c>
      <c r="BK103">
        <v>0</v>
      </c>
      <c r="BL103">
        <v>0</v>
      </c>
      <c r="BM103" t="s">
        <v>63</v>
      </c>
      <c r="BN103" t="s">
        <v>84</v>
      </c>
      <c r="CM103" t="s">
        <v>785</v>
      </c>
      <c r="CN103" t="s">
        <v>63</v>
      </c>
      <c r="CO103" t="s">
        <v>84</v>
      </c>
      <c r="CZ103" s="26"/>
      <c r="DA103" s="27"/>
      <c r="DB103" t="s">
        <v>976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J103" t="s">
        <v>63</v>
      </c>
      <c r="DK103" s="35" t="s">
        <v>4171</v>
      </c>
      <c r="DL103" s="37" t="s">
        <v>4257</v>
      </c>
      <c r="DM103" t="s">
        <v>4172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1</v>
      </c>
      <c r="ED103">
        <v>1</v>
      </c>
      <c r="EE103">
        <v>1</v>
      </c>
      <c r="EF103">
        <v>0</v>
      </c>
      <c r="EG103">
        <v>0</v>
      </c>
      <c r="EH103">
        <v>0</v>
      </c>
      <c r="EI103">
        <v>0</v>
      </c>
      <c r="EJ103">
        <v>0</v>
      </c>
      <c r="EO103" t="s">
        <v>2996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</v>
      </c>
      <c r="EY103" t="s">
        <v>4102</v>
      </c>
      <c r="EZ103">
        <v>0</v>
      </c>
      <c r="FA103">
        <v>0</v>
      </c>
      <c r="FB103">
        <v>0</v>
      </c>
      <c r="FC103">
        <v>1</v>
      </c>
      <c r="FG103" t="s">
        <v>4180</v>
      </c>
      <c r="FI103" t="s">
        <v>777</v>
      </c>
      <c r="FJ103" t="s">
        <v>3692</v>
      </c>
      <c r="FK103" t="s">
        <v>777</v>
      </c>
      <c r="FL103" t="s">
        <v>3692</v>
      </c>
      <c r="FM103" t="s">
        <v>733</v>
      </c>
      <c r="FN103" t="s">
        <v>3693</v>
      </c>
      <c r="FO103" t="s">
        <v>733</v>
      </c>
      <c r="FP103" t="s">
        <v>3693</v>
      </c>
      <c r="FQ103" t="s">
        <v>777</v>
      </c>
      <c r="FR103" t="s">
        <v>3694</v>
      </c>
      <c r="FS103" t="s">
        <v>777</v>
      </c>
      <c r="FT103" t="s">
        <v>3694</v>
      </c>
      <c r="FU103" t="s">
        <v>733</v>
      </c>
      <c r="FV103" t="s">
        <v>3695</v>
      </c>
      <c r="FW103" t="s">
        <v>733</v>
      </c>
      <c r="FX103" t="s">
        <v>3695</v>
      </c>
      <c r="FY103" t="s">
        <v>733</v>
      </c>
      <c r="FZ103" t="s">
        <v>3696</v>
      </c>
      <c r="GA103" t="s">
        <v>733</v>
      </c>
      <c r="GB103" t="s">
        <v>3697</v>
      </c>
      <c r="GC103" t="s">
        <v>733</v>
      </c>
      <c r="GD103" t="s">
        <v>3697</v>
      </c>
      <c r="GE103" t="s">
        <v>733</v>
      </c>
      <c r="GF103" t="s">
        <v>3697</v>
      </c>
      <c r="GG103" t="s">
        <v>743</v>
      </c>
      <c r="GH103" t="s">
        <v>3698</v>
      </c>
      <c r="GI103" t="s">
        <v>743</v>
      </c>
      <c r="GJ103" t="s">
        <v>3698</v>
      </c>
      <c r="GK103" t="s">
        <v>733</v>
      </c>
      <c r="GL103" t="s">
        <v>3699</v>
      </c>
      <c r="GM103" t="s">
        <v>777</v>
      </c>
      <c r="GN103" t="s">
        <v>3700</v>
      </c>
      <c r="GO103" t="s">
        <v>733</v>
      </c>
      <c r="GP103" t="s">
        <v>3701</v>
      </c>
      <c r="GQ103" t="s">
        <v>777</v>
      </c>
      <c r="GR103" t="s">
        <v>3702</v>
      </c>
      <c r="GS103" t="s">
        <v>733</v>
      </c>
      <c r="GT103" t="s">
        <v>3703</v>
      </c>
      <c r="GU103" t="s">
        <v>733</v>
      </c>
      <c r="GV103" t="s">
        <v>3703</v>
      </c>
      <c r="GW103" t="s">
        <v>777</v>
      </c>
      <c r="GX103" t="s">
        <v>3704</v>
      </c>
      <c r="GY103" t="s">
        <v>777</v>
      </c>
      <c r="GZ103" t="s">
        <v>3704</v>
      </c>
      <c r="HA103" t="s">
        <v>777</v>
      </c>
      <c r="HB103" t="s">
        <v>3704</v>
      </c>
      <c r="HC103" t="s">
        <v>777</v>
      </c>
      <c r="HD103" t="s">
        <v>3704</v>
      </c>
      <c r="HE103" t="s">
        <v>990</v>
      </c>
      <c r="HF103" t="s">
        <v>3704</v>
      </c>
      <c r="HG103" t="s">
        <v>777</v>
      </c>
      <c r="HH103" t="s">
        <v>3704</v>
      </c>
      <c r="HI103" t="s">
        <v>777</v>
      </c>
      <c r="HJ103" t="s">
        <v>3704</v>
      </c>
      <c r="HK103" t="s">
        <v>733</v>
      </c>
      <c r="HL103" t="s">
        <v>3705</v>
      </c>
      <c r="HM103" t="s">
        <v>733</v>
      </c>
      <c r="HN103" t="s">
        <v>3705</v>
      </c>
      <c r="HO103" t="s">
        <v>733</v>
      </c>
      <c r="HP103" t="s">
        <v>3705</v>
      </c>
      <c r="HQ103" t="s">
        <v>733</v>
      </c>
      <c r="HR103" t="s">
        <v>3705</v>
      </c>
      <c r="HS103" t="s">
        <v>733</v>
      </c>
      <c r="HT103" t="s">
        <v>3706</v>
      </c>
      <c r="HU103" t="s">
        <v>733</v>
      </c>
      <c r="HV103" t="s">
        <v>3706</v>
      </c>
      <c r="HW103" t="s">
        <v>733</v>
      </c>
      <c r="HX103" t="s">
        <v>3707</v>
      </c>
      <c r="HY103" t="s">
        <v>777</v>
      </c>
      <c r="HZ103" t="s">
        <v>3708</v>
      </c>
      <c r="IA103" t="s">
        <v>777</v>
      </c>
      <c r="IB103" t="s">
        <v>3709</v>
      </c>
      <c r="IC103" t="s">
        <v>777</v>
      </c>
      <c r="ID103" t="s">
        <v>3709</v>
      </c>
      <c r="IE103" t="s">
        <v>733</v>
      </c>
      <c r="IF103" t="s">
        <v>3540</v>
      </c>
      <c r="IG103" t="s">
        <v>733</v>
      </c>
      <c r="IH103" t="s">
        <v>3540</v>
      </c>
      <c r="II103" t="s">
        <v>777</v>
      </c>
      <c r="IJ103" t="s">
        <v>3710</v>
      </c>
      <c r="IK103" t="s">
        <v>777</v>
      </c>
      <c r="IL103" t="s">
        <v>3710</v>
      </c>
      <c r="IM103" t="s">
        <v>743</v>
      </c>
      <c r="IN103" t="s">
        <v>3711</v>
      </c>
      <c r="IO103" t="s">
        <v>743</v>
      </c>
      <c r="IP103" t="s">
        <v>3711</v>
      </c>
      <c r="IQ103" t="s">
        <v>743</v>
      </c>
      <c r="IR103" t="s">
        <v>3711</v>
      </c>
      <c r="IS103" t="s">
        <v>743</v>
      </c>
      <c r="IT103" t="s">
        <v>3711</v>
      </c>
      <c r="IU103" t="s">
        <v>743</v>
      </c>
      <c r="IV103" t="s">
        <v>3711</v>
      </c>
      <c r="IW103" t="s">
        <v>743</v>
      </c>
      <c r="IX103" t="s">
        <v>3711</v>
      </c>
      <c r="IY103" t="s">
        <v>743</v>
      </c>
      <c r="IZ103" t="s">
        <v>3711</v>
      </c>
      <c r="JA103" t="s">
        <v>743</v>
      </c>
      <c r="JB103" t="s">
        <v>3712</v>
      </c>
      <c r="JC103" t="s">
        <v>733</v>
      </c>
      <c r="JD103" t="s">
        <v>3713</v>
      </c>
      <c r="JE103" t="s">
        <v>733</v>
      </c>
      <c r="JF103" t="s">
        <v>3713</v>
      </c>
      <c r="JG103" t="s">
        <v>743</v>
      </c>
      <c r="JH103" t="s">
        <v>3712</v>
      </c>
      <c r="JI103" t="s">
        <v>743</v>
      </c>
      <c r="JJ103" t="s">
        <v>3712</v>
      </c>
      <c r="JK103" t="s">
        <v>743</v>
      </c>
      <c r="JL103" t="s">
        <v>3712</v>
      </c>
      <c r="JM103" t="s">
        <v>743</v>
      </c>
      <c r="JN103" t="s">
        <v>3712</v>
      </c>
      <c r="JO103" t="s">
        <v>743</v>
      </c>
      <c r="JP103" t="s">
        <v>3712</v>
      </c>
      <c r="JQ103" t="s">
        <v>743</v>
      </c>
      <c r="JR103" t="s">
        <v>3712</v>
      </c>
      <c r="JS103" t="s">
        <v>733</v>
      </c>
      <c r="JT103" t="s">
        <v>3714</v>
      </c>
      <c r="JU103" t="s">
        <v>777</v>
      </c>
      <c r="JV103" t="s">
        <v>3715</v>
      </c>
      <c r="JW103" t="s">
        <v>743</v>
      </c>
      <c r="JX103" t="s">
        <v>3712</v>
      </c>
      <c r="JY103" t="s">
        <v>743</v>
      </c>
      <c r="JZ103" t="s">
        <v>3712</v>
      </c>
      <c r="KA103" t="s">
        <v>743</v>
      </c>
      <c r="KB103" t="s">
        <v>3712</v>
      </c>
      <c r="KC103" t="s">
        <v>743</v>
      </c>
      <c r="KD103" t="s">
        <v>3712</v>
      </c>
      <c r="KE103" t="s">
        <v>743</v>
      </c>
      <c r="KF103" t="s">
        <v>3712</v>
      </c>
      <c r="KG103" t="s">
        <v>743</v>
      </c>
      <c r="KH103" t="s">
        <v>3712</v>
      </c>
      <c r="KI103" t="s">
        <v>743</v>
      </c>
      <c r="KJ103" t="s">
        <v>3712</v>
      </c>
      <c r="KK103" t="s">
        <v>743</v>
      </c>
      <c r="KL103" t="s">
        <v>3712</v>
      </c>
      <c r="KM103" t="s">
        <v>733</v>
      </c>
      <c r="KN103" t="s">
        <v>3716</v>
      </c>
      <c r="KO103" t="s">
        <v>733</v>
      </c>
      <c r="KP103" t="s">
        <v>3717</v>
      </c>
      <c r="KQ103" t="s">
        <v>733</v>
      </c>
      <c r="KR103" t="s">
        <v>3717</v>
      </c>
      <c r="KS103" t="s">
        <v>733</v>
      </c>
      <c r="KT103" t="s">
        <v>3717</v>
      </c>
      <c r="KU103" t="s">
        <v>733</v>
      </c>
      <c r="KV103" t="s">
        <v>3717</v>
      </c>
      <c r="KW103" t="s">
        <v>733</v>
      </c>
      <c r="KX103" t="s">
        <v>3717</v>
      </c>
      <c r="KY103" t="s">
        <v>733</v>
      </c>
      <c r="KZ103" t="s">
        <v>3717</v>
      </c>
      <c r="LA103" t="s">
        <v>733</v>
      </c>
      <c r="LB103" t="s">
        <v>3717</v>
      </c>
      <c r="LC103" t="s">
        <v>777</v>
      </c>
      <c r="LD103" t="s">
        <v>3718</v>
      </c>
      <c r="LF103" t="s">
        <v>3718</v>
      </c>
      <c r="LG103" t="s">
        <v>777</v>
      </c>
      <c r="LH103" t="s">
        <v>3718</v>
      </c>
      <c r="LI103" t="s">
        <v>777</v>
      </c>
      <c r="LJ103" t="s">
        <v>3718</v>
      </c>
      <c r="LK103" t="s">
        <v>743</v>
      </c>
      <c r="LL103" t="s">
        <v>3719</v>
      </c>
      <c r="LM103" t="s">
        <v>743</v>
      </c>
      <c r="LN103" t="s">
        <v>3719</v>
      </c>
      <c r="LO103" t="s">
        <v>733</v>
      </c>
      <c r="LP103" t="s">
        <v>3720</v>
      </c>
      <c r="LQ103" t="s">
        <v>733</v>
      </c>
      <c r="LR103" t="s">
        <v>3720</v>
      </c>
      <c r="LS103" t="s">
        <v>733</v>
      </c>
      <c r="LT103" t="s">
        <v>3721</v>
      </c>
      <c r="LU103" t="s">
        <v>733</v>
      </c>
      <c r="LV103" t="s">
        <v>3721</v>
      </c>
      <c r="LW103" t="s">
        <v>733</v>
      </c>
      <c r="LX103" t="s">
        <v>3722</v>
      </c>
      <c r="LY103" t="s">
        <v>733</v>
      </c>
      <c r="LZ103" t="s">
        <v>3722</v>
      </c>
      <c r="MA103" t="s">
        <v>733</v>
      </c>
      <c r="MB103" t="s">
        <v>3722</v>
      </c>
      <c r="MC103" t="s">
        <v>733</v>
      </c>
      <c r="MD103" t="s">
        <v>3722</v>
      </c>
      <c r="ME103" t="s">
        <v>733</v>
      </c>
      <c r="MF103" t="s">
        <v>3722</v>
      </c>
      <c r="MG103" t="s">
        <v>733</v>
      </c>
      <c r="MH103" t="s">
        <v>3722</v>
      </c>
      <c r="MI103" t="s">
        <v>743</v>
      </c>
      <c r="MJ103" t="s">
        <v>3723</v>
      </c>
      <c r="MK103" t="s">
        <v>743</v>
      </c>
      <c r="ML103" t="s">
        <v>3723</v>
      </c>
      <c r="MO103" t="s">
        <v>783</v>
      </c>
      <c r="MP103" t="s">
        <v>783</v>
      </c>
      <c r="MQ103" t="s">
        <v>783</v>
      </c>
      <c r="MR103" t="s">
        <v>783</v>
      </c>
      <c r="MS103" t="s">
        <v>783</v>
      </c>
      <c r="MT103" t="s">
        <v>783</v>
      </c>
      <c r="MU103" t="s">
        <v>783</v>
      </c>
      <c r="MV103" t="s">
        <v>783</v>
      </c>
      <c r="MW103" t="s">
        <v>783</v>
      </c>
      <c r="MX103" t="s">
        <v>783</v>
      </c>
      <c r="MZ103" t="s">
        <v>781</v>
      </c>
      <c r="NA103" t="s">
        <v>783</v>
      </c>
      <c r="NB103" t="s">
        <v>784</v>
      </c>
      <c r="NC103" t="s">
        <v>783</v>
      </c>
      <c r="ND103" t="s">
        <v>783</v>
      </c>
      <c r="NE103" t="s">
        <v>784</v>
      </c>
      <c r="NF103" t="s">
        <v>907</v>
      </c>
      <c r="NG103" t="s">
        <v>783</v>
      </c>
      <c r="NH103" t="s">
        <v>783</v>
      </c>
      <c r="NI103" t="s">
        <v>783</v>
      </c>
      <c r="NJ103" t="s">
        <v>783</v>
      </c>
      <c r="NK103" t="s">
        <v>783</v>
      </c>
      <c r="NL103" t="s">
        <v>783</v>
      </c>
      <c r="NM103" t="s">
        <v>783</v>
      </c>
      <c r="NN103" t="s">
        <v>784</v>
      </c>
      <c r="NO103" t="s">
        <v>783</v>
      </c>
      <c r="NP103" t="s">
        <v>783</v>
      </c>
      <c r="NQ103" t="s">
        <v>781</v>
      </c>
      <c r="NR103" t="s">
        <v>783</v>
      </c>
      <c r="NS103" t="s">
        <v>784</v>
      </c>
      <c r="NT103" t="s">
        <v>784</v>
      </c>
      <c r="NU103" t="s">
        <v>783</v>
      </c>
      <c r="NV103" t="s">
        <v>784</v>
      </c>
      <c r="NW103" t="s">
        <v>784</v>
      </c>
      <c r="NX103" t="s">
        <v>784</v>
      </c>
      <c r="NY103" t="s">
        <v>783</v>
      </c>
      <c r="NZ103" t="s">
        <v>783</v>
      </c>
      <c r="OA103" t="s">
        <v>783</v>
      </c>
      <c r="OB103" t="s">
        <v>783</v>
      </c>
      <c r="OC103" t="s">
        <v>784</v>
      </c>
      <c r="OD103" t="s">
        <v>783</v>
      </c>
      <c r="OE103" t="s">
        <v>783</v>
      </c>
      <c r="OF103" t="s">
        <v>783</v>
      </c>
      <c r="OH103" t="s">
        <v>783</v>
      </c>
      <c r="OI103" t="s">
        <v>783</v>
      </c>
      <c r="OJ103" t="s">
        <v>783</v>
      </c>
    </row>
    <row r="104" spans="1:400" x14ac:dyDescent="0.25">
      <c r="A104">
        <v>98</v>
      </c>
      <c r="B104" t="s">
        <v>469</v>
      </c>
      <c r="C104" t="s">
        <v>70</v>
      </c>
      <c r="D104" t="s">
        <v>57</v>
      </c>
      <c r="E104">
        <v>61</v>
      </c>
      <c r="F104" t="s">
        <v>58</v>
      </c>
      <c r="G104" t="s">
        <v>59</v>
      </c>
      <c r="H104" t="s">
        <v>60</v>
      </c>
      <c r="I104" t="s">
        <v>61</v>
      </c>
      <c r="J104" t="s">
        <v>62</v>
      </c>
      <c r="K104" t="s">
        <v>63</v>
      </c>
      <c r="M104" t="s">
        <v>146</v>
      </c>
      <c r="N104" t="s">
        <v>224</v>
      </c>
      <c r="O104">
        <v>3</v>
      </c>
      <c r="P104" s="1">
        <v>130700</v>
      </c>
      <c r="Q104" s="1">
        <v>30000</v>
      </c>
      <c r="R104" t="s">
        <v>148</v>
      </c>
      <c r="S104" s="7">
        <v>13000</v>
      </c>
      <c r="T104" t="s">
        <v>70</v>
      </c>
      <c r="U104" s="5">
        <v>0</v>
      </c>
      <c r="V104" s="3" t="s">
        <v>224</v>
      </c>
      <c r="W104" s="5">
        <v>30000</v>
      </c>
      <c r="X104" t="s">
        <v>467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P104" t="s">
        <v>63</v>
      </c>
      <c r="AR104">
        <v>1</v>
      </c>
      <c r="AS104" s="2">
        <v>0.25</v>
      </c>
      <c r="AT104" t="s">
        <v>516</v>
      </c>
      <c r="AU104">
        <v>1</v>
      </c>
      <c r="AV104">
        <v>0</v>
      </c>
      <c r="AW104">
        <v>0</v>
      </c>
      <c r="AX104">
        <v>0</v>
      </c>
      <c r="AY104">
        <v>0</v>
      </c>
      <c r="AZ104" t="s">
        <v>162</v>
      </c>
      <c r="BA104" t="s">
        <v>505</v>
      </c>
      <c r="BB104">
        <v>1</v>
      </c>
      <c r="BC104" t="s">
        <v>512</v>
      </c>
      <c r="BD104" t="s">
        <v>507</v>
      </c>
      <c r="BE104">
        <v>2005</v>
      </c>
      <c r="BF104">
        <v>18</v>
      </c>
      <c r="BG104" t="s">
        <v>508</v>
      </c>
      <c r="BH104">
        <v>1</v>
      </c>
      <c r="BI104">
        <v>0</v>
      </c>
      <c r="BJ104">
        <v>0</v>
      </c>
      <c r="BK104">
        <v>0</v>
      </c>
      <c r="BL104">
        <v>0</v>
      </c>
      <c r="BM104" t="s">
        <v>63</v>
      </c>
      <c r="BN104" t="s">
        <v>84</v>
      </c>
      <c r="CM104" t="s">
        <v>785</v>
      </c>
      <c r="CN104" t="s">
        <v>84</v>
      </c>
      <c r="CO104" t="s">
        <v>732</v>
      </c>
      <c r="CP104" t="s">
        <v>4049</v>
      </c>
      <c r="CQ104" t="s">
        <v>2996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 t="s">
        <v>4050</v>
      </c>
      <c r="CZ104" s="26" t="s">
        <v>4051</v>
      </c>
      <c r="DA104" s="27" t="s">
        <v>4192</v>
      </c>
      <c r="DJ104" t="s">
        <v>84</v>
      </c>
      <c r="DK104" s="35"/>
      <c r="DL104" s="37" t="s">
        <v>4254</v>
      </c>
      <c r="FI104" t="s">
        <v>777</v>
      </c>
      <c r="FJ104" t="s">
        <v>3688</v>
      </c>
      <c r="FK104" t="s">
        <v>777</v>
      </c>
      <c r="FL104" t="s">
        <v>3688</v>
      </c>
      <c r="FM104" t="s">
        <v>733</v>
      </c>
      <c r="FN104" t="s">
        <v>3724</v>
      </c>
      <c r="FO104" t="s">
        <v>733</v>
      </c>
      <c r="FP104" t="s">
        <v>3724</v>
      </c>
      <c r="FQ104" t="s">
        <v>777</v>
      </c>
      <c r="FR104" t="s">
        <v>3725</v>
      </c>
      <c r="FS104" t="s">
        <v>777</v>
      </c>
      <c r="FT104" t="s">
        <v>3726</v>
      </c>
      <c r="FU104" t="s">
        <v>733</v>
      </c>
      <c r="FV104" t="s">
        <v>3727</v>
      </c>
      <c r="FW104" t="s">
        <v>733</v>
      </c>
      <c r="FX104" t="s">
        <v>3727</v>
      </c>
      <c r="FY104" t="s">
        <v>733</v>
      </c>
      <c r="FZ104" t="s">
        <v>3728</v>
      </c>
      <c r="GA104" t="s">
        <v>733</v>
      </c>
      <c r="GB104" t="s">
        <v>3728</v>
      </c>
      <c r="GC104" t="s">
        <v>733</v>
      </c>
      <c r="GD104" t="s">
        <v>3728</v>
      </c>
      <c r="GE104" t="s">
        <v>733</v>
      </c>
      <c r="GF104" t="s">
        <v>3728</v>
      </c>
      <c r="GG104" t="s">
        <v>743</v>
      </c>
      <c r="GH104" t="s">
        <v>3729</v>
      </c>
      <c r="GI104" t="s">
        <v>743</v>
      </c>
      <c r="GJ104" t="s">
        <v>3729</v>
      </c>
      <c r="GK104" t="s">
        <v>733</v>
      </c>
      <c r="GL104" t="s">
        <v>3730</v>
      </c>
      <c r="GM104" t="s">
        <v>733</v>
      </c>
      <c r="GN104" t="s">
        <v>3731</v>
      </c>
      <c r="GO104" t="s">
        <v>733</v>
      </c>
      <c r="GP104" t="s">
        <v>3730</v>
      </c>
      <c r="GQ104" t="s">
        <v>733</v>
      </c>
      <c r="GR104" t="s">
        <v>3730</v>
      </c>
      <c r="GS104" t="s">
        <v>733</v>
      </c>
      <c r="GT104" t="s">
        <v>3730</v>
      </c>
      <c r="GU104" t="s">
        <v>733</v>
      </c>
      <c r="GV104" t="s">
        <v>3730</v>
      </c>
      <c r="GW104" t="s">
        <v>777</v>
      </c>
      <c r="GX104" t="s">
        <v>3688</v>
      </c>
      <c r="GY104" t="s">
        <v>777</v>
      </c>
      <c r="GZ104" t="s">
        <v>3688</v>
      </c>
      <c r="HA104" t="s">
        <v>777</v>
      </c>
      <c r="HB104" t="s">
        <v>3732</v>
      </c>
      <c r="HC104" t="s">
        <v>777</v>
      </c>
      <c r="HD104" t="s">
        <v>3732</v>
      </c>
      <c r="HE104" t="s">
        <v>990</v>
      </c>
      <c r="HF104" t="s">
        <v>3732</v>
      </c>
      <c r="HG104" t="s">
        <v>777</v>
      </c>
      <c r="HH104" t="s">
        <v>3732</v>
      </c>
      <c r="HI104" t="s">
        <v>777</v>
      </c>
      <c r="HJ104" t="s">
        <v>3732</v>
      </c>
      <c r="HK104" t="s">
        <v>733</v>
      </c>
      <c r="HL104" t="s">
        <v>3733</v>
      </c>
      <c r="HM104" t="s">
        <v>733</v>
      </c>
      <c r="HN104" t="s">
        <v>3733</v>
      </c>
      <c r="HO104" t="s">
        <v>733</v>
      </c>
      <c r="HP104" t="s">
        <v>3733</v>
      </c>
      <c r="HQ104" t="s">
        <v>733</v>
      </c>
      <c r="HR104" t="s">
        <v>3733</v>
      </c>
      <c r="HS104" t="s">
        <v>733</v>
      </c>
      <c r="HT104" t="s">
        <v>3734</v>
      </c>
      <c r="HU104" t="s">
        <v>733</v>
      </c>
      <c r="HV104" t="s">
        <v>3734</v>
      </c>
      <c r="HW104" t="s">
        <v>733</v>
      </c>
      <c r="HX104" t="s">
        <v>3735</v>
      </c>
      <c r="HY104" t="s">
        <v>733</v>
      </c>
      <c r="HZ104" t="s">
        <v>3735</v>
      </c>
      <c r="IA104" t="s">
        <v>777</v>
      </c>
      <c r="IB104" t="s">
        <v>3736</v>
      </c>
      <c r="IC104" t="s">
        <v>777</v>
      </c>
      <c r="ID104" t="s">
        <v>3736</v>
      </c>
      <c r="IE104" t="s">
        <v>733</v>
      </c>
      <c r="IF104" t="s">
        <v>3737</v>
      </c>
      <c r="IG104" t="s">
        <v>733</v>
      </c>
      <c r="IH104" t="s">
        <v>3737</v>
      </c>
      <c r="II104" t="s">
        <v>777</v>
      </c>
      <c r="IJ104" t="s">
        <v>3738</v>
      </c>
      <c r="IK104" t="s">
        <v>777</v>
      </c>
      <c r="IL104" t="s">
        <v>3738</v>
      </c>
      <c r="IM104" t="s">
        <v>733</v>
      </c>
      <c r="IN104" t="s">
        <v>3739</v>
      </c>
      <c r="IO104" t="s">
        <v>743</v>
      </c>
      <c r="IP104" t="s">
        <v>3740</v>
      </c>
      <c r="IQ104" t="s">
        <v>743</v>
      </c>
      <c r="IR104" t="s">
        <v>3740</v>
      </c>
      <c r="IS104" t="s">
        <v>743</v>
      </c>
      <c r="IT104" t="s">
        <v>3740</v>
      </c>
      <c r="IU104" t="s">
        <v>743</v>
      </c>
      <c r="IV104" t="s">
        <v>3740</v>
      </c>
      <c r="IW104" t="s">
        <v>743</v>
      </c>
      <c r="IX104" t="s">
        <v>3740</v>
      </c>
      <c r="IY104" t="s">
        <v>743</v>
      </c>
      <c r="IZ104" t="s">
        <v>3740</v>
      </c>
      <c r="JA104" t="s">
        <v>743</v>
      </c>
      <c r="JB104" t="s">
        <v>3740</v>
      </c>
      <c r="JC104" t="s">
        <v>743</v>
      </c>
      <c r="JD104" t="s">
        <v>3740</v>
      </c>
      <c r="JE104" t="s">
        <v>743</v>
      </c>
      <c r="JF104" t="s">
        <v>3740</v>
      </c>
      <c r="JG104" t="s">
        <v>743</v>
      </c>
      <c r="JH104" t="s">
        <v>3740</v>
      </c>
      <c r="JI104" t="s">
        <v>743</v>
      </c>
      <c r="JJ104" t="s">
        <v>3740</v>
      </c>
      <c r="JK104" t="s">
        <v>743</v>
      </c>
      <c r="JL104" t="s">
        <v>3740</v>
      </c>
      <c r="JM104" t="s">
        <v>743</v>
      </c>
      <c r="JN104" t="s">
        <v>3740</v>
      </c>
      <c r="JO104" t="s">
        <v>743</v>
      </c>
      <c r="JP104" t="s">
        <v>3740</v>
      </c>
      <c r="JQ104" t="s">
        <v>743</v>
      </c>
      <c r="JR104" t="s">
        <v>3740</v>
      </c>
      <c r="JS104" t="s">
        <v>733</v>
      </c>
      <c r="JT104" t="s">
        <v>3741</v>
      </c>
      <c r="JU104" t="s">
        <v>733</v>
      </c>
      <c r="JV104" t="s">
        <v>3742</v>
      </c>
      <c r="JW104" t="s">
        <v>743</v>
      </c>
      <c r="JX104" t="s">
        <v>3740</v>
      </c>
      <c r="JY104" t="s">
        <v>743</v>
      </c>
      <c r="JZ104" t="s">
        <v>3740</v>
      </c>
      <c r="KA104" t="s">
        <v>743</v>
      </c>
      <c r="KB104" t="s">
        <v>3740</v>
      </c>
      <c r="KC104" t="s">
        <v>743</v>
      </c>
      <c r="KD104" t="s">
        <v>3740</v>
      </c>
      <c r="KE104" t="s">
        <v>743</v>
      </c>
      <c r="KF104" t="s">
        <v>3740</v>
      </c>
      <c r="KG104" t="s">
        <v>743</v>
      </c>
      <c r="KH104" t="s">
        <v>3740</v>
      </c>
      <c r="KI104" t="s">
        <v>743</v>
      </c>
      <c r="KJ104" t="s">
        <v>3740</v>
      </c>
      <c r="KK104" t="s">
        <v>743</v>
      </c>
      <c r="KL104" t="s">
        <v>3740</v>
      </c>
      <c r="KM104" t="s">
        <v>743</v>
      </c>
      <c r="KN104" t="s">
        <v>3740</v>
      </c>
      <c r="KO104" t="s">
        <v>733</v>
      </c>
      <c r="KP104" t="s">
        <v>3743</v>
      </c>
      <c r="KQ104" t="s">
        <v>733</v>
      </c>
      <c r="KR104" t="s">
        <v>3743</v>
      </c>
      <c r="KS104" t="s">
        <v>733</v>
      </c>
      <c r="KT104" t="s">
        <v>3743</v>
      </c>
      <c r="KU104" t="s">
        <v>733</v>
      </c>
      <c r="KW104" t="s">
        <v>733</v>
      </c>
      <c r="KY104" t="s">
        <v>733</v>
      </c>
      <c r="LA104" t="s">
        <v>733</v>
      </c>
      <c r="LC104" t="s">
        <v>777</v>
      </c>
      <c r="LE104" t="s">
        <v>777</v>
      </c>
      <c r="LG104" t="s">
        <v>777</v>
      </c>
      <c r="LI104" t="s">
        <v>777</v>
      </c>
      <c r="LK104" t="s">
        <v>743</v>
      </c>
      <c r="LL104" t="s">
        <v>3744</v>
      </c>
      <c r="LM104" t="s">
        <v>743</v>
      </c>
      <c r="LN104" t="s">
        <v>3744</v>
      </c>
      <c r="LO104" t="s">
        <v>777</v>
      </c>
      <c r="LP104" t="s">
        <v>3745</v>
      </c>
      <c r="LR104" t="s">
        <v>3745</v>
      </c>
      <c r="LS104" t="s">
        <v>733</v>
      </c>
      <c r="LT104" t="s">
        <v>3746</v>
      </c>
      <c r="LU104" t="s">
        <v>733</v>
      </c>
      <c r="LV104" t="s">
        <v>3746</v>
      </c>
      <c r="LW104" t="s">
        <v>777</v>
      </c>
      <c r="LX104" t="s">
        <v>3747</v>
      </c>
      <c r="LY104" t="s">
        <v>777</v>
      </c>
      <c r="LZ104" t="s">
        <v>3747</v>
      </c>
      <c r="MA104" t="s">
        <v>777</v>
      </c>
      <c r="MB104" t="s">
        <v>3747</v>
      </c>
      <c r="MC104" t="s">
        <v>777</v>
      </c>
      <c r="MD104" t="s">
        <v>3747</v>
      </c>
      <c r="ME104" t="s">
        <v>777</v>
      </c>
      <c r="MF104" t="s">
        <v>3747</v>
      </c>
      <c r="MG104" t="s">
        <v>777</v>
      </c>
      <c r="MH104" t="s">
        <v>3747</v>
      </c>
      <c r="MI104" t="s">
        <v>743</v>
      </c>
      <c r="MJ104" t="s">
        <v>3748</v>
      </c>
      <c r="MK104" t="s">
        <v>743</v>
      </c>
      <c r="ML104" t="s">
        <v>3748</v>
      </c>
      <c r="MO104" t="s">
        <v>783</v>
      </c>
      <c r="MP104" t="s">
        <v>783</v>
      </c>
      <c r="MQ104" t="s">
        <v>783</v>
      </c>
      <c r="MR104" t="s">
        <v>783</v>
      </c>
      <c r="MS104" t="s">
        <v>784</v>
      </c>
      <c r="MT104" t="s">
        <v>783</v>
      </c>
      <c r="MU104" t="s">
        <v>783</v>
      </c>
      <c r="MV104" t="s">
        <v>783</v>
      </c>
      <c r="MW104" t="s">
        <v>783</v>
      </c>
      <c r="MX104" t="s">
        <v>783</v>
      </c>
      <c r="MZ104" t="s">
        <v>781</v>
      </c>
      <c r="NA104" t="s">
        <v>781</v>
      </c>
      <c r="NB104" t="s">
        <v>781</v>
      </c>
      <c r="NC104" t="s">
        <v>781</v>
      </c>
      <c r="ND104" t="s">
        <v>783</v>
      </c>
      <c r="NE104" t="s">
        <v>784</v>
      </c>
      <c r="NF104" t="s">
        <v>783</v>
      </c>
      <c r="NG104" t="s">
        <v>783</v>
      </c>
      <c r="NH104" t="s">
        <v>783</v>
      </c>
      <c r="NI104" t="s">
        <v>784</v>
      </c>
      <c r="NJ104" t="s">
        <v>783</v>
      </c>
      <c r="NK104" t="s">
        <v>784</v>
      </c>
      <c r="NL104" t="s">
        <v>783</v>
      </c>
      <c r="NM104" t="s">
        <v>783</v>
      </c>
      <c r="NN104" t="s">
        <v>784</v>
      </c>
      <c r="NO104" t="s">
        <v>784</v>
      </c>
      <c r="NP104" t="s">
        <v>784</v>
      </c>
      <c r="NQ104" t="s">
        <v>781</v>
      </c>
      <c r="NR104" t="s">
        <v>781</v>
      </c>
      <c r="NS104" t="s">
        <v>783</v>
      </c>
      <c r="NT104" t="s">
        <v>784</v>
      </c>
      <c r="NU104" t="s">
        <v>781</v>
      </c>
      <c r="NV104" t="s">
        <v>783</v>
      </c>
      <c r="NW104" t="s">
        <v>783</v>
      </c>
      <c r="NX104" t="s">
        <v>783</v>
      </c>
      <c r="NY104" t="s">
        <v>784</v>
      </c>
      <c r="NZ104" t="s">
        <v>784</v>
      </c>
      <c r="OA104" t="s">
        <v>783</v>
      </c>
      <c r="OB104" t="s">
        <v>783</v>
      </c>
      <c r="OC104" t="s">
        <v>784</v>
      </c>
      <c r="OD104" t="s">
        <v>783</v>
      </c>
      <c r="OE104" t="s">
        <v>783</v>
      </c>
      <c r="OF104" t="s">
        <v>783</v>
      </c>
      <c r="OG104" t="s">
        <v>783</v>
      </c>
      <c r="OH104" t="s">
        <v>783</v>
      </c>
      <c r="OI104" t="s">
        <v>783</v>
      </c>
      <c r="OJ104" t="s">
        <v>783</v>
      </c>
    </row>
    <row r="105" spans="1:400" x14ac:dyDescent="0.25">
      <c r="A105">
        <v>99</v>
      </c>
      <c r="B105" t="s">
        <v>3749</v>
      </c>
      <c r="C105" t="s">
        <v>473</v>
      </c>
      <c r="D105" t="s">
        <v>97</v>
      </c>
      <c r="E105">
        <v>30</v>
      </c>
      <c r="F105" t="s">
        <v>58</v>
      </c>
      <c r="G105" t="s">
        <v>76</v>
      </c>
      <c r="H105" t="s">
        <v>60</v>
      </c>
      <c r="I105" t="s">
        <v>61</v>
      </c>
      <c r="J105" t="s">
        <v>62</v>
      </c>
      <c r="K105" t="s">
        <v>84</v>
      </c>
      <c r="L105" t="s">
        <v>98</v>
      </c>
      <c r="M105" t="s">
        <v>146</v>
      </c>
      <c r="N105" t="s">
        <v>316</v>
      </c>
      <c r="O105">
        <v>5</v>
      </c>
      <c r="P105" s="1">
        <v>48000</v>
      </c>
      <c r="Q105" s="1">
        <v>0</v>
      </c>
      <c r="R105" t="s">
        <v>70</v>
      </c>
      <c r="S105" s="7">
        <v>48000</v>
      </c>
      <c r="T105" t="s">
        <v>316</v>
      </c>
      <c r="U105" s="5">
        <v>48000</v>
      </c>
      <c r="V105" s="3" t="s">
        <v>70</v>
      </c>
      <c r="W105" s="5">
        <v>0</v>
      </c>
      <c r="X105" t="s">
        <v>83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P105" t="s">
        <v>63</v>
      </c>
      <c r="BM105" t="s">
        <v>63</v>
      </c>
      <c r="BN105" t="s">
        <v>84</v>
      </c>
      <c r="CM105" t="s">
        <v>785</v>
      </c>
      <c r="CN105" t="s">
        <v>63</v>
      </c>
      <c r="CO105" t="s">
        <v>84</v>
      </c>
      <c r="CZ105" s="26"/>
      <c r="DA105" s="27"/>
      <c r="DB105" t="s">
        <v>976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J105" t="s">
        <v>63</v>
      </c>
      <c r="DK105" s="35" t="s">
        <v>4175</v>
      </c>
      <c r="DL105" s="37"/>
      <c r="DM105" t="s">
        <v>4114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O105" t="s">
        <v>4126</v>
      </c>
      <c r="EP105">
        <v>1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 t="s">
        <v>4176</v>
      </c>
      <c r="EY105" t="s">
        <v>4102</v>
      </c>
      <c r="EZ105">
        <v>0</v>
      </c>
      <c r="FA105">
        <v>0</v>
      </c>
      <c r="FB105">
        <v>0</v>
      </c>
      <c r="FC105">
        <v>1</v>
      </c>
      <c r="FG105" t="s">
        <v>4181</v>
      </c>
      <c r="FI105" t="s">
        <v>733</v>
      </c>
      <c r="FJ105" t="s">
        <v>3750</v>
      </c>
      <c r="FK105" t="s">
        <v>733</v>
      </c>
      <c r="FL105" t="s">
        <v>3750</v>
      </c>
      <c r="FM105" t="s">
        <v>733</v>
      </c>
      <c r="FN105" t="s">
        <v>3751</v>
      </c>
      <c r="FO105" t="s">
        <v>733</v>
      </c>
      <c r="FP105" t="s">
        <v>3751</v>
      </c>
      <c r="FQ105" t="s">
        <v>777</v>
      </c>
      <c r="FR105" t="s">
        <v>3752</v>
      </c>
      <c r="FS105" t="s">
        <v>777</v>
      </c>
      <c r="FT105" t="s">
        <v>3753</v>
      </c>
      <c r="FU105" t="s">
        <v>777</v>
      </c>
      <c r="FV105" t="s">
        <v>3754</v>
      </c>
      <c r="FW105" t="s">
        <v>777</v>
      </c>
      <c r="FX105" t="s">
        <v>3754</v>
      </c>
      <c r="FY105" t="s">
        <v>733</v>
      </c>
      <c r="FZ105" t="s">
        <v>3755</v>
      </c>
      <c r="GA105" t="s">
        <v>743</v>
      </c>
      <c r="GB105" t="s">
        <v>3756</v>
      </c>
      <c r="GC105" t="s">
        <v>733</v>
      </c>
      <c r="GD105" t="s">
        <v>3755</v>
      </c>
      <c r="GE105" t="s">
        <v>743</v>
      </c>
      <c r="GF105" t="s">
        <v>3757</v>
      </c>
      <c r="GG105" t="s">
        <v>733</v>
      </c>
      <c r="GH105" t="s">
        <v>3755</v>
      </c>
      <c r="GI105" t="s">
        <v>733</v>
      </c>
      <c r="GJ105" t="s">
        <v>3755</v>
      </c>
      <c r="GK105" t="s">
        <v>733</v>
      </c>
      <c r="GL105" t="s">
        <v>1626</v>
      </c>
      <c r="GM105" t="s">
        <v>733</v>
      </c>
      <c r="GN105" t="s">
        <v>3758</v>
      </c>
      <c r="GO105" t="s">
        <v>777</v>
      </c>
      <c r="GP105" t="s">
        <v>3759</v>
      </c>
      <c r="GQ105" t="s">
        <v>777</v>
      </c>
      <c r="GR105" t="s">
        <v>3760</v>
      </c>
      <c r="GS105" t="s">
        <v>733</v>
      </c>
      <c r="GT105" t="s">
        <v>3761</v>
      </c>
      <c r="GU105" t="s">
        <v>733</v>
      </c>
      <c r="GV105" t="s">
        <v>3762</v>
      </c>
      <c r="GW105" t="s">
        <v>777</v>
      </c>
      <c r="GX105" t="s">
        <v>1339</v>
      </c>
      <c r="GY105" t="s">
        <v>777</v>
      </c>
      <c r="GZ105" t="s">
        <v>3763</v>
      </c>
      <c r="HA105" t="s">
        <v>777</v>
      </c>
      <c r="HB105" t="s">
        <v>1339</v>
      </c>
      <c r="HC105" t="s">
        <v>777</v>
      </c>
      <c r="HD105" t="s">
        <v>3763</v>
      </c>
      <c r="HE105" t="s">
        <v>990</v>
      </c>
      <c r="HF105" t="s">
        <v>1339</v>
      </c>
      <c r="HG105" t="s">
        <v>777</v>
      </c>
      <c r="HH105" t="s">
        <v>3763</v>
      </c>
      <c r="HI105" t="s">
        <v>777</v>
      </c>
      <c r="HJ105" t="s">
        <v>3763</v>
      </c>
      <c r="HK105" t="s">
        <v>733</v>
      </c>
      <c r="HL105" t="s">
        <v>3764</v>
      </c>
      <c r="HM105" t="s">
        <v>733</v>
      </c>
      <c r="HN105" t="s">
        <v>3765</v>
      </c>
      <c r="HO105" t="s">
        <v>733</v>
      </c>
      <c r="HP105" t="s">
        <v>3764</v>
      </c>
      <c r="HQ105" t="s">
        <v>733</v>
      </c>
      <c r="HR105" t="s">
        <v>3764</v>
      </c>
      <c r="HS105" t="s">
        <v>777</v>
      </c>
      <c r="HT105" t="s">
        <v>3766</v>
      </c>
      <c r="HU105" t="s">
        <v>777</v>
      </c>
      <c r="HV105" t="s">
        <v>3767</v>
      </c>
      <c r="HW105" t="s">
        <v>733</v>
      </c>
      <c r="HX105" t="s">
        <v>3768</v>
      </c>
      <c r="HY105" t="s">
        <v>733</v>
      </c>
      <c r="HZ105" t="s">
        <v>3768</v>
      </c>
      <c r="IA105" t="s">
        <v>777</v>
      </c>
      <c r="IB105" t="s">
        <v>3769</v>
      </c>
      <c r="IC105" t="s">
        <v>777</v>
      </c>
      <c r="ID105" t="s">
        <v>3770</v>
      </c>
      <c r="IE105" t="s">
        <v>777</v>
      </c>
      <c r="IF105" t="s">
        <v>3771</v>
      </c>
      <c r="IG105" t="s">
        <v>777</v>
      </c>
      <c r="IH105" t="s">
        <v>3771</v>
      </c>
      <c r="II105" t="s">
        <v>777</v>
      </c>
      <c r="IJ105" t="s">
        <v>3771</v>
      </c>
      <c r="IK105" t="s">
        <v>777</v>
      </c>
      <c r="IL105" t="s">
        <v>3771</v>
      </c>
      <c r="IM105" t="s">
        <v>733</v>
      </c>
      <c r="IN105" t="s">
        <v>3772</v>
      </c>
      <c r="IO105" t="s">
        <v>733</v>
      </c>
      <c r="IP105" t="s">
        <v>3772</v>
      </c>
      <c r="IQ105" t="s">
        <v>743</v>
      </c>
      <c r="IR105" t="s">
        <v>3773</v>
      </c>
      <c r="IS105" t="s">
        <v>743</v>
      </c>
      <c r="IT105" t="s">
        <v>3773</v>
      </c>
      <c r="IU105" t="s">
        <v>743</v>
      </c>
      <c r="IV105" t="s">
        <v>3773</v>
      </c>
      <c r="IW105" t="s">
        <v>743</v>
      </c>
      <c r="IX105" t="s">
        <v>3773</v>
      </c>
      <c r="IY105" t="s">
        <v>743</v>
      </c>
      <c r="IZ105" t="s">
        <v>3773</v>
      </c>
      <c r="JA105" t="s">
        <v>743</v>
      </c>
      <c r="JB105" t="s">
        <v>3773</v>
      </c>
      <c r="JC105" t="s">
        <v>733</v>
      </c>
      <c r="JD105" t="s">
        <v>3774</v>
      </c>
      <c r="JE105" t="s">
        <v>733</v>
      </c>
      <c r="JF105" t="s">
        <v>3774</v>
      </c>
      <c r="JG105" t="s">
        <v>733</v>
      </c>
      <c r="JH105" t="s">
        <v>3775</v>
      </c>
      <c r="JI105" t="s">
        <v>733</v>
      </c>
      <c r="JJ105" t="s">
        <v>3775</v>
      </c>
      <c r="JK105" t="s">
        <v>733</v>
      </c>
      <c r="JL105" t="s">
        <v>3775</v>
      </c>
      <c r="JM105" t="s">
        <v>733</v>
      </c>
      <c r="JN105" t="s">
        <v>3775</v>
      </c>
      <c r="JO105" t="s">
        <v>743</v>
      </c>
      <c r="JP105" t="s">
        <v>3776</v>
      </c>
      <c r="JQ105" t="s">
        <v>743</v>
      </c>
      <c r="JR105" t="s">
        <v>3776</v>
      </c>
      <c r="JS105" t="s">
        <v>777</v>
      </c>
      <c r="JT105" t="s">
        <v>3777</v>
      </c>
      <c r="JU105" t="s">
        <v>777</v>
      </c>
      <c r="JV105" t="s">
        <v>3777</v>
      </c>
      <c r="JW105" t="s">
        <v>733</v>
      </c>
      <c r="JX105" t="s">
        <v>3778</v>
      </c>
      <c r="JY105" t="s">
        <v>743</v>
      </c>
      <c r="JZ105" t="s">
        <v>3779</v>
      </c>
      <c r="KA105" t="s">
        <v>733</v>
      </c>
      <c r="KB105" t="s">
        <v>3778</v>
      </c>
      <c r="KC105" t="s">
        <v>733</v>
      </c>
      <c r="KD105" t="s">
        <v>3778</v>
      </c>
      <c r="KE105" t="s">
        <v>743</v>
      </c>
      <c r="KF105" t="s">
        <v>3780</v>
      </c>
      <c r="KG105" t="s">
        <v>743</v>
      </c>
      <c r="KH105" t="s">
        <v>3780</v>
      </c>
      <c r="KI105" t="s">
        <v>743</v>
      </c>
      <c r="KJ105" t="s">
        <v>3780</v>
      </c>
      <c r="KK105" t="s">
        <v>743</v>
      </c>
      <c r="KL105" t="s">
        <v>3780</v>
      </c>
      <c r="KM105" t="s">
        <v>733</v>
      </c>
      <c r="KN105" t="s">
        <v>3781</v>
      </c>
      <c r="KO105" t="s">
        <v>733</v>
      </c>
      <c r="KP105" t="s">
        <v>3781</v>
      </c>
      <c r="KQ105" t="s">
        <v>733</v>
      </c>
      <c r="KR105" t="s">
        <v>3781</v>
      </c>
      <c r="KS105" t="s">
        <v>733</v>
      </c>
      <c r="KT105" t="s">
        <v>3781</v>
      </c>
      <c r="KU105" t="s">
        <v>733</v>
      </c>
      <c r="KV105" t="s">
        <v>3781</v>
      </c>
      <c r="KW105" t="s">
        <v>733</v>
      </c>
      <c r="KX105" t="s">
        <v>3781</v>
      </c>
      <c r="KY105" t="s">
        <v>733</v>
      </c>
      <c r="KZ105" t="s">
        <v>3781</v>
      </c>
      <c r="LA105" t="s">
        <v>733</v>
      </c>
      <c r="LB105" t="s">
        <v>3781</v>
      </c>
      <c r="LC105" t="s">
        <v>777</v>
      </c>
      <c r="LD105" t="s">
        <v>3782</v>
      </c>
      <c r="LE105" t="s">
        <v>777</v>
      </c>
      <c r="LF105" t="s">
        <v>3782</v>
      </c>
      <c r="LG105" t="s">
        <v>777</v>
      </c>
      <c r="LH105" t="s">
        <v>3782</v>
      </c>
      <c r="LI105" t="s">
        <v>777</v>
      </c>
      <c r="LJ105" t="s">
        <v>3782</v>
      </c>
      <c r="LK105" t="s">
        <v>743</v>
      </c>
      <c r="LL105" t="s">
        <v>3783</v>
      </c>
      <c r="LM105" t="s">
        <v>743</v>
      </c>
      <c r="LN105" t="s">
        <v>3783</v>
      </c>
      <c r="LO105" t="s">
        <v>743</v>
      </c>
      <c r="LP105" t="s">
        <v>3784</v>
      </c>
      <c r="LQ105" t="s">
        <v>743</v>
      </c>
      <c r="LR105" t="s">
        <v>3784</v>
      </c>
      <c r="LS105" t="s">
        <v>733</v>
      </c>
      <c r="LT105" t="s">
        <v>3785</v>
      </c>
      <c r="LU105" t="s">
        <v>733</v>
      </c>
      <c r="LV105" t="s">
        <v>3785</v>
      </c>
      <c r="LW105" t="s">
        <v>743</v>
      </c>
      <c r="LX105" t="s">
        <v>3786</v>
      </c>
      <c r="LY105" t="s">
        <v>743</v>
      </c>
      <c r="LZ105" t="s">
        <v>3786</v>
      </c>
      <c r="MA105" t="s">
        <v>743</v>
      </c>
      <c r="MB105" t="s">
        <v>3786</v>
      </c>
      <c r="MC105" t="s">
        <v>743</v>
      </c>
      <c r="MD105" t="s">
        <v>3786</v>
      </c>
      <c r="ME105" t="s">
        <v>733</v>
      </c>
      <c r="MF105" t="s">
        <v>3787</v>
      </c>
      <c r="MG105" t="s">
        <v>733</v>
      </c>
      <c r="MH105" t="s">
        <v>3787</v>
      </c>
      <c r="MI105" t="s">
        <v>743</v>
      </c>
      <c r="MJ105" t="s">
        <v>3788</v>
      </c>
      <c r="MK105" t="s">
        <v>743</v>
      </c>
      <c r="ML105" t="s">
        <v>3788</v>
      </c>
      <c r="MO105" t="s">
        <v>783</v>
      </c>
      <c r="MP105" t="s">
        <v>783</v>
      </c>
      <c r="MQ105" t="s">
        <v>907</v>
      </c>
      <c r="MR105" t="s">
        <v>907</v>
      </c>
      <c r="MS105" t="s">
        <v>783</v>
      </c>
      <c r="MT105" t="s">
        <v>783</v>
      </c>
      <c r="MU105" t="s">
        <v>783</v>
      </c>
      <c r="MV105" t="s">
        <v>783</v>
      </c>
      <c r="MW105" t="s">
        <v>907</v>
      </c>
      <c r="MX105" t="s">
        <v>783</v>
      </c>
      <c r="MZ105" t="s">
        <v>781</v>
      </c>
      <c r="NA105" t="s">
        <v>784</v>
      </c>
      <c r="NB105" t="s">
        <v>783</v>
      </c>
      <c r="NC105" t="s">
        <v>783</v>
      </c>
      <c r="ND105" t="s">
        <v>784</v>
      </c>
      <c r="NE105" t="s">
        <v>783</v>
      </c>
      <c r="NF105" t="s">
        <v>784</v>
      </c>
      <c r="NG105" t="s">
        <v>782</v>
      </c>
      <c r="NH105" t="s">
        <v>781</v>
      </c>
      <c r="NI105" t="s">
        <v>782</v>
      </c>
      <c r="NJ105" t="s">
        <v>783</v>
      </c>
      <c r="NK105" t="s">
        <v>783</v>
      </c>
      <c r="NL105" t="s">
        <v>783</v>
      </c>
      <c r="NM105" t="s">
        <v>783</v>
      </c>
      <c r="NN105" t="s">
        <v>782</v>
      </c>
      <c r="NO105" t="s">
        <v>782</v>
      </c>
      <c r="NP105" t="s">
        <v>907</v>
      </c>
      <c r="NQ105" t="s">
        <v>781</v>
      </c>
      <c r="NR105" t="s">
        <v>781</v>
      </c>
      <c r="NS105" t="s">
        <v>783</v>
      </c>
      <c r="NT105" t="s">
        <v>782</v>
      </c>
      <c r="NU105" t="s">
        <v>783</v>
      </c>
      <c r="NV105" t="s">
        <v>782</v>
      </c>
      <c r="NW105" t="s">
        <v>782</v>
      </c>
      <c r="NX105" t="s">
        <v>783</v>
      </c>
      <c r="NY105" t="s">
        <v>782</v>
      </c>
      <c r="NZ105" t="s">
        <v>782</v>
      </c>
      <c r="OA105" t="s">
        <v>783</v>
      </c>
      <c r="OB105" t="s">
        <v>783</v>
      </c>
      <c r="OC105" t="s">
        <v>782</v>
      </c>
      <c r="OE105" t="s">
        <v>783</v>
      </c>
      <c r="OF105" t="s">
        <v>783</v>
      </c>
      <c r="OG105" t="s">
        <v>781</v>
      </c>
      <c r="OH105" t="s">
        <v>781</v>
      </c>
      <c r="OI105" t="s">
        <v>783</v>
      </c>
      <c r="OJ105" t="s">
        <v>783</v>
      </c>
    </row>
    <row r="106" spans="1:400" x14ac:dyDescent="0.25">
      <c r="A106">
        <v>100</v>
      </c>
      <c r="B106" t="s">
        <v>459</v>
      </c>
      <c r="C106" t="s">
        <v>70</v>
      </c>
      <c r="D106" t="s">
        <v>57</v>
      </c>
      <c r="E106">
        <v>55</v>
      </c>
      <c r="F106" t="s">
        <v>58</v>
      </c>
      <c r="G106" t="s">
        <v>59</v>
      </c>
      <c r="H106" t="s">
        <v>60</v>
      </c>
      <c r="I106" t="s">
        <v>61</v>
      </c>
      <c r="J106" t="s">
        <v>62</v>
      </c>
      <c r="K106" t="s">
        <v>63</v>
      </c>
      <c r="M106" t="s">
        <v>146</v>
      </c>
      <c r="N106" t="s">
        <v>316</v>
      </c>
      <c r="O106">
        <v>5</v>
      </c>
      <c r="P106" s="1">
        <v>129800</v>
      </c>
      <c r="Q106" s="1">
        <v>0</v>
      </c>
      <c r="R106" t="s">
        <v>115</v>
      </c>
      <c r="S106" s="7">
        <v>100000</v>
      </c>
      <c r="T106" t="s">
        <v>70</v>
      </c>
      <c r="U106" s="5">
        <v>0</v>
      </c>
      <c r="V106" s="3" t="s">
        <v>70</v>
      </c>
      <c r="W106" s="5">
        <v>0</v>
      </c>
      <c r="X106" t="s">
        <v>83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P106" t="s">
        <v>63</v>
      </c>
      <c r="AR106">
        <v>1</v>
      </c>
      <c r="AS106" s="2">
        <v>0.75</v>
      </c>
      <c r="AT106" t="s">
        <v>509</v>
      </c>
      <c r="AU106">
        <v>0</v>
      </c>
      <c r="AV106">
        <v>1</v>
      </c>
      <c r="AW106">
        <v>0</v>
      </c>
      <c r="AX106">
        <v>0</v>
      </c>
      <c r="AY106">
        <v>0</v>
      </c>
      <c r="AZ106" t="s">
        <v>517</v>
      </c>
      <c r="BA106" t="s">
        <v>511</v>
      </c>
      <c r="BC106" t="s">
        <v>512</v>
      </c>
      <c r="BD106" t="s">
        <v>581</v>
      </c>
      <c r="BE106">
        <v>2016</v>
      </c>
      <c r="BF106">
        <v>7</v>
      </c>
      <c r="BG106" t="s">
        <v>508</v>
      </c>
      <c r="BH106">
        <v>1</v>
      </c>
      <c r="BI106">
        <v>0</v>
      </c>
      <c r="BJ106">
        <v>0</v>
      </c>
      <c r="BK106">
        <v>0</v>
      </c>
      <c r="BL106">
        <v>0</v>
      </c>
      <c r="BM106" t="s">
        <v>63</v>
      </c>
      <c r="BN106" t="s">
        <v>84</v>
      </c>
      <c r="CM106" t="s">
        <v>785</v>
      </c>
      <c r="CN106" t="s">
        <v>84</v>
      </c>
      <c r="CO106" t="s">
        <v>84</v>
      </c>
      <c r="CZ106" s="26"/>
      <c r="DA106" s="27"/>
      <c r="DB106" t="s">
        <v>976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J106" t="s">
        <v>84</v>
      </c>
      <c r="DK106" s="35"/>
      <c r="DL106" s="37"/>
      <c r="FI106" t="s">
        <v>777</v>
      </c>
      <c r="FJ106" t="s">
        <v>3789</v>
      </c>
      <c r="FK106" t="s">
        <v>777</v>
      </c>
      <c r="FL106" t="s">
        <v>3790</v>
      </c>
      <c r="FM106" t="s">
        <v>733</v>
      </c>
      <c r="FN106" t="s">
        <v>3791</v>
      </c>
      <c r="FO106" t="s">
        <v>733</v>
      </c>
      <c r="FP106" t="s">
        <v>3791</v>
      </c>
      <c r="FQ106" t="s">
        <v>777</v>
      </c>
      <c r="FR106" t="s">
        <v>3792</v>
      </c>
      <c r="FS106" t="s">
        <v>777</v>
      </c>
      <c r="FT106" t="s">
        <v>3793</v>
      </c>
      <c r="FU106" t="s">
        <v>733</v>
      </c>
      <c r="FV106" t="s">
        <v>3794</v>
      </c>
      <c r="FW106" t="s">
        <v>777</v>
      </c>
      <c r="FX106" t="s">
        <v>3795</v>
      </c>
      <c r="FY106" t="s">
        <v>733</v>
      </c>
      <c r="FZ106" t="s">
        <v>3796</v>
      </c>
      <c r="GA106" t="s">
        <v>743</v>
      </c>
      <c r="GB106" t="s">
        <v>3797</v>
      </c>
      <c r="GC106" t="s">
        <v>733</v>
      </c>
      <c r="GD106" t="s">
        <v>3796</v>
      </c>
      <c r="GF106" t="s">
        <v>3797</v>
      </c>
      <c r="GG106" t="s">
        <v>733</v>
      </c>
      <c r="GH106" t="s">
        <v>3797</v>
      </c>
      <c r="GI106" t="s">
        <v>743</v>
      </c>
      <c r="GJ106" t="s">
        <v>3798</v>
      </c>
      <c r="GK106" t="s">
        <v>733</v>
      </c>
      <c r="GL106" t="s">
        <v>3796</v>
      </c>
      <c r="GM106" t="s">
        <v>777</v>
      </c>
      <c r="GN106" t="s">
        <v>3692</v>
      </c>
      <c r="GO106" t="s">
        <v>777</v>
      </c>
      <c r="GP106" t="s">
        <v>3799</v>
      </c>
      <c r="GQ106" t="s">
        <v>777</v>
      </c>
      <c r="GR106" t="s">
        <v>3800</v>
      </c>
      <c r="GS106" t="s">
        <v>733</v>
      </c>
      <c r="GT106" t="s">
        <v>3796</v>
      </c>
      <c r="GU106" t="s">
        <v>733</v>
      </c>
      <c r="GV106" t="s">
        <v>3796</v>
      </c>
      <c r="GW106" t="s">
        <v>777</v>
      </c>
      <c r="GX106" t="s">
        <v>3801</v>
      </c>
      <c r="GY106" t="s">
        <v>777</v>
      </c>
      <c r="GZ106" t="s">
        <v>3801</v>
      </c>
      <c r="HA106" t="s">
        <v>777</v>
      </c>
      <c r="HB106" t="s">
        <v>3801</v>
      </c>
      <c r="HC106" t="s">
        <v>777</v>
      </c>
      <c r="HD106" t="s">
        <v>3801</v>
      </c>
      <c r="HE106" t="s">
        <v>990</v>
      </c>
      <c r="HF106" t="s">
        <v>3801</v>
      </c>
      <c r="HG106" t="s">
        <v>777</v>
      </c>
      <c r="HH106" t="s">
        <v>3801</v>
      </c>
      <c r="HI106" t="s">
        <v>777</v>
      </c>
      <c r="HJ106" t="s">
        <v>3801</v>
      </c>
      <c r="HK106" t="s">
        <v>743</v>
      </c>
      <c r="HL106" t="s">
        <v>3802</v>
      </c>
      <c r="HM106" t="s">
        <v>743</v>
      </c>
      <c r="HN106" t="s">
        <v>3802</v>
      </c>
      <c r="HO106" t="s">
        <v>777</v>
      </c>
      <c r="HP106" t="s">
        <v>3801</v>
      </c>
      <c r="HQ106" t="s">
        <v>777</v>
      </c>
      <c r="HR106" t="s">
        <v>3801</v>
      </c>
      <c r="HS106" t="s">
        <v>777</v>
      </c>
      <c r="HT106" t="s">
        <v>3801</v>
      </c>
      <c r="HU106" t="s">
        <v>777</v>
      </c>
      <c r="HV106" t="s">
        <v>3801</v>
      </c>
      <c r="HW106" t="s">
        <v>777</v>
      </c>
      <c r="HX106" t="s">
        <v>3800</v>
      </c>
      <c r="HY106" t="s">
        <v>777</v>
      </c>
      <c r="HZ106" t="s">
        <v>3800</v>
      </c>
      <c r="IA106" t="s">
        <v>777</v>
      </c>
      <c r="IB106" t="s">
        <v>3800</v>
      </c>
      <c r="IC106" t="s">
        <v>777</v>
      </c>
      <c r="ID106" t="s">
        <v>3800</v>
      </c>
      <c r="IE106" t="s">
        <v>733</v>
      </c>
      <c r="IF106" t="s">
        <v>876</v>
      </c>
      <c r="IG106" t="s">
        <v>733</v>
      </c>
      <c r="IH106" t="s">
        <v>876</v>
      </c>
      <c r="II106" t="s">
        <v>777</v>
      </c>
      <c r="IJ106" t="s">
        <v>3803</v>
      </c>
      <c r="IK106" t="s">
        <v>777</v>
      </c>
      <c r="IL106" t="s">
        <v>3803</v>
      </c>
      <c r="IM106" t="s">
        <v>743</v>
      </c>
      <c r="IN106" t="s">
        <v>3804</v>
      </c>
      <c r="IO106" t="s">
        <v>743</v>
      </c>
      <c r="IP106" t="s">
        <v>3804</v>
      </c>
      <c r="IQ106" t="s">
        <v>743</v>
      </c>
      <c r="IR106" t="s">
        <v>3804</v>
      </c>
      <c r="IS106" t="s">
        <v>743</v>
      </c>
      <c r="IT106" t="s">
        <v>3804</v>
      </c>
      <c r="IU106" t="s">
        <v>743</v>
      </c>
      <c r="IV106" t="s">
        <v>3804</v>
      </c>
      <c r="IW106" t="s">
        <v>743</v>
      </c>
      <c r="IX106" t="s">
        <v>3804</v>
      </c>
      <c r="IY106" t="s">
        <v>743</v>
      </c>
      <c r="IZ106" t="s">
        <v>3805</v>
      </c>
      <c r="JA106" t="s">
        <v>743</v>
      </c>
      <c r="JB106" t="s">
        <v>3805</v>
      </c>
      <c r="JC106" t="s">
        <v>743</v>
      </c>
      <c r="JD106" t="s">
        <v>3804</v>
      </c>
      <c r="JE106" t="s">
        <v>743</v>
      </c>
      <c r="JF106" t="s">
        <v>3804</v>
      </c>
      <c r="JG106" t="s">
        <v>743</v>
      </c>
      <c r="JH106" t="s">
        <v>3804</v>
      </c>
      <c r="JI106" t="s">
        <v>743</v>
      </c>
      <c r="JJ106" t="s">
        <v>3804</v>
      </c>
      <c r="JK106" t="s">
        <v>743</v>
      </c>
      <c r="JL106" t="s">
        <v>3804</v>
      </c>
      <c r="JM106" t="s">
        <v>743</v>
      </c>
      <c r="JN106" t="s">
        <v>3804</v>
      </c>
      <c r="JO106" t="s">
        <v>743</v>
      </c>
      <c r="JP106" t="s">
        <v>3804</v>
      </c>
      <c r="JQ106" t="s">
        <v>743</v>
      </c>
      <c r="JR106" t="s">
        <v>3804</v>
      </c>
      <c r="JS106" t="s">
        <v>777</v>
      </c>
      <c r="JT106" t="s">
        <v>3806</v>
      </c>
      <c r="JU106" t="s">
        <v>777</v>
      </c>
      <c r="JV106" t="s">
        <v>3806</v>
      </c>
      <c r="JW106" t="s">
        <v>743</v>
      </c>
      <c r="JX106" t="s">
        <v>3807</v>
      </c>
      <c r="JZ106" t="s">
        <v>3807</v>
      </c>
      <c r="KA106" t="s">
        <v>743</v>
      </c>
      <c r="KB106" t="s">
        <v>3808</v>
      </c>
      <c r="KC106" t="s">
        <v>743</v>
      </c>
      <c r="KD106" t="s">
        <v>3808</v>
      </c>
      <c r="KE106" t="s">
        <v>743</v>
      </c>
      <c r="KF106" t="s">
        <v>3808</v>
      </c>
      <c r="KG106" t="s">
        <v>743</v>
      </c>
      <c r="KH106" t="s">
        <v>3807</v>
      </c>
      <c r="KI106" t="s">
        <v>743</v>
      </c>
      <c r="KJ106" t="s">
        <v>3804</v>
      </c>
      <c r="KK106" t="s">
        <v>743</v>
      </c>
      <c r="KL106" t="s">
        <v>3807</v>
      </c>
      <c r="KM106" t="s">
        <v>743</v>
      </c>
      <c r="KN106" t="s">
        <v>3804</v>
      </c>
      <c r="KO106" t="s">
        <v>733</v>
      </c>
      <c r="KP106" t="s">
        <v>3809</v>
      </c>
      <c r="KQ106" t="s">
        <v>733</v>
      </c>
      <c r="KR106" t="s">
        <v>3810</v>
      </c>
      <c r="KS106" t="s">
        <v>733</v>
      </c>
      <c r="KT106" t="s">
        <v>3810</v>
      </c>
      <c r="KU106" t="s">
        <v>733</v>
      </c>
      <c r="KV106" t="s">
        <v>3810</v>
      </c>
      <c r="KW106" t="s">
        <v>733</v>
      </c>
      <c r="KX106" t="s">
        <v>3810</v>
      </c>
      <c r="KY106" t="s">
        <v>733</v>
      </c>
      <c r="KZ106" t="s">
        <v>3810</v>
      </c>
      <c r="LA106" t="s">
        <v>733</v>
      </c>
      <c r="LB106" t="s">
        <v>3810</v>
      </c>
      <c r="LC106" t="s">
        <v>733</v>
      </c>
      <c r="LD106" t="s">
        <v>3810</v>
      </c>
      <c r="LE106" t="s">
        <v>733</v>
      </c>
      <c r="LF106" t="s">
        <v>3810</v>
      </c>
      <c r="LG106" t="s">
        <v>733</v>
      </c>
      <c r="LH106" t="s">
        <v>3810</v>
      </c>
      <c r="LI106" t="s">
        <v>733</v>
      </c>
      <c r="LJ106" t="s">
        <v>3810</v>
      </c>
      <c r="LK106" t="s">
        <v>743</v>
      </c>
      <c r="LL106" t="s">
        <v>3811</v>
      </c>
      <c r="LM106" t="s">
        <v>743</v>
      </c>
      <c r="LN106" t="s">
        <v>3811</v>
      </c>
      <c r="LO106" t="s">
        <v>743</v>
      </c>
      <c r="LP106" t="s">
        <v>3811</v>
      </c>
      <c r="LQ106" t="s">
        <v>743</v>
      </c>
      <c r="LR106" t="s">
        <v>3811</v>
      </c>
      <c r="LS106" t="s">
        <v>733</v>
      </c>
      <c r="LT106" t="s">
        <v>3812</v>
      </c>
      <c r="LU106" t="s">
        <v>733</v>
      </c>
      <c r="LV106" t="s">
        <v>3812</v>
      </c>
      <c r="LW106" t="s">
        <v>733</v>
      </c>
      <c r="LX106" t="s">
        <v>3722</v>
      </c>
      <c r="LY106" t="s">
        <v>733</v>
      </c>
      <c r="LZ106" t="s">
        <v>3722</v>
      </c>
      <c r="MA106" t="s">
        <v>733</v>
      </c>
      <c r="MB106" t="s">
        <v>3722</v>
      </c>
      <c r="MC106" t="s">
        <v>733</v>
      </c>
      <c r="MD106" t="s">
        <v>3722</v>
      </c>
      <c r="ME106" t="s">
        <v>733</v>
      </c>
      <c r="MF106" t="s">
        <v>3722</v>
      </c>
      <c r="MG106" t="s">
        <v>733</v>
      </c>
      <c r="MH106" t="s">
        <v>3722</v>
      </c>
      <c r="MI106" t="s">
        <v>743</v>
      </c>
      <c r="MJ106" t="s">
        <v>3813</v>
      </c>
      <c r="MK106" t="s">
        <v>743</v>
      </c>
      <c r="ML106" t="s">
        <v>3813</v>
      </c>
      <c r="MM106" t="s">
        <v>70</v>
      </c>
      <c r="MO106" t="s">
        <v>907</v>
      </c>
      <c r="MP106" t="s">
        <v>907</v>
      </c>
      <c r="MQ106" t="s">
        <v>907</v>
      </c>
      <c r="MR106" t="s">
        <v>783</v>
      </c>
      <c r="MS106" t="s">
        <v>783</v>
      </c>
      <c r="MU106" t="s">
        <v>783</v>
      </c>
      <c r="MV106" t="s">
        <v>783</v>
      </c>
      <c r="MW106" t="s">
        <v>783</v>
      </c>
      <c r="MX106" t="s">
        <v>783</v>
      </c>
      <c r="MZ106" t="s">
        <v>781</v>
      </c>
      <c r="NA106" t="s">
        <v>783</v>
      </c>
      <c r="NB106" t="s">
        <v>783</v>
      </c>
      <c r="NC106" t="s">
        <v>783</v>
      </c>
      <c r="ND106" t="s">
        <v>784</v>
      </c>
      <c r="NE106" t="s">
        <v>783</v>
      </c>
      <c r="NF106" t="s">
        <v>783</v>
      </c>
      <c r="NG106" t="s">
        <v>783</v>
      </c>
      <c r="NH106" t="s">
        <v>783</v>
      </c>
      <c r="NI106" t="s">
        <v>784</v>
      </c>
      <c r="NJ106" t="s">
        <v>781</v>
      </c>
      <c r="NK106" t="s">
        <v>783</v>
      </c>
      <c r="NL106" t="s">
        <v>783</v>
      </c>
      <c r="NM106" t="s">
        <v>783</v>
      </c>
      <c r="NN106" t="s">
        <v>782</v>
      </c>
      <c r="NO106" t="s">
        <v>782</v>
      </c>
      <c r="NP106" t="s">
        <v>782</v>
      </c>
      <c r="NQ106" t="s">
        <v>781</v>
      </c>
      <c r="NR106" t="s">
        <v>781</v>
      </c>
      <c r="NS106" t="s">
        <v>782</v>
      </c>
      <c r="NT106" t="s">
        <v>782</v>
      </c>
      <c r="NU106" t="s">
        <v>781</v>
      </c>
      <c r="NV106" t="s">
        <v>782</v>
      </c>
      <c r="NW106" t="s">
        <v>782</v>
      </c>
      <c r="NX106" t="s">
        <v>783</v>
      </c>
      <c r="NY106" t="s">
        <v>783</v>
      </c>
      <c r="NZ106" t="s">
        <v>783</v>
      </c>
      <c r="OA106" t="s">
        <v>783</v>
      </c>
      <c r="OB106" t="s">
        <v>783</v>
      </c>
      <c r="OC106" t="s">
        <v>782</v>
      </c>
      <c r="OD106" t="s">
        <v>783</v>
      </c>
      <c r="OE106" t="s">
        <v>783</v>
      </c>
      <c r="OF106" t="s">
        <v>783</v>
      </c>
      <c r="OG106" t="s">
        <v>783</v>
      </c>
      <c r="OH106" t="s">
        <v>783</v>
      </c>
      <c r="OI106" t="s">
        <v>783</v>
      </c>
      <c r="OJ106" t="s">
        <v>783</v>
      </c>
    </row>
  </sheetData>
  <pageMargins left="0.7" right="0.7" top="0.75" bottom="0.75" header="0.3" footer="0.3"/>
  <pageSetup paperSize="9" orientation="portrait" horizontalDpi="0" verticalDpi="0" r:id="rId1"/>
  <ignoredErrors>
    <ignoredError sqref="P3:P5 P59 P62 BR2:BR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6D9C-D254-44D6-BC93-D37C3BA0C504}">
  <dimension ref="A1:B401"/>
  <sheetViews>
    <sheetView tabSelected="1" topLeftCell="A340" workbookViewId="0">
      <selection activeCell="A368" sqref="A368"/>
    </sheetView>
  </sheetViews>
  <sheetFormatPr defaultRowHeight="15" x14ac:dyDescent="0.25"/>
  <cols>
    <col min="1" max="1" width="109.7109375" style="3" customWidth="1"/>
    <col min="2" max="2" width="25.5703125" customWidth="1"/>
  </cols>
  <sheetData>
    <row r="1" spans="1:2" x14ac:dyDescent="0.25">
      <c r="A1" s="3" t="s">
        <v>4291</v>
      </c>
      <c r="B1" t="s">
        <v>4292</v>
      </c>
    </row>
    <row r="2" spans="1:2" x14ac:dyDescent="0.25">
      <c r="A2" s="3" t="s">
        <v>0</v>
      </c>
    </row>
    <row r="3" spans="1:2" x14ac:dyDescent="0.25">
      <c r="A3" s="3" t="s">
        <v>1</v>
      </c>
      <c r="B3" t="s">
        <v>4281</v>
      </c>
    </row>
    <row r="4" spans="1:2" x14ac:dyDescent="0.25">
      <c r="A4" s="3" t="s">
        <v>2</v>
      </c>
      <c r="B4" t="s">
        <v>4282</v>
      </c>
    </row>
    <row r="5" spans="1:2" x14ac:dyDescent="0.25">
      <c r="A5" s="3" t="s">
        <v>3</v>
      </c>
      <c r="B5" t="s">
        <v>4283</v>
      </c>
    </row>
    <row r="6" spans="1:2" x14ac:dyDescent="0.25">
      <c r="A6" s="3" t="s">
        <v>4</v>
      </c>
      <c r="B6" t="s">
        <v>4284</v>
      </c>
    </row>
    <row r="7" spans="1:2" x14ac:dyDescent="0.25">
      <c r="A7" s="3" t="s">
        <v>5</v>
      </c>
      <c r="B7" t="s">
        <v>4288</v>
      </c>
    </row>
    <row r="8" spans="1:2" x14ac:dyDescent="0.25">
      <c r="A8" s="3" t="s">
        <v>7</v>
      </c>
      <c r="B8" t="s">
        <v>4285</v>
      </c>
    </row>
    <row r="9" spans="1:2" x14ac:dyDescent="0.25">
      <c r="A9" s="3" t="s">
        <v>8</v>
      </c>
      <c r="B9" t="s">
        <v>4286</v>
      </c>
    </row>
    <row r="10" spans="1:2" x14ac:dyDescent="0.25">
      <c r="A10" s="3" t="s">
        <v>9</v>
      </c>
      <c r="B10" t="s">
        <v>4289</v>
      </c>
    </row>
    <row r="11" spans="1:2" x14ac:dyDescent="0.25">
      <c r="A11" s="3" t="s">
        <v>10</v>
      </c>
      <c r="B11" t="s">
        <v>4287</v>
      </c>
    </row>
    <row r="12" spans="1:2" x14ac:dyDescent="0.25">
      <c r="A12" s="3" t="s">
        <v>11</v>
      </c>
      <c r="B12" t="s">
        <v>4290</v>
      </c>
    </row>
    <row r="13" spans="1:2" x14ac:dyDescent="0.25">
      <c r="A13" s="3" t="s">
        <v>12</v>
      </c>
    </row>
    <row r="14" spans="1:2" x14ac:dyDescent="0.25">
      <c r="A14" s="3" t="s">
        <v>13</v>
      </c>
    </row>
    <row r="15" spans="1:2" x14ac:dyDescent="0.25">
      <c r="A15" s="3" t="s">
        <v>14</v>
      </c>
    </row>
    <row r="16" spans="1:2" x14ac:dyDescent="0.25">
      <c r="A16" s="3" t="s">
        <v>15</v>
      </c>
    </row>
    <row r="17" spans="1:1" x14ac:dyDescent="0.25">
      <c r="A17" s="48" t="s">
        <v>16</v>
      </c>
    </row>
    <row r="18" spans="1:1" x14ac:dyDescent="0.25">
      <c r="A18" s="3" t="s">
        <v>19</v>
      </c>
    </row>
    <row r="19" spans="1:1" x14ac:dyDescent="0.25">
      <c r="A19" s="3" t="s">
        <v>483</v>
      </c>
    </row>
    <row r="20" spans="1:1" x14ac:dyDescent="0.25">
      <c r="A20" s="48" t="s">
        <v>482</v>
      </c>
    </row>
    <row r="21" spans="1:1" x14ac:dyDescent="0.25">
      <c r="A21" s="3" t="s">
        <v>24</v>
      </c>
    </row>
    <row r="22" spans="1:1" x14ac:dyDescent="0.25">
      <c r="A22" s="48" t="s">
        <v>482</v>
      </c>
    </row>
    <row r="23" spans="1:1" x14ac:dyDescent="0.25">
      <c r="A23" s="3" t="s">
        <v>26</v>
      </c>
    </row>
    <row r="24" spans="1:1" x14ac:dyDescent="0.25">
      <c r="A24" s="48" t="s">
        <v>482</v>
      </c>
    </row>
    <row r="25" spans="1:1" x14ac:dyDescent="0.25">
      <c r="A25" s="3" t="s">
        <v>38</v>
      </c>
    </row>
    <row r="26" spans="1:1" x14ac:dyDescent="0.25">
      <c r="A26" s="3" t="s">
        <v>39</v>
      </c>
    </row>
    <row r="27" spans="1:1" x14ac:dyDescent="0.25">
      <c r="A27" s="3" t="s">
        <v>40</v>
      </c>
    </row>
    <row r="28" spans="1:1" x14ac:dyDescent="0.25">
      <c r="A28" s="3" t="s">
        <v>41</v>
      </c>
    </row>
    <row r="29" spans="1:1" x14ac:dyDescent="0.25">
      <c r="A29" s="3" t="s">
        <v>42</v>
      </c>
    </row>
    <row r="30" spans="1:1" x14ac:dyDescent="0.25">
      <c r="A30" s="3" t="s">
        <v>43</v>
      </c>
    </row>
    <row r="31" spans="1:1" x14ac:dyDescent="0.25">
      <c r="A31" s="3" t="s">
        <v>44</v>
      </c>
    </row>
    <row r="32" spans="1:1" x14ac:dyDescent="0.25">
      <c r="A32" s="3" t="s">
        <v>45</v>
      </c>
    </row>
    <row r="33" spans="1:1" x14ac:dyDescent="0.25">
      <c r="A33" s="3" t="s">
        <v>46</v>
      </c>
    </row>
    <row r="34" spans="1:1" x14ac:dyDescent="0.25">
      <c r="A34" s="3" t="s">
        <v>47</v>
      </c>
    </row>
    <row r="35" spans="1:1" x14ac:dyDescent="0.25">
      <c r="A35" s="3" t="s">
        <v>48</v>
      </c>
    </row>
    <row r="36" spans="1:1" x14ac:dyDescent="0.25">
      <c r="A36" s="3" t="s">
        <v>49</v>
      </c>
    </row>
    <row r="37" spans="1:1" x14ac:dyDescent="0.25">
      <c r="A37" s="3" t="s">
        <v>50</v>
      </c>
    </row>
    <row r="38" spans="1:1" x14ac:dyDescent="0.25">
      <c r="A38" s="3" t="s">
        <v>51</v>
      </c>
    </row>
    <row r="39" spans="1:1" x14ac:dyDescent="0.25">
      <c r="A39" s="3" t="s">
        <v>52</v>
      </c>
    </row>
    <row r="40" spans="1:1" x14ac:dyDescent="0.25">
      <c r="A40" s="3" t="s">
        <v>53</v>
      </c>
    </row>
    <row r="41" spans="1:1" x14ac:dyDescent="0.25">
      <c r="A41" s="3" t="s">
        <v>54</v>
      </c>
    </row>
    <row r="42" spans="1:1" x14ac:dyDescent="0.25">
      <c r="A42" s="3" t="s">
        <v>37</v>
      </c>
    </row>
    <row r="43" spans="1:1" x14ac:dyDescent="0.25">
      <c r="A43" s="3" t="s">
        <v>35</v>
      </c>
    </row>
    <row r="44" spans="1:1" x14ac:dyDescent="0.25">
      <c r="A44" s="3" t="s">
        <v>36</v>
      </c>
    </row>
    <row r="45" spans="1:1" x14ac:dyDescent="0.25">
      <c r="A45" s="3" t="s">
        <v>484</v>
      </c>
    </row>
    <row r="46" spans="1:1" x14ac:dyDescent="0.25">
      <c r="A46" s="3" t="s">
        <v>485</v>
      </c>
    </row>
    <row r="47" spans="1:1" x14ac:dyDescent="0.25">
      <c r="A47" s="3" t="s">
        <v>486</v>
      </c>
    </row>
    <row r="48" spans="1:1" x14ac:dyDescent="0.25">
      <c r="A48" s="3" t="s">
        <v>487</v>
      </c>
    </row>
    <row r="49" spans="1:1" x14ac:dyDescent="0.25">
      <c r="A49" s="3" t="s">
        <v>488</v>
      </c>
    </row>
    <row r="50" spans="1:1" x14ac:dyDescent="0.25">
      <c r="A50" s="3" t="s">
        <v>489</v>
      </c>
    </row>
    <row r="51" spans="1:1" x14ac:dyDescent="0.25">
      <c r="A51" s="3" t="s">
        <v>490</v>
      </c>
    </row>
    <row r="52" spans="1:1" x14ac:dyDescent="0.25">
      <c r="A52" s="3" t="s">
        <v>491</v>
      </c>
    </row>
    <row r="53" spans="1:1" x14ac:dyDescent="0.25">
      <c r="A53" s="3" t="s">
        <v>492</v>
      </c>
    </row>
    <row r="54" spans="1:1" x14ac:dyDescent="0.25">
      <c r="A54" s="3" t="s">
        <v>493</v>
      </c>
    </row>
    <row r="55" spans="1:1" x14ac:dyDescent="0.25">
      <c r="A55" s="3" t="s">
        <v>6</v>
      </c>
    </row>
    <row r="56" spans="1:1" x14ac:dyDescent="0.25">
      <c r="A56" s="3" t="s">
        <v>494</v>
      </c>
    </row>
    <row r="57" spans="1:1" x14ac:dyDescent="0.25">
      <c r="A57" s="3" t="s">
        <v>495</v>
      </c>
    </row>
    <row r="58" spans="1:1" x14ac:dyDescent="0.25">
      <c r="A58" s="3" t="s">
        <v>496</v>
      </c>
    </row>
    <row r="59" spans="1:1" x14ac:dyDescent="0.25">
      <c r="A59" s="3" t="s">
        <v>597</v>
      </c>
    </row>
    <row r="60" spans="1:1" x14ac:dyDescent="0.25">
      <c r="A60" s="3" t="s">
        <v>497</v>
      </c>
    </row>
    <row r="61" spans="1:1" x14ac:dyDescent="0.25">
      <c r="A61" s="3" t="s">
        <v>498</v>
      </c>
    </row>
    <row r="62" spans="1:1" x14ac:dyDescent="0.25">
      <c r="A62" s="3" t="s">
        <v>499</v>
      </c>
    </row>
    <row r="63" spans="1:1" x14ac:dyDescent="0.25">
      <c r="A63" s="3" t="s">
        <v>500</v>
      </c>
    </row>
    <row r="64" spans="1:1" x14ac:dyDescent="0.25">
      <c r="A64" s="3" t="s">
        <v>501</v>
      </c>
    </row>
    <row r="65" spans="1:1" x14ac:dyDescent="0.25">
      <c r="A65" s="3" t="s">
        <v>502</v>
      </c>
    </row>
    <row r="66" spans="1:1" x14ac:dyDescent="0.25">
      <c r="A66" s="3" t="s">
        <v>619</v>
      </c>
    </row>
    <row r="67" spans="1:1" x14ac:dyDescent="0.25">
      <c r="A67" s="3" t="s">
        <v>620</v>
      </c>
    </row>
    <row r="68" spans="1:1" x14ac:dyDescent="0.25">
      <c r="A68" s="3" t="s">
        <v>3814</v>
      </c>
    </row>
    <row r="69" spans="1:1" x14ac:dyDescent="0.25">
      <c r="A69" s="3" t="s">
        <v>3815</v>
      </c>
    </row>
    <row r="70" spans="1:1" x14ac:dyDescent="0.25">
      <c r="A70" s="3" t="s">
        <v>6</v>
      </c>
    </row>
    <row r="71" spans="1:1" x14ac:dyDescent="0.25">
      <c r="A71" s="3" t="s">
        <v>3816</v>
      </c>
    </row>
    <row r="72" spans="1:1" x14ac:dyDescent="0.25">
      <c r="A72" s="3" t="s">
        <v>3817</v>
      </c>
    </row>
    <row r="73" spans="1:1" x14ac:dyDescent="0.25">
      <c r="A73" s="3" t="s">
        <v>3818</v>
      </c>
    </row>
    <row r="74" spans="1:1" x14ac:dyDescent="0.25">
      <c r="A74" s="3" t="s">
        <v>3819</v>
      </c>
    </row>
    <row r="75" spans="1:1" x14ac:dyDescent="0.25">
      <c r="A75" s="3" t="s">
        <v>3820</v>
      </c>
    </row>
    <row r="76" spans="1:1" x14ac:dyDescent="0.25">
      <c r="A76" s="3" t="s">
        <v>3821</v>
      </c>
    </row>
    <row r="77" spans="1:1" x14ac:dyDescent="0.25">
      <c r="A77" s="3" t="s">
        <v>3822</v>
      </c>
    </row>
    <row r="78" spans="1:1" x14ac:dyDescent="0.25">
      <c r="A78" s="3" t="s">
        <v>3823</v>
      </c>
    </row>
    <row r="79" spans="1:1" x14ac:dyDescent="0.25">
      <c r="A79" s="3" t="s">
        <v>6</v>
      </c>
    </row>
    <row r="80" spans="1:1" x14ac:dyDescent="0.25">
      <c r="A80" s="3" t="s">
        <v>3824</v>
      </c>
    </row>
    <row r="81" spans="1:1" x14ac:dyDescent="0.25">
      <c r="A81" s="3" t="s">
        <v>3825</v>
      </c>
    </row>
    <row r="82" spans="1:1" x14ac:dyDescent="0.25">
      <c r="A82" s="3" t="s">
        <v>3826</v>
      </c>
    </row>
    <row r="83" spans="1:1" x14ac:dyDescent="0.25">
      <c r="A83" s="3" t="s">
        <v>3827</v>
      </c>
    </row>
    <row r="84" spans="1:1" x14ac:dyDescent="0.25">
      <c r="A84" s="3" t="s">
        <v>3828</v>
      </c>
    </row>
    <row r="85" spans="1:1" x14ac:dyDescent="0.25">
      <c r="A85" s="3" t="s">
        <v>3829</v>
      </c>
    </row>
    <row r="86" spans="1:1" x14ac:dyDescent="0.25">
      <c r="A86" s="3" t="s">
        <v>3830</v>
      </c>
    </row>
    <row r="87" spans="1:1" x14ac:dyDescent="0.25">
      <c r="A87" s="3" t="s">
        <v>3831</v>
      </c>
    </row>
    <row r="88" spans="1:1" x14ac:dyDescent="0.25">
      <c r="A88" s="3" t="s">
        <v>3832</v>
      </c>
    </row>
    <row r="89" spans="1:1" x14ac:dyDescent="0.25">
      <c r="A89" s="3" t="s">
        <v>3833</v>
      </c>
    </row>
    <row r="90" spans="1:1" x14ac:dyDescent="0.25">
      <c r="A90" s="3" t="s">
        <v>3834</v>
      </c>
    </row>
    <row r="91" spans="1:1" x14ac:dyDescent="0.25">
      <c r="A91" s="3" t="s">
        <v>6</v>
      </c>
    </row>
    <row r="92" spans="1:1" x14ac:dyDescent="0.25">
      <c r="A92" s="3" t="s">
        <v>621</v>
      </c>
    </row>
    <row r="93" spans="1:1" x14ac:dyDescent="0.25">
      <c r="A93" s="3" t="s">
        <v>622</v>
      </c>
    </row>
    <row r="94" spans="1:1" x14ac:dyDescent="0.25">
      <c r="A94" s="3" t="s">
        <v>623</v>
      </c>
    </row>
    <row r="95" spans="1:1" x14ac:dyDescent="0.25">
      <c r="A95" s="3" t="s">
        <v>3925</v>
      </c>
    </row>
    <row r="96" spans="1:1" x14ac:dyDescent="0.25">
      <c r="A96" s="3" t="s">
        <v>3926</v>
      </c>
    </row>
    <row r="97" spans="1:1" x14ac:dyDescent="0.25">
      <c r="A97" s="3" t="s">
        <v>3927</v>
      </c>
    </row>
    <row r="98" spans="1:1" x14ac:dyDescent="0.25">
      <c r="A98" s="3" t="s">
        <v>3928</v>
      </c>
    </row>
    <row r="99" spans="1:1" x14ac:dyDescent="0.25">
      <c r="A99" s="3" t="s">
        <v>3929</v>
      </c>
    </row>
    <row r="100" spans="1:1" x14ac:dyDescent="0.25">
      <c r="A100" s="3" t="s">
        <v>3930</v>
      </c>
    </row>
    <row r="101" spans="1:1" x14ac:dyDescent="0.25">
      <c r="A101" s="3" t="s">
        <v>3931</v>
      </c>
    </row>
    <row r="102" spans="1:1" x14ac:dyDescent="0.25">
      <c r="A102" s="3" t="s">
        <v>3932</v>
      </c>
    </row>
    <row r="103" spans="1:1" x14ac:dyDescent="0.25">
      <c r="A103" s="3" t="s">
        <v>6</v>
      </c>
    </row>
    <row r="104" spans="1:1" x14ac:dyDescent="0.25">
      <c r="A104" s="3" t="s">
        <v>3933</v>
      </c>
    </row>
    <row r="105" spans="1:1" x14ac:dyDescent="0.25">
      <c r="A105" s="49" t="s">
        <v>3934</v>
      </c>
    </row>
    <row r="106" spans="1:1" x14ac:dyDescent="0.25">
      <c r="A106" s="50" t="s">
        <v>4279</v>
      </c>
    </row>
    <row r="107" spans="1:1" x14ac:dyDescent="0.25">
      <c r="A107" s="3" t="s">
        <v>624</v>
      </c>
    </row>
    <row r="108" spans="1:1" x14ac:dyDescent="0.25">
      <c r="A108" s="3" t="s">
        <v>625</v>
      </c>
    </row>
    <row r="109" spans="1:1" x14ac:dyDescent="0.25">
      <c r="A109" s="3" t="s">
        <v>626</v>
      </c>
    </row>
    <row r="110" spans="1:1" x14ac:dyDescent="0.25">
      <c r="A110" s="3" t="s">
        <v>627</v>
      </c>
    </row>
    <row r="111" spans="1:1" x14ac:dyDescent="0.25">
      <c r="A111" s="3" t="s">
        <v>628</v>
      </c>
    </row>
    <row r="112" spans="1:1" x14ac:dyDescent="0.25">
      <c r="A112" s="3" t="s">
        <v>629</v>
      </c>
    </row>
    <row r="113" spans="1:1" x14ac:dyDescent="0.25">
      <c r="A113" s="3" t="s">
        <v>630</v>
      </c>
    </row>
    <row r="114" spans="1:1" x14ac:dyDescent="0.25">
      <c r="A114" s="3" t="s">
        <v>6</v>
      </c>
    </row>
    <row r="115" spans="1:1" x14ac:dyDescent="0.25">
      <c r="A115" s="3" t="s">
        <v>631</v>
      </c>
    </row>
    <row r="116" spans="1:1" x14ac:dyDescent="0.25">
      <c r="A116" s="51" t="s">
        <v>4052</v>
      </c>
    </row>
    <row r="117" spans="1:1" x14ac:dyDescent="0.25">
      <c r="A117" s="52" t="s">
        <v>4280</v>
      </c>
    </row>
    <row r="118" spans="1:1" x14ac:dyDescent="0.25">
      <c r="A118" s="3" t="s">
        <v>4053</v>
      </c>
    </row>
    <row r="119" spans="1:1" x14ac:dyDescent="0.25">
      <c r="A119" s="3" t="s">
        <v>4054</v>
      </c>
    </row>
    <row r="120" spans="1:1" x14ac:dyDescent="0.25">
      <c r="A120" s="3" t="s">
        <v>4055</v>
      </c>
    </row>
    <row r="121" spans="1:1" x14ac:dyDescent="0.25">
      <c r="A121" s="3" t="s">
        <v>4056</v>
      </c>
    </row>
    <row r="122" spans="1:1" x14ac:dyDescent="0.25">
      <c r="A122" s="3" t="s">
        <v>4057</v>
      </c>
    </row>
    <row r="123" spans="1:1" x14ac:dyDescent="0.25">
      <c r="A123" s="3" t="s">
        <v>4058</v>
      </c>
    </row>
    <row r="124" spans="1:1" x14ac:dyDescent="0.25">
      <c r="A124" s="3" t="s">
        <v>4059</v>
      </c>
    </row>
    <row r="125" spans="1:1" x14ac:dyDescent="0.25">
      <c r="A125" s="3" t="s">
        <v>4060</v>
      </c>
    </row>
    <row r="126" spans="1:1" x14ac:dyDescent="0.25">
      <c r="A126" s="3" t="s">
        <v>4061</v>
      </c>
    </row>
    <row r="127" spans="1:1" x14ac:dyDescent="0.25">
      <c r="A127" s="3" t="s">
        <v>4062</v>
      </c>
    </row>
    <row r="128" spans="1:1" x14ac:dyDescent="0.25">
      <c r="A128" s="3" t="s">
        <v>4063</v>
      </c>
    </row>
    <row r="129" spans="1:1" x14ac:dyDescent="0.25">
      <c r="A129" s="3" t="s">
        <v>4064</v>
      </c>
    </row>
    <row r="130" spans="1:1" x14ac:dyDescent="0.25">
      <c r="A130" s="3" t="s">
        <v>4065</v>
      </c>
    </row>
    <row r="131" spans="1:1" x14ac:dyDescent="0.25">
      <c r="A131" s="3" t="s">
        <v>4066</v>
      </c>
    </row>
    <row r="132" spans="1:1" x14ac:dyDescent="0.25">
      <c r="A132" s="3" t="s">
        <v>4067</v>
      </c>
    </row>
    <row r="133" spans="1:1" x14ac:dyDescent="0.25">
      <c r="A133" s="3" t="s">
        <v>4068</v>
      </c>
    </row>
    <row r="134" spans="1:1" x14ac:dyDescent="0.25">
      <c r="A134" s="3" t="s">
        <v>4069</v>
      </c>
    </row>
    <row r="135" spans="1:1" x14ac:dyDescent="0.25">
      <c r="A135" s="3" t="s">
        <v>4070</v>
      </c>
    </row>
    <row r="136" spans="1:1" x14ac:dyDescent="0.25">
      <c r="A136" s="3" t="s">
        <v>4071</v>
      </c>
    </row>
    <row r="137" spans="1:1" x14ac:dyDescent="0.25">
      <c r="A137" s="3" t="s">
        <v>4072</v>
      </c>
    </row>
    <row r="138" spans="1:1" x14ac:dyDescent="0.25">
      <c r="A138" s="3" t="s">
        <v>4073</v>
      </c>
    </row>
    <row r="139" spans="1:1" x14ac:dyDescent="0.25">
      <c r="A139" s="3" t="s">
        <v>4074</v>
      </c>
    </row>
    <row r="140" spans="1:1" x14ac:dyDescent="0.25">
      <c r="A140" s="3" t="s">
        <v>4075</v>
      </c>
    </row>
    <row r="141" spans="1:1" x14ac:dyDescent="0.25">
      <c r="A141" s="3" t="s">
        <v>4076</v>
      </c>
    </row>
    <row r="142" spans="1:1" x14ac:dyDescent="0.25">
      <c r="A142" s="3" t="s">
        <v>4077</v>
      </c>
    </row>
    <row r="143" spans="1:1" x14ac:dyDescent="0.25">
      <c r="A143" s="3" t="s">
        <v>4078</v>
      </c>
    </row>
    <row r="144" spans="1:1" x14ac:dyDescent="0.25">
      <c r="A144" s="3" t="s">
        <v>4079</v>
      </c>
    </row>
    <row r="145" spans="1:1" x14ac:dyDescent="0.25">
      <c r="A145" s="3" t="s">
        <v>4080</v>
      </c>
    </row>
    <row r="146" spans="1:1" x14ac:dyDescent="0.25">
      <c r="A146" s="3" t="s">
        <v>4081</v>
      </c>
    </row>
    <row r="147" spans="1:1" x14ac:dyDescent="0.25">
      <c r="A147" s="3" t="s">
        <v>4082</v>
      </c>
    </row>
    <row r="148" spans="1:1" x14ac:dyDescent="0.25">
      <c r="A148" s="3" t="s">
        <v>4083</v>
      </c>
    </row>
    <row r="149" spans="1:1" x14ac:dyDescent="0.25">
      <c r="A149" s="3" t="s">
        <v>4084</v>
      </c>
    </row>
    <row r="150" spans="1:1" x14ac:dyDescent="0.25">
      <c r="A150" s="3" t="s">
        <v>4085</v>
      </c>
    </row>
    <row r="151" spans="1:1" x14ac:dyDescent="0.25">
      <c r="A151" s="3" t="s">
        <v>4086</v>
      </c>
    </row>
    <row r="152" spans="1:1" x14ac:dyDescent="0.25">
      <c r="A152" s="3" t="s">
        <v>4087</v>
      </c>
    </row>
    <row r="153" spans="1:1" x14ac:dyDescent="0.25">
      <c r="A153" s="3" t="s">
        <v>4088</v>
      </c>
    </row>
    <row r="154" spans="1:1" x14ac:dyDescent="0.25">
      <c r="A154" s="3" t="s">
        <v>4089</v>
      </c>
    </row>
    <row r="155" spans="1:1" x14ac:dyDescent="0.25">
      <c r="A155" s="3" t="s">
        <v>6</v>
      </c>
    </row>
    <row r="156" spans="1:1" x14ac:dyDescent="0.25">
      <c r="A156" s="3" t="s">
        <v>4090</v>
      </c>
    </row>
    <row r="157" spans="1:1" x14ac:dyDescent="0.25">
      <c r="A157" s="3" t="s">
        <v>4091</v>
      </c>
    </row>
    <row r="158" spans="1:1" x14ac:dyDescent="0.25">
      <c r="A158" s="3" t="s">
        <v>4092</v>
      </c>
    </row>
    <row r="159" spans="1:1" x14ac:dyDescent="0.25">
      <c r="A159" s="3" t="s">
        <v>4093</v>
      </c>
    </row>
    <row r="160" spans="1:1" x14ac:dyDescent="0.25">
      <c r="A160" s="3" t="s">
        <v>4094</v>
      </c>
    </row>
    <row r="161" spans="1:1" x14ac:dyDescent="0.25">
      <c r="A161" s="3" t="s">
        <v>4095</v>
      </c>
    </row>
    <row r="162" spans="1:1" x14ac:dyDescent="0.25">
      <c r="A162" s="3" t="s">
        <v>4096</v>
      </c>
    </row>
    <row r="163" spans="1:1" x14ac:dyDescent="0.25">
      <c r="A163" s="3" t="s">
        <v>4097</v>
      </c>
    </row>
    <row r="164" spans="1:1" x14ac:dyDescent="0.25">
      <c r="A164" s="3" t="s">
        <v>4098</v>
      </c>
    </row>
    <row r="165" spans="1:1" x14ac:dyDescent="0.25">
      <c r="A165" s="3" t="s">
        <v>632</v>
      </c>
    </row>
    <row r="166" spans="1:1" x14ac:dyDescent="0.25">
      <c r="A166" s="3" t="s">
        <v>633</v>
      </c>
    </row>
    <row r="167" spans="1:1" x14ac:dyDescent="0.25">
      <c r="A167" s="3" t="s">
        <v>634</v>
      </c>
    </row>
    <row r="168" spans="1:1" x14ac:dyDescent="0.25">
      <c r="A168" s="3" t="s">
        <v>635</v>
      </c>
    </row>
    <row r="169" spans="1:1" x14ac:dyDescent="0.25">
      <c r="A169" s="3" t="s">
        <v>634</v>
      </c>
    </row>
    <row r="170" spans="1:1" x14ac:dyDescent="0.25">
      <c r="A170" s="3" t="s">
        <v>636</v>
      </c>
    </row>
    <row r="171" spans="1:1" x14ac:dyDescent="0.25">
      <c r="A171" s="3" t="s">
        <v>634</v>
      </c>
    </row>
    <row r="172" spans="1:1" x14ac:dyDescent="0.25">
      <c r="A172" s="3" t="s">
        <v>635</v>
      </c>
    </row>
    <row r="173" spans="1:1" x14ac:dyDescent="0.25">
      <c r="A173" s="3" t="s">
        <v>634</v>
      </c>
    </row>
    <row r="174" spans="1:1" x14ac:dyDescent="0.25">
      <c r="A174" s="3" t="s">
        <v>637</v>
      </c>
    </row>
    <row r="175" spans="1:1" x14ac:dyDescent="0.25">
      <c r="A175" s="3" t="s">
        <v>634</v>
      </c>
    </row>
    <row r="176" spans="1:1" x14ac:dyDescent="0.25">
      <c r="A176" s="3" t="s">
        <v>635</v>
      </c>
    </row>
    <row r="177" spans="1:1" x14ac:dyDescent="0.25">
      <c r="A177" s="3" t="s">
        <v>634</v>
      </c>
    </row>
    <row r="178" spans="1:1" x14ac:dyDescent="0.25">
      <c r="A178" s="3" t="s">
        <v>638</v>
      </c>
    </row>
    <row r="179" spans="1:1" x14ac:dyDescent="0.25">
      <c r="A179" s="3" t="s">
        <v>634</v>
      </c>
    </row>
    <row r="180" spans="1:1" x14ac:dyDescent="0.25">
      <c r="A180" s="3" t="s">
        <v>635</v>
      </c>
    </row>
    <row r="181" spans="1:1" x14ac:dyDescent="0.25">
      <c r="A181" s="3" t="s">
        <v>634</v>
      </c>
    </row>
    <row r="182" spans="1:1" x14ac:dyDescent="0.25">
      <c r="A182" s="3" t="s">
        <v>639</v>
      </c>
    </row>
    <row r="183" spans="1:1" x14ac:dyDescent="0.25">
      <c r="A183" s="3" t="s">
        <v>634</v>
      </c>
    </row>
    <row r="184" spans="1:1" x14ac:dyDescent="0.25">
      <c r="A184" s="3" t="s">
        <v>635</v>
      </c>
    </row>
    <row r="185" spans="1:1" x14ac:dyDescent="0.25">
      <c r="A185" s="3" t="s">
        <v>634</v>
      </c>
    </row>
    <row r="186" spans="1:1" x14ac:dyDescent="0.25">
      <c r="A186" s="3" t="s">
        <v>640</v>
      </c>
    </row>
    <row r="187" spans="1:1" x14ac:dyDescent="0.25">
      <c r="A187" s="3" t="s">
        <v>634</v>
      </c>
    </row>
    <row r="188" spans="1:1" x14ac:dyDescent="0.25">
      <c r="A188" s="3" t="s">
        <v>635</v>
      </c>
    </row>
    <row r="189" spans="1:1" x14ac:dyDescent="0.25">
      <c r="A189" s="3" t="s">
        <v>634</v>
      </c>
    </row>
    <row r="190" spans="1:1" x14ac:dyDescent="0.25">
      <c r="A190" s="3" t="s">
        <v>641</v>
      </c>
    </row>
    <row r="191" spans="1:1" x14ac:dyDescent="0.25">
      <c r="A191" s="3" t="s">
        <v>634</v>
      </c>
    </row>
    <row r="192" spans="1:1" x14ac:dyDescent="0.25">
      <c r="A192" s="3" t="s">
        <v>642</v>
      </c>
    </row>
    <row r="193" spans="1:1" x14ac:dyDescent="0.25">
      <c r="A193" s="3" t="s">
        <v>634</v>
      </c>
    </row>
    <row r="194" spans="1:1" x14ac:dyDescent="0.25">
      <c r="A194" s="3" t="s">
        <v>643</v>
      </c>
    </row>
    <row r="195" spans="1:1" x14ac:dyDescent="0.25">
      <c r="A195" s="3" t="s">
        <v>634</v>
      </c>
    </row>
    <row r="196" spans="1:1" x14ac:dyDescent="0.25">
      <c r="A196" s="3" t="s">
        <v>635</v>
      </c>
    </row>
    <row r="197" spans="1:1" x14ac:dyDescent="0.25">
      <c r="A197" s="3" t="s">
        <v>634</v>
      </c>
    </row>
    <row r="198" spans="1:1" x14ac:dyDescent="0.25">
      <c r="A198" s="3" t="s">
        <v>644</v>
      </c>
    </row>
    <row r="199" spans="1:1" x14ac:dyDescent="0.25">
      <c r="A199" s="3" t="s">
        <v>634</v>
      </c>
    </row>
    <row r="200" spans="1:1" x14ac:dyDescent="0.25">
      <c r="A200" s="3" t="s">
        <v>635</v>
      </c>
    </row>
    <row r="201" spans="1:1" x14ac:dyDescent="0.25">
      <c r="A201" s="3" t="s">
        <v>634</v>
      </c>
    </row>
    <row r="202" spans="1:1" x14ac:dyDescent="0.25">
      <c r="A202" s="3" t="s">
        <v>645</v>
      </c>
    </row>
    <row r="203" spans="1:1" x14ac:dyDescent="0.25">
      <c r="A203" s="3" t="s">
        <v>634</v>
      </c>
    </row>
    <row r="204" spans="1:1" x14ac:dyDescent="0.25">
      <c r="A204" s="3" t="s">
        <v>635</v>
      </c>
    </row>
    <row r="205" spans="1:1" x14ac:dyDescent="0.25">
      <c r="A205" s="3" t="s">
        <v>634</v>
      </c>
    </row>
    <row r="206" spans="1:1" x14ac:dyDescent="0.25">
      <c r="A206" s="3" t="s">
        <v>646</v>
      </c>
    </row>
    <row r="207" spans="1:1" x14ac:dyDescent="0.25">
      <c r="A207" s="3" t="s">
        <v>634</v>
      </c>
    </row>
    <row r="208" spans="1:1" x14ac:dyDescent="0.25">
      <c r="A208" s="3" t="s">
        <v>635</v>
      </c>
    </row>
    <row r="209" spans="1:1" x14ac:dyDescent="0.25">
      <c r="A209" s="3" t="s">
        <v>634</v>
      </c>
    </row>
    <row r="210" spans="1:1" x14ac:dyDescent="0.25">
      <c r="A210" s="3" t="s">
        <v>647</v>
      </c>
    </row>
    <row r="211" spans="1:1" x14ac:dyDescent="0.25">
      <c r="A211" s="3" t="s">
        <v>634</v>
      </c>
    </row>
    <row r="212" spans="1:1" x14ac:dyDescent="0.25">
      <c r="A212" s="3" t="s">
        <v>635</v>
      </c>
    </row>
    <row r="213" spans="1:1" x14ac:dyDescent="0.25">
      <c r="A213" s="3" t="s">
        <v>634</v>
      </c>
    </row>
    <row r="214" spans="1:1" x14ac:dyDescent="0.25">
      <c r="A214" s="3" t="s">
        <v>648</v>
      </c>
    </row>
    <row r="215" spans="1:1" x14ac:dyDescent="0.25">
      <c r="A215" s="3" t="s">
        <v>634</v>
      </c>
    </row>
    <row r="216" spans="1:1" x14ac:dyDescent="0.25">
      <c r="A216" s="3" t="s">
        <v>649</v>
      </c>
    </row>
    <row r="217" spans="1:1" x14ac:dyDescent="0.25">
      <c r="A217" s="3" t="s">
        <v>634</v>
      </c>
    </row>
    <row r="218" spans="1:1" x14ac:dyDescent="0.25">
      <c r="A218" s="3" t="s">
        <v>635</v>
      </c>
    </row>
    <row r="219" spans="1:1" x14ac:dyDescent="0.25">
      <c r="A219" s="3" t="s">
        <v>634</v>
      </c>
    </row>
    <row r="220" spans="1:1" x14ac:dyDescent="0.25">
      <c r="A220" s="3" t="s">
        <v>650</v>
      </c>
    </row>
    <row r="221" spans="1:1" x14ac:dyDescent="0.25">
      <c r="A221" s="3" t="s">
        <v>634</v>
      </c>
    </row>
    <row r="222" spans="1:1" x14ac:dyDescent="0.25">
      <c r="A222" s="3" t="s">
        <v>635</v>
      </c>
    </row>
    <row r="223" spans="1:1" x14ac:dyDescent="0.25">
      <c r="A223" s="3" t="s">
        <v>634</v>
      </c>
    </row>
    <row r="224" spans="1:1" x14ac:dyDescent="0.25">
      <c r="A224" s="3" t="s">
        <v>651</v>
      </c>
    </row>
    <row r="225" spans="1:1" x14ac:dyDescent="0.25">
      <c r="A225" s="3" t="s">
        <v>634</v>
      </c>
    </row>
    <row r="226" spans="1:1" x14ac:dyDescent="0.25">
      <c r="A226" s="3" t="s">
        <v>635</v>
      </c>
    </row>
    <row r="227" spans="1:1" x14ac:dyDescent="0.25">
      <c r="A227" s="3" t="s">
        <v>634</v>
      </c>
    </row>
    <row r="228" spans="1:1" x14ac:dyDescent="0.25">
      <c r="A228" s="3" t="s">
        <v>652</v>
      </c>
    </row>
    <row r="229" spans="1:1" x14ac:dyDescent="0.25">
      <c r="A229" s="3" t="s">
        <v>634</v>
      </c>
    </row>
    <row r="230" spans="1:1" x14ac:dyDescent="0.25">
      <c r="A230" s="3" t="s">
        <v>635</v>
      </c>
    </row>
    <row r="231" spans="1:1" x14ac:dyDescent="0.25">
      <c r="A231" s="3" t="s">
        <v>634</v>
      </c>
    </row>
    <row r="232" spans="1:1" x14ac:dyDescent="0.25">
      <c r="A232" s="3" t="s">
        <v>653</v>
      </c>
    </row>
    <row r="233" spans="1:1" x14ac:dyDescent="0.25">
      <c r="A233" s="3" t="s">
        <v>634</v>
      </c>
    </row>
    <row r="234" spans="1:1" x14ac:dyDescent="0.25">
      <c r="A234" s="3" t="s">
        <v>635</v>
      </c>
    </row>
    <row r="235" spans="1:1" x14ac:dyDescent="0.25">
      <c r="A235" s="3" t="s">
        <v>634</v>
      </c>
    </row>
    <row r="236" spans="1:1" x14ac:dyDescent="0.25">
      <c r="A236" s="3" t="s">
        <v>654</v>
      </c>
    </row>
    <row r="237" spans="1:1" x14ac:dyDescent="0.25">
      <c r="A237" s="3" t="s">
        <v>634</v>
      </c>
    </row>
    <row r="238" spans="1:1" x14ac:dyDescent="0.25">
      <c r="A238" s="3" t="s">
        <v>635</v>
      </c>
    </row>
    <row r="239" spans="1:1" x14ac:dyDescent="0.25">
      <c r="A239" s="3" t="s">
        <v>634</v>
      </c>
    </row>
    <row r="240" spans="1:1" x14ac:dyDescent="0.25">
      <c r="A240" s="3" t="s">
        <v>655</v>
      </c>
    </row>
    <row r="241" spans="1:1" x14ac:dyDescent="0.25">
      <c r="A241" s="3" t="s">
        <v>634</v>
      </c>
    </row>
    <row r="242" spans="1:1" x14ac:dyDescent="0.25">
      <c r="A242" s="3" t="s">
        <v>635</v>
      </c>
    </row>
    <row r="243" spans="1:1" x14ac:dyDescent="0.25">
      <c r="A243" s="3" t="s">
        <v>634</v>
      </c>
    </row>
    <row r="244" spans="1:1" x14ac:dyDescent="0.25">
      <c r="A244" s="3" t="s">
        <v>656</v>
      </c>
    </row>
    <row r="245" spans="1:1" x14ac:dyDescent="0.25">
      <c r="A245" s="3" t="s">
        <v>634</v>
      </c>
    </row>
    <row r="246" spans="1:1" x14ac:dyDescent="0.25">
      <c r="A246" s="3" t="s">
        <v>635</v>
      </c>
    </row>
    <row r="247" spans="1:1" x14ac:dyDescent="0.25">
      <c r="A247" s="3" t="s">
        <v>634</v>
      </c>
    </row>
    <row r="248" spans="1:1" x14ac:dyDescent="0.25">
      <c r="A248" s="3" t="s">
        <v>657</v>
      </c>
    </row>
    <row r="249" spans="1:1" x14ac:dyDescent="0.25">
      <c r="A249" s="3" t="s">
        <v>634</v>
      </c>
    </row>
    <row r="250" spans="1:1" x14ac:dyDescent="0.25">
      <c r="A250" s="3" t="s">
        <v>635</v>
      </c>
    </row>
    <row r="251" spans="1:1" x14ac:dyDescent="0.25">
      <c r="A251" s="3" t="s">
        <v>634</v>
      </c>
    </row>
    <row r="252" spans="1:1" x14ac:dyDescent="0.25">
      <c r="A252" s="3" t="s">
        <v>658</v>
      </c>
    </row>
    <row r="253" spans="1:1" x14ac:dyDescent="0.25">
      <c r="A253" s="3" t="s">
        <v>634</v>
      </c>
    </row>
    <row r="254" spans="1:1" x14ac:dyDescent="0.25">
      <c r="A254" s="3" t="s">
        <v>635</v>
      </c>
    </row>
    <row r="255" spans="1:1" x14ac:dyDescent="0.25">
      <c r="A255" s="3" t="s">
        <v>634</v>
      </c>
    </row>
    <row r="256" spans="1:1" x14ac:dyDescent="0.25">
      <c r="A256" s="3" t="s">
        <v>659</v>
      </c>
    </row>
    <row r="257" spans="1:1" x14ac:dyDescent="0.25">
      <c r="A257" s="3" t="s">
        <v>634</v>
      </c>
    </row>
    <row r="258" spans="1:1" x14ac:dyDescent="0.25">
      <c r="A258" s="3" t="s">
        <v>635</v>
      </c>
    </row>
    <row r="259" spans="1:1" x14ac:dyDescent="0.25">
      <c r="A259" s="3" t="s">
        <v>634</v>
      </c>
    </row>
    <row r="260" spans="1:1" x14ac:dyDescent="0.25">
      <c r="A260" s="3" t="s">
        <v>660</v>
      </c>
    </row>
    <row r="261" spans="1:1" x14ac:dyDescent="0.25">
      <c r="A261" s="3" t="s">
        <v>634</v>
      </c>
    </row>
    <row r="262" spans="1:1" x14ac:dyDescent="0.25">
      <c r="A262" s="3" t="s">
        <v>635</v>
      </c>
    </row>
    <row r="263" spans="1:1" x14ac:dyDescent="0.25">
      <c r="A263" s="3" t="s">
        <v>634</v>
      </c>
    </row>
    <row r="264" spans="1:1" x14ac:dyDescent="0.25">
      <c r="A264" s="3" t="s">
        <v>661</v>
      </c>
    </row>
    <row r="265" spans="1:1" x14ac:dyDescent="0.25">
      <c r="A265" s="3" t="s">
        <v>662</v>
      </c>
    </row>
    <row r="266" spans="1:1" x14ac:dyDescent="0.25">
      <c r="A266" s="3" t="s">
        <v>635</v>
      </c>
    </row>
    <row r="267" spans="1:1" x14ac:dyDescent="0.25">
      <c r="A267" s="3" t="s">
        <v>634</v>
      </c>
    </row>
    <row r="268" spans="1:1" x14ac:dyDescent="0.25">
      <c r="A268" s="3" t="s">
        <v>663</v>
      </c>
    </row>
    <row r="269" spans="1:1" x14ac:dyDescent="0.25">
      <c r="A269" s="3" t="s">
        <v>634</v>
      </c>
    </row>
    <row r="270" spans="1:1" x14ac:dyDescent="0.25">
      <c r="A270" s="3" t="s">
        <v>635</v>
      </c>
    </row>
    <row r="271" spans="1:1" x14ac:dyDescent="0.25">
      <c r="A271" s="3" t="s">
        <v>634</v>
      </c>
    </row>
    <row r="272" spans="1:1" x14ac:dyDescent="0.25">
      <c r="A272" s="3" t="s">
        <v>664</v>
      </c>
    </row>
    <row r="273" spans="1:1" x14ac:dyDescent="0.25">
      <c r="A273" s="3" t="s">
        <v>634</v>
      </c>
    </row>
    <row r="274" spans="1:1" x14ac:dyDescent="0.25">
      <c r="A274" s="3" t="s">
        <v>665</v>
      </c>
    </row>
    <row r="275" spans="1:1" x14ac:dyDescent="0.25">
      <c r="A275" s="3" t="s">
        <v>634</v>
      </c>
    </row>
    <row r="276" spans="1:1" x14ac:dyDescent="0.25">
      <c r="A276" s="3" t="s">
        <v>666</v>
      </c>
    </row>
    <row r="277" spans="1:1" x14ac:dyDescent="0.25">
      <c r="A277" s="3" t="s">
        <v>634</v>
      </c>
    </row>
    <row r="278" spans="1:1" x14ac:dyDescent="0.25">
      <c r="A278" s="3" t="s">
        <v>635</v>
      </c>
    </row>
    <row r="279" spans="1:1" x14ac:dyDescent="0.25">
      <c r="A279" s="3" t="s">
        <v>634</v>
      </c>
    </row>
    <row r="280" spans="1:1" x14ac:dyDescent="0.25">
      <c r="A280" s="3" t="s">
        <v>667</v>
      </c>
    </row>
    <row r="281" spans="1:1" x14ac:dyDescent="0.25">
      <c r="A281" s="3" t="s">
        <v>634</v>
      </c>
    </row>
    <row r="282" spans="1:1" x14ac:dyDescent="0.25">
      <c r="A282" s="3" t="s">
        <v>635</v>
      </c>
    </row>
    <row r="283" spans="1:1" x14ac:dyDescent="0.25">
      <c r="A283" s="3" t="s">
        <v>634</v>
      </c>
    </row>
    <row r="284" spans="1:1" x14ac:dyDescent="0.25">
      <c r="A284" s="3" t="s">
        <v>668</v>
      </c>
    </row>
    <row r="285" spans="1:1" x14ac:dyDescent="0.25">
      <c r="A285" s="3" t="s">
        <v>634</v>
      </c>
    </row>
    <row r="286" spans="1:1" x14ac:dyDescent="0.25">
      <c r="A286" s="3" t="s">
        <v>665</v>
      </c>
    </row>
    <row r="287" spans="1:1" x14ac:dyDescent="0.25">
      <c r="A287" s="3" t="s">
        <v>634</v>
      </c>
    </row>
    <row r="288" spans="1:1" x14ac:dyDescent="0.25">
      <c r="A288" s="3" t="s">
        <v>669</v>
      </c>
    </row>
    <row r="289" spans="1:1" x14ac:dyDescent="0.25">
      <c r="A289" s="3" t="s">
        <v>634</v>
      </c>
    </row>
    <row r="290" spans="1:1" x14ac:dyDescent="0.25">
      <c r="A290" s="3" t="s">
        <v>635</v>
      </c>
    </row>
    <row r="291" spans="1:1" x14ac:dyDescent="0.25">
      <c r="A291" s="3" t="s">
        <v>634</v>
      </c>
    </row>
    <row r="292" spans="1:1" x14ac:dyDescent="0.25">
      <c r="A292" s="3" t="s">
        <v>670</v>
      </c>
    </row>
    <row r="293" spans="1:1" x14ac:dyDescent="0.25">
      <c r="A293" s="3" t="s">
        <v>634</v>
      </c>
    </row>
    <row r="294" spans="1:1" x14ac:dyDescent="0.25">
      <c r="A294" s="3" t="s">
        <v>635</v>
      </c>
    </row>
    <row r="295" spans="1:1" x14ac:dyDescent="0.25">
      <c r="A295" s="3" t="s">
        <v>634</v>
      </c>
    </row>
    <row r="296" spans="1:1" x14ac:dyDescent="0.25">
      <c r="A296" s="3" t="s">
        <v>671</v>
      </c>
    </row>
    <row r="297" spans="1:1" x14ac:dyDescent="0.25">
      <c r="A297" s="3" t="s">
        <v>634</v>
      </c>
    </row>
    <row r="298" spans="1:1" x14ac:dyDescent="0.25">
      <c r="A298" s="3" t="s">
        <v>635</v>
      </c>
    </row>
    <row r="299" spans="1:1" x14ac:dyDescent="0.25">
      <c r="A299" s="3" t="s">
        <v>634</v>
      </c>
    </row>
    <row r="300" spans="1:1" x14ac:dyDescent="0.25">
      <c r="A300" s="3" t="s">
        <v>672</v>
      </c>
    </row>
    <row r="301" spans="1:1" x14ac:dyDescent="0.25">
      <c r="A301" s="3" t="s">
        <v>634</v>
      </c>
    </row>
    <row r="302" spans="1:1" x14ac:dyDescent="0.25">
      <c r="A302" s="3" t="s">
        <v>635</v>
      </c>
    </row>
    <row r="303" spans="1:1" x14ac:dyDescent="0.25">
      <c r="A303" s="3" t="s">
        <v>634</v>
      </c>
    </row>
    <row r="304" spans="1:1" x14ac:dyDescent="0.25">
      <c r="A304" s="3" t="s">
        <v>673</v>
      </c>
    </row>
    <row r="305" spans="1:1" x14ac:dyDescent="0.25">
      <c r="A305" s="3" t="s">
        <v>634</v>
      </c>
    </row>
    <row r="306" spans="1:1" x14ac:dyDescent="0.25">
      <c r="A306" s="3" t="s">
        <v>635</v>
      </c>
    </row>
    <row r="307" spans="1:1" x14ac:dyDescent="0.25">
      <c r="A307" s="3" t="s">
        <v>634</v>
      </c>
    </row>
    <row r="308" spans="1:1" x14ac:dyDescent="0.25">
      <c r="A308" s="3" t="s">
        <v>674</v>
      </c>
    </row>
    <row r="309" spans="1:1" x14ac:dyDescent="0.25">
      <c r="A309" s="3" t="s">
        <v>634</v>
      </c>
    </row>
    <row r="310" spans="1:1" x14ac:dyDescent="0.25">
      <c r="A310" s="3" t="s">
        <v>635</v>
      </c>
    </row>
    <row r="311" spans="1:1" x14ac:dyDescent="0.25">
      <c r="A311" s="3" t="s">
        <v>634</v>
      </c>
    </row>
    <row r="312" spans="1:1" x14ac:dyDescent="0.25">
      <c r="A312" s="3" t="s">
        <v>675</v>
      </c>
    </row>
    <row r="313" spans="1:1" x14ac:dyDescent="0.25">
      <c r="A313" s="3" t="s">
        <v>634</v>
      </c>
    </row>
    <row r="314" spans="1:1" x14ac:dyDescent="0.25">
      <c r="A314" s="3" t="s">
        <v>635</v>
      </c>
    </row>
    <row r="315" spans="1:1" x14ac:dyDescent="0.25">
      <c r="A315" s="3" t="s">
        <v>634</v>
      </c>
    </row>
    <row r="316" spans="1:1" x14ac:dyDescent="0.25">
      <c r="A316" s="3" t="s">
        <v>676</v>
      </c>
    </row>
    <row r="317" spans="1:1" x14ac:dyDescent="0.25">
      <c r="A317" s="3" t="s">
        <v>634</v>
      </c>
    </row>
    <row r="318" spans="1:1" x14ac:dyDescent="0.25">
      <c r="A318" s="3" t="s">
        <v>635</v>
      </c>
    </row>
    <row r="319" spans="1:1" x14ac:dyDescent="0.25">
      <c r="A319" s="3" t="s">
        <v>634</v>
      </c>
    </row>
    <row r="320" spans="1:1" x14ac:dyDescent="0.25">
      <c r="A320" s="3" t="s">
        <v>677</v>
      </c>
    </row>
    <row r="321" spans="1:1" x14ac:dyDescent="0.25">
      <c r="A321" s="3" t="s">
        <v>634</v>
      </c>
    </row>
    <row r="322" spans="1:1" x14ac:dyDescent="0.25">
      <c r="A322" s="3" t="s">
        <v>635</v>
      </c>
    </row>
    <row r="323" spans="1:1" x14ac:dyDescent="0.25">
      <c r="A323" s="3" t="s">
        <v>634</v>
      </c>
    </row>
    <row r="324" spans="1:1" x14ac:dyDescent="0.25">
      <c r="A324" s="3" t="s">
        <v>678</v>
      </c>
    </row>
    <row r="325" spans="1:1" x14ac:dyDescent="0.25">
      <c r="A325" s="3" t="s">
        <v>634</v>
      </c>
    </row>
    <row r="326" spans="1:1" x14ac:dyDescent="0.25">
      <c r="A326" s="3" t="s">
        <v>635</v>
      </c>
    </row>
    <row r="327" spans="1:1" x14ac:dyDescent="0.25">
      <c r="A327" s="3" t="s">
        <v>634</v>
      </c>
    </row>
    <row r="328" spans="1:1" x14ac:dyDescent="0.25">
      <c r="A328" s="3" t="s">
        <v>679</v>
      </c>
    </row>
    <row r="329" spans="1:1" x14ac:dyDescent="0.25">
      <c r="A329" s="3" t="s">
        <v>634</v>
      </c>
    </row>
    <row r="330" spans="1:1" x14ac:dyDescent="0.25">
      <c r="A330" s="3" t="s">
        <v>635</v>
      </c>
    </row>
    <row r="331" spans="1:1" x14ac:dyDescent="0.25">
      <c r="A331" s="3" t="s">
        <v>634</v>
      </c>
    </row>
    <row r="332" spans="1:1" x14ac:dyDescent="0.25">
      <c r="A332" s="3" t="s">
        <v>680</v>
      </c>
    </row>
    <row r="333" spans="1:1" x14ac:dyDescent="0.25">
      <c r="A333" s="3" t="s">
        <v>634</v>
      </c>
    </row>
    <row r="334" spans="1:1" x14ac:dyDescent="0.25">
      <c r="A334" s="3" t="s">
        <v>635</v>
      </c>
    </row>
    <row r="335" spans="1:1" x14ac:dyDescent="0.25">
      <c r="A335" s="3" t="s">
        <v>634</v>
      </c>
    </row>
    <row r="336" spans="1:1" x14ac:dyDescent="0.25">
      <c r="A336" s="3" t="s">
        <v>681</v>
      </c>
    </row>
    <row r="337" spans="1:1" x14ac:dyDescent="0.25">
      <c r="A337" s="3" t="s">
        <v>634</v>
      </c>
    </row>
    <row r="338" spans="1:1" x14ac:dyDescent="0.25">
      <c r="A338" s="3" t="s">
        <v>635</v>
      </c>
    </row>
    <row r="339" spans="1:1" x14ac:dyDescent="0.25">
      <c r="A339" s="3" t="s">
        <v>634</v>
      </c>
    </row>
    <row r="340" spans="1:1" x14ac:dyDescent="0.25">
      <c r="A340" s="3" t="s">
        <v>682</v>
      </c>
    </row>
    <row r="341" spans="1:1" x14ac:dyDescent="0.25">
      <c r="A341" s="3" t="s">
        <v>634</v>
      </c>
    </row>
    <row r="342" spans="1:1" x14ac:dyDescent="0.25">
      <c r="A342" s="3" t="s">
        <v>635</v>
      </c>
    </row>
    <row r="343" spans="1:1" x14ac:dyDescent="0.25">
      <c r="A343" s="3" t="s">
        <v>634</v>
      </c>
    </row>
    <row r="344" spans="1:1" x14ac:dyDescent="0.25">
      <c r="A344" s="3" t="s">
        <v>683</v>
      </c>
    </row>
    <row r="345" spans="1:1" x14ac:dyDescent="0.25">
      <c r="A345" s="3" t="s">
        <v>634</v>
      </c>
    </row>
    <row r="346" spans="1:1" x14ac:dyDescent="0.25">
      <c r="A346" s="3" t="s">
        <v>635</v>
      </c>
    </row>
    <row r="347" spans="1:1" x14ac:dyDescent="0.25">
      <c r="A347" s="3" t="s">
        <v>634</v>
      </c>
    </row>
    <row r="348" spans="1:1" x14ac:dyDescent="0.25">
      <c r="A348" s="3" t="s">
        <v>684</v>
      </c>
    </row>
    <row r="349" spans="1:1" x14ac:dyDescent="0.25">
      <c r="A349" s="3" t="s">
        <v>634</v>
      </c>
    </row>
    <row r="350" spans="1:1" x14ac:dyDescent="0.25">
      <c r="A350" s="3" t="s">
        <v>635</v>
      </c>
    </row>
    <row r="351" spans="1:1" x14ac:dyDescent="0.25">
      <c r="A351" s="3" t="s">
        <v>634</v>
      </c>
    </row>
    <row r="352" spans="1:1" x14ac:dyDescent="0.25">
      <c r="A352" s="3" t="s">
        <v>685</v>
      </c>
    </row>
    <row r="353" spans="1:2" x14ac:dyDescent="0.25">
      <c r="A353" s="3" t="s">
        <v>4272</v>
      </c>
      <c r="B353" t="s">
        <v>4293</v>
      </c>
    </row>
    <row r="354" spans="1:2" x14ac:dyDescent="0.25">
      <c r="A354" s="3" t="s">
        <v>687</v>
      </c>
      <c r="B354" t="s">
        <v>4294</v>
      </c>
    </row>
    <row r="355" spans="1:2" x14ac:dyDescent="0.25">
      <c r="A355" s="3" t="s">
        <v>688</v>
      </c>
      <c r="B355" t="s">
        <v>4295</v>
      </c>
    </row>
    <row r="356" spans="1:2" x14ac:dyDescent="0.25">
      <c r="A356" s="3" t="s">
        <v>689</v>
      </c>
      <c r="B356" t="s">
        <v>4296</v>
      </c>
    </row>
    <row r="357" spans="1:2" x14ac:dyDescent="0.25">
      <c r="A357" s="3" t="s">
        <v>690</v>
      </c>
      <c r="B357" t="s">
        <v>4297</v>
      </c>
    </row>
    <row r="358" spans="1:2" x14ac:dyDescent="0.25">
      <c r="A358" s="3" t="s">
        <v>691</v>
      </c>
      <c r="B358" t="s">
        <v>4298</v>
      </c>
    </row>
    <row r="359" spans="1:2" x14ac:dyDescent="0.25">
      <c r="A359" s="3" t="s">
        <v>692</v>
      </c>
      <c r="B359" t="s">
        <v>4299</v>
      </c>
    </row>
    <row r="360" spans="1:2" x14ac:dyDescent="0.25">
      <c r="A360" s="3" t="s">
        <v>693</v>
      </c>
      <c r="B360" t="s">
        <v>4300</v>
      </c>
    </row>
    <row r="361" spans="1:2" x14ac:dyDescent="0.25">
      <c r="A361" s="3" t="s">
        <v>694</v>
      </c>
      <c r="B361" t="s">
        <v>4301</v>
      </c>
    </row>
    <row r="362" spans="1:2" x14ac:dyDescent="0.25">
      <c r="A362" s="3" t="s">
        <v>695</v>
      </c>
      <c r="B362" t="s">
        <v>4302</v>
      </c>
    </row>
    <row r="363" spans="1:2" x14ac:dyDescent="0.25">
      <c r="A363" s="3" t="s">
        <v>696</v>
      </c>
      <c r="B363" t="s">
        <v>4303</v>
      </c>
    </row>
    <row r="364" spans="1:2" x14ac:dyDescent="0.25">
      <c r="A364" s="3" t="s">
        <v>686</v>
      </c>
      <c r="B364" t="s">
        <v>4304</v>
      </c>
    </row>
    <row r="365" spans="1:2" x14ac:dyDescent="0.25">
      <c r="A365" s="3" t="s">
        <v>697</v>
      </c>
      <c r="B365" t="s">
        <v>4305</v>
      </c>
    </row>
    <row r="366" spans="1:2" x14ac:dyDescent="0.25">
      <c r="A366" s="3" t="s">
        <v>698</v>
      </c>
      <c r="B366" t="s">
        <v>4306</v>
      </c>
    </row>
    <row r="367" spans="1:2" x14ac:dyDescent="0.25">
      <c r="A367" s="3" t="s">
        <v>699</v>
      </c>
      <c r="B367" t="s">
        <v>4307</v>
      </c>
    </row>
    <row r="368" spans="1:2" x14ac:dyDescent="0.25">
      <c r="A368" s="3" t="s">
        <v>700</v>
      </c>
      <c r="B368" t="s">
        <v>4308</v>
      </c>
    </row>
    <row r="369" spans="1:2" x14ac:dyDescent="0.25">
      <c r="A369" s="3" t="s">
        <v>701</v>
      </c>
      <c r="B369" t="s">
        <v>4309</v>
      </c>
    </row>
    <row r="370" spans="1:2" x14ac:dyDescent="0.25">
      <c r="A370" s="3" t="s">
        <v>702</v>
      </c>
      <c r="B370" t="s">
        <v>4310</v>
      </c>
    </row>
    <row r="371" spans="1:2" x14ac:dyDescent="0.25">
      <c r="A371" s="3" t="s">
        <v>703</v>
      </c>
      <c r="B371" t="s">
        <v>4311</v>
      </c>
    </row>
    <row r="372" spans="1:2" x14ac:dyDescent="0.25">
      <c r="A372" s="3" t="s">
        <v>704</v>
      </c>
      <c r="B372" t="s">
        <v>4312</v>
      </c>
    </row>
    <row r="373" spans="1:2" x14ac:dyDescent="0.25">
      <c r="A373" s="3" t="s">
        <v>705</v>
      </c>
      <c r="B373" t="s">
        <v>4313</v>
      </c>
    </row>
    <row r="374" spans="1:2" x14ac:dyDescent="0.25">
      <c r="A374" s="3" t="s">
        <v>706</v>
      </c>
      <c r="B374" t="s">
        <v>4314</v>
      </c>
    </row>
    <row r="375" spans="1:2" x14ac:dyDescent="0.25">
      <c r="A375" s="3" t="s">
        <v>707</v>
      </c>
      <c r="B375" t="s">
        <v>4315</v>
      </c>
    </row>
    <row r="376" spans="1:2" x14ac:dyDescent="0.25">
      <c r="A376" s="3" t="s">
        <v>708</v>
      </c>
      <c r="B376" t="s">
        <v>4316</v>
      </c>
    </row>
    <row r="377" spans="1:2" x14ac:dyDescent="0.25">
      <c r="A377" s="3" t="s">
        <v>709</v>
      </c>
      <c r="B377" t="s">
        <v>4317</v>
      </c>
    </row>
    <row r="378" spans="1:2" x14ac:dyDescent="0.25">
      <c r="A378" s="3" t="s">
        <v>4269</v>
      </c>
      <c r="B378" t="s">
        <v>4318</v>
      </c>
    </row>
    <row r="379" spans="1:2" x14ac:dyDescent="0.25">
      <c r="A379" s="3" t="s">
        <v>710</v>
      </c>
      <c r="B379" t="s">
        <v>4320</v>
      </c>
    </row>
    <row r="380" spans="1:2" x14ac:dyDescent="0.25">
      <c r="A380" s="3" t="s">
        <v>711</v>
      </c>
      <c r="B380" t="s">
        <v>4321</v>
      </c>
    </row>
    <row r="381" spans="1:2" x14ac:dyDescent="0.25">
      <c r="A381" s="3" t="s">
        <v>712</v>
      </c>
      <c r="B381" t="s">
        <v>4322</v>
      </c>
    </row>
    <row r="382" spans="1:2" x14ac:dyDescent="0.25">
      <c r="A382" s="3" t="s">
        <v>713</v>
      </c>
      <c r="B382" t="s">
        <v>4323</v>
      </c>
    </row>
    <row r="383" spans="1:2" x14ac:dyDescent="0.25">
      <c r="A383" s="3" t="s">
        <v>714</v>
      </c>
      <c r="B383" t="s">
        <v>4324</v>
      </c>
    </row>
    <row r="384" spans="1:2" x14ac:dyDescent="0.25">
      <c r="A384" s="3" t="s">
        <v>715</v>
      </c>
      <c r="B384" t="s">
        <v>4325</v>
      </c>
    </row>
    <row r="385" spans="1:2" x14ac:dyDescent="0.25">
      <c r="A385" s="3" t="s">
        <v>716</v>
      </c>
      <c r="B385" t="s">
        <v>4326</v>
      </c>
    </row>
    <row r="386" spans="1:2" x14ac:dyDescent="0.25">
      <c r="A386" s="3" t="s">
        <v>717</v>
      </c>
      <c r="B386" t="s">
        <v>4327</v>
      </c>
    </row>
    <row r="387" spans="1:2" x14ac:dyDescent="0.25">
      <c r="A387" s="3" t="s">
        <v>718</v>
      </c>
      <c r="B387" t="s">
        <v>4328</v>
      </c>
    </row>
    <row r="388" spans="1:2" x14ac:dyDescent="0.25">
      <c r="A388" s="3" t="s">
        <v>719</v>
      </c>
      <c r="B388" t="s">
        <v>4329</v>
      </c>
    </row>
    <row r="389" spans="1:2" x14ac:dyDescent="0.25">
      <c r="A389" s="3" t="s">
        <v>720</v>
      </c>
      <c r="B389" t="s">
        <v>4330</v>
      </c>
    </row>
    <row r="390" spans="1:2" x14ac:dyDescent="0.25">
      <c r="A390" s="3" t="s">
        <v>721</v>
      </c>
      <c r="B390" t="s">
        <v>4331</v>
      </c>
    </row>
    <row r="391" spans="1:2" x14ac:dyDescent="0.25">
      <c r="A391" s="3" t="s">
        <v>722</v>
      </c>
      <c r="B391" t="s">
        <v>4332</v>
      </c>
    </row>
    <row r="392" spans="1:2" x14ac:dyDescent="0.25">
      <c r="A392" s="3" t="s">
        <v>723</v>
      </c>
      <c r="B392" t="s">
        <v>4333</v>
      </c>
    </row>
    <row r="393" spans="1:2" x14ac:dyDescent="0.25">
      <c r="A393" s="3" t="s">
        <v>724</v>
      </c>
      <c r="B393" t="s">
        <v>4334</v>
      </c>
    </row>
    <row r="394" spans="1:2" x14ac:dyDescent="0.25">
      <c r="A394" s="3" t="s">
        <v>4270</v>
      </c>
      <c r="B394" t="s">
        <v>4319</v>
      </c>
    </row>
    <row r="395" spans="1:2" x14ac:dyDescent="0.25">
      <c r="A395" s="3" t="s">
        <v>725</v>
      </c>
      <c r="B395" t="s">
        <v>4335</v>
      </c>
    </row>
    <row r="396" spans="1:2" x14ac:dyDescent="0.25">
      <c r="A396" s="3" t="s">
        <v>726</v>
      </c>
      <c r="B396" t="s">
        <v>4336</v>
      </c>
    </row>
    <row r="397" spans="1:2" x14ac:dyDescent="0.25">
      <c r="A397" s="3" t="s">
        <v>727</v>
      </c>
      <c r="B397" t="s">
        <v>4337</v>
      </c>
    </row>
    <row r="398" spans="1:2" x14ac:dyDescent="0.25">
      <c r="A398" s="3" t="s">
        <v>728</v>
      </c>
      <c r="B398" t="s">
        <v>4338</v>
      </c>
    </row>
    <row r="399" spans="1:2" x14ac:dyDescent="0.25">
      <c r="A399" s="3" t="s">
        <v>729</v>
      </c>
      <c r="B399" t="s">
        <v>4339</v>
      </c>
    </row>
    <row r="400" spans="1:2" x14ac:dyDescent="0.25">
      <c r="A400" s="3" t="s">
        <v>730</v>
      </c>
      <c r="B400" t="s">
        <v>4340</v>
      </c>
    </row>
    <row r="401" spans="1:2" x14ac:dyDescent="0.25">
      <c r="A401" s="3" t="s">
        <v>731</v>
      </c>
      <c r="B401" t="s">
        <v>4341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19D-AD39-415B-9E02-644AF4E41E09}">
  <dimension ref="B1:D129"/>
  <sheetViews>
    <sheetView topLeftCell="A106" workbookViewId="0">
      <selection activeCell="B80" sqref="B80:B128"/>
    </sheetView>
  </sheetViews>
  <sheetFormatPr defaultRowHeight="15" x14ac:dyDescent="0.25"/>
  <cols>
    <col min="2" max="2" width="120.85546875" style="3" customWidth="1"/>
    <col min="3" max="3" width="22.140625" style="6" customWidth="1"/>
    <col min="4" max="4" width="46.28515625" customWidth="1"/>
  </cols>
  <sheetData>
    <row r="1" spans="2:4" x14ac:dyDescent="0.25">
      <c r="B1" s="3" t="s">
        <v>4265</v>
      </c>
      <c r="C1" s="6" t="s">
        <v>4264</v>
      </c>
      <c r="D1" t="s">
        <v>4267</v>
      </c>
    </row>
    <row r="2" spans="2:4" x14ac:dyDescent="0.25">
      <c r="B2" s="3" t="s">
        <v>0</v>
      </c>
      <c r="C2" s="6">
        <v>0</v>
      </c>
      <c r="D2" t="s">
        <v>4277</v>
      </c>
    </row>
    <row r="3" spans="2:4" x14ac:dyDescent="0.25">
      <c r="B3" s="3" t="s">
        <v>3</v>
      </c>
      <c r="C3" s="6">
        <v>2</v>
      </c>
      <c r="D3" t="s">
        <v>4268</v>
      </c>
    </row>
    <row r="4" spans="2:4" x14ac:dyDescent="0.25">
      <c r="B4" s="3" t="s">
        <v>4</v>
      </c>
      <c r="C4" s="6">
        <v>2</v>
      </c>
      <c r="D4" t="s">
        <v>4268</v>
      </c>
    </row>
    <row r="5" spans="2:4" x14ac:dyDescent="0.25">
      <c r="B5" s="3" t="s">
        <v>5</v>
      </c>
      <c r="C5" s="6">
        <v>2</v>
      </c>
      <c r="D5" t="s">
        <v>4268</v>
      </c>
    </row>
    <row r="6" spans="2:4" x14ac:dyDescent="0.25">
      <c r="B6" s="3" t="s">
        <v>7</v>
      </c>
      <c r="C6" s="6">
        <v>0</v>
      </c>
    </row>
    <row r="7" spans="2:4" x14ac:dyDescent="0.25">
      <c r="B7" s="3" t="s">
        <v>8</v>
      </c>
      <c r="C7" s="6">
        <v>0</v>
      </c>
    </row>
    <row r="8" spans="2:4" x14ac:dyDescent="0.25">
      <c r="B8" s="3" t="s">
        <v>9</v>
      </c>
      <c r="C8" s="6">
        <v>2</v>
      </c>
      <c r="D8" t="s">
        <v>4268</v>
      </c>
    </row>
    <row r="9" spans="2:4" x14ac:dyDescent="0.25">
      <c r="B9" s="3" t="s">
        <v>10</v>
      </c>
      <c r="C9" s="6">
        <v>2</v>
      </c>
      <c r="D9" t="s">
        <v>4268</v>
      </c>
    </row>
    <row r="10" spans="2:4" x14ac:dyDescent="0.25">
      <c r="B10" s="3" t="s">
        <v>11</v>
      </c>
      <c r="C10" s="6">
        <v>0</v>
      </c>
    </row>
    <row r="11" spans="2:4" x14ac:dyDescent="0.25">
      <c r="B11" s="3" t="s">
        <v>13</v>
      </c>
      <c r="C11" s="6">
        <v>0</v>
      </c>
    </row>
    <row r="12" spans="2:4" x14ac:dyDescent="0.25">
      <c r="B12" s="3" t="s">
        <v>14</v>
      </c>
      <c r="C12" s="6">
        <v>0</v>
      </c>
    </row>
    <row r="13" spans="2:4" x14ac:dyDescent="0.25">
      <c r="B13" s="3" t="s">
        <v>15</v>
      </c>
      <c r="C13" s="6">
        <v>2</v>
      </c>
      <c r="D13" t="s">
        <v>4268</v>
      </c>
    </row>
    <row r="14" spans="2:4" x14ac:dyDescent="0.25">
      <c r="B14" s="48" t="s">
        <v>16</v>
      </c>
      <c r="C14" s="6">
        <v>2</v>
      </c>
      <c r="D14" t="s">
        <v>4268</v>
      </c>
    </row>
    <row r="15" spans="2:4" x14ac:dyDescent="0.25">
      <c r="B15" s="3" t="s">
        <v>19</v>
      </c>
      <c r="C15" s="6">
        <v>0</v>
      </c>
    </row>
    <row r="16" spans="2:4" x14ac:dyDescent="0.25">
      <c r="B16" s="3" t="s">
        <v>483</v>
      </c>
      <c r="C16" s="6">
        <v>2</v>
      </c>
      <c r="D16" t="s">
        <v>4268</v>
      </c>
    </row>
    <row r="17" spans="2:4" x14ac:dyDescent="0.25">
      <c r="B17" s="48" t="s">
        <v>482</v>
      </c>
      <c r="C17" s="6">
        <v>0</v>
      </c>
    </row>
    <row r="18" spans="2:4" x14ac:dyDescent="0.25">
      <c r="B18" s="3" t="s">
        <v>24</v>
      </c>
      <c r="C18" s="6">
        <v>2</v>
      </c>
      <c r="D18" t="s">
        <v>4268</v>
      </c>
    </row>
    <row r="19" spans="2:4" x14ac:dyDescent="0.25">
      <c r="B19" s="48" t="s">
        <v>482</v>
      </c>
      <c r="C19" s="6">
        <v>0</v>
      </c>
    </row>
    <row r="20" spans="2:4" x14ac:dyDescent="0.25">
      <c r="B20" s="3" t="s">
        <v>26</v>
      </c>
      <c r="C20" s="6">
        <v>0</v>
      </c>
    </row>
    <row r="21" spans="2:4" x14ac:dyDescent="0.25">
      <c r="B21" s="48" t="s">
        <v>482</v>
      </c>
      <c r="C21" s="6">
        <v>2</v>
      </c>
      <c r="D21" t="s">
        <v>4268</v>
      </c>
    </row>
    <row r="22" spans="2:4" s="6" customFormat="1" x14ac:dyDescent="0.25">
      <c r="B22" s="3" t="s">
        <v>35</v>
      </c>
      <c r="C22" s="6">
        <v>3</v>
      </c>
      <c r="D22" t="s">
        <v>4274</v>
      </c>
    </row>
    <row r="23" spans="2:4" s="6" customFormat="1" x14ac:dyDescent="0.25">
      <c r="B23" s="3" t="s">
        <v>485</v>
      </c>
      <c r="C23" s="6">
        <v>0</v>
      </c>
      <c r="D23"/>
    </row>
    <row r="24" spans="2:4" s="6" customFormat="1" x14ac:dyDescent="0.25">
      <c r="B24" s="3" t="s">
        <v>486</v>
      </c>
      <c r="C24" s="6">
        <v>0</v>
      </c>
      <c r="D24"/>
    </row>
    <row r="25" spans="2:4" x14ac:dyDescent="0.25">
      <c r="B25" s="3" t="s">
        <v>493</v>
      </c>
      <c r="C25" s="6">
        <v>2</v>
      </c>
      <c r="D25" t="s">
        <v>4268</v>
      </c>
    </row>
    <row r="26" spans="2:4" s="6" customFormat="1" x14ac:dyDescent="0.25">
      <c r="B26" s="3" t="s">
        <v>620</v>
      </c>
      <c r="C26" s="6">
        <v>2</v>
      </c>
      <c r="D26"/>
    </row>
    <row r="27" spans="2:4" x14ac:dyDescent="0.25">
      <c r="B27" s="3" t="s">
        <v>3826</v>
      </c>
      <c r="C27" s="6">
        <v>2</v>
      </c>
    </row>
    <row r="28" spans="2:4" x14ac:dyDescent="0.25">
      <c r="B28" s="3" t="s">
        <v>622</v>
      </c>
      <c r="C28" s="6">
        <v>3</v>
      </c>
      <c r="D28" t="s">
        <v>4274</v>
      </c>
    </row>
    <row r="29" spans="2:4" x14ac:dyDescent="0.25">
      <c r="B29" s="50" t="s">
        <v>4279</v>
      </c>
      <c r="C29" s="6" t="s">
        <v>4276</v>
      </c>
    </row>
    <row r="30" spans="2:4" x14ac:dyDescent="0.25">
      <c r="B30" s="3" t="s">
        <v>625</v>
      </c>
      <c r="C30" s="6">
        <v>3</v>
      </c>
      <c r="D30" t="s">
        <v>4275</v>
      </c>
    </row>
    <row r="31" spans="2:4" x14ac:dyDescent="0.25">
      <c r="B31" s="3" t="s">
        <v>626</v>
      </c>
      <c r="C31" s="6">
        <v>3</v>
      </c>
      <c r="D31" t="s">
        <v>4275</v>
      </c>
    </row>
    <row r="32" spans="2:4" x14ac:dyDescent="0.25">
      <c r="B32" s="3" t="s">
        <v>627</v>
      </c>
      <c r="C32" s="6">
        <v>3</v>
      </c>
      <c r="D32" t="s">
        <v>4275</v>
      </c>
    </row>
    <row r="33" spans="2:4" x14ac:dyDescent="0.25">
      <c r="B33" s="3" t="s">
        <v>628</v>
      </c>
      <c r="C33" s="6">
        <v>3</v>
      </c>
      <c r="D33" t="s">
        <v>4275</v>
      </c>
    </row>
    <row r="34" spans="2:4" x14ac:dyDescent="0.25">
      <c r="B34" s="3" t="s">
        <v>629</v>
      </c>
      <c r="C34" s="6">
        <v>3</v>
      </c>
      <c r="D34" t="s">
        <v>4275</v>
      </c>
    </row>
    <row r="35" spans="2:4" x14ac:dyDescent="0.25">
      <c r="B35" s="3" t="s">
        <v>630</v>
      </c>
      <c r="C35" s="6">
        <v>3</v>
      </c>
      <c r="D35" t="s">
        <v>4275</v>
      </c>
    </row>
    <row r="36" spans="2:4" ht="14.25" customHeight="1" x14ac:dyDescent="0.25">
      <c r="B36" s="52" t="s">
        <v>4280</v>
      </c>
      <c r="C36" s="6" t="s">
        <v>4276</v>
      </c>
    </row>
    <row r="37" spans="2:4" x14ac:dyDescent="0.25">
      <c r="B37" s="3" t="s">
        <v>4054</v>
      </c>
      <c r="C37" s="6">
        <v>0</v>
      </c>
    </row>
    <row r="38" spans="2:4" x14ac:dyDescent="0.25">
      <c r="B38" s="3" t="s">
        <v>4055</v>
      </c>
      <c r="C38" s="6">
        <v>0</v>
      </c>
    </row>
    <row r="39" spans="2:4" x14ac:dyDescent="0.25">
      <c r="B39" s="3" t="s">
        <v>4056</v>
      </c>
      <c r="C39" s="6">
        <v>0</v>
      </c>
    </row>
    <row r="40" spans="2:4" x14ac:dyDescent="0.25">
      <c r="B40" s="3" t="s">
        <v>4057</v>
      </c>
      <c r="C40" s="6">
        <v>0</v>
      </c>
    </row>
    <row r="41" spans="2:4" x14ac:dyDescent="0.25">
      <c r="B41" s="3" t="s">
        <v>4058</v>
      </c>
      <c r="C41" s="6">
        <v>0</v>
      </c>
    </row>
    <row r="42" spans="2:4" x14ac:dyDescent="0.25">
      <c r="B42" s="3" t="s">
        <v>4059</v>
      </c>
      <c r="C42" s="6">
        <v>0</v>
      </c>
    </row>
    <row r="43" spans="2:4" x14ac:dyDescent="0.25">
      <c r="B43" s="3" t="s">
        <v>4060</v>
      </c>
      <c r="C43" s="6">
        <v>0</v>
      </c>
    </row>
    <row r="44" spans="2:4" x14ac:dyDescent="0.25">
      <c r="B44" s="3" t="s">
        <v>4061</v>
      </c>
      <c r="C44" s="6">
        <v>0</v>
      </c>
    </row>
    <row r="45" spans="2:4" x14ac:dyDescent="0.25">
      <c r="B45" s="3" t="s">
        <v>4062</v>
      </c>
      <c r="C45" s="6">
        <v>0</v>
      </c>
    </row>
    <row r="46" spans="2:4" x14ac:dyDescent="0.25">
      <c r="B46" s="3" t="s">
        <v>4063</v>
      </c>
      <c r="C46" s="6">
        <v>0</v>
      </c>
    </row>
    <row r="47" spans="2:4" s="6" customFormat="1" x14ac:dyDescent="0.25">
      <c r="B47" s="3" t="s">
        <v>4064</v>
      </c>
      <c r="C47" s="6">
        <v>0</v>
      </c>
      <c r="D47"/>
    </row>
    <row r="48" spans="2:4" s="6" customFormat="1" x14ac:dyDescent="0.25">
      <c r="B48" s="3" t="s">
        <v>4065</v>
      </c>
      <c r="C48" s="6">
        <v>0</v>
      </c>
      <c r="D48"/>
    </row>
    <row r="49" spans="2:4" s="6" customFormat="1" x14ac:dyDescent="0.25">
      <c r="B49" s="3" t="s">
        <v>4066</v>
      </c>
      <c r="C49" s="6">
        <v>0</v>
      </c>
      <c r="D49"/>
    </row>
    <row r="50" spans="2:4" s="6" customFormat="1" x14ac:dyDescent="0.25">
      <c r="B50" s="3" t="s">
        <v>4067</v>
      </c>
      <c r="C50" s="6">
        <v>0</v>
      </c>
      <c r="D50"/>
    </row>
    <row r="51" spans="2:4" s="6" customFormat="1" x14ac:dyDescent="0.25">
      <c r="B51" s="3" t="s">
        <v>4068</v>
      </c>
      <c r="C51" s="6">
        <v>0</v>
      </c>
      <c r="D51"/>
    </row>
    <row r="52" spans="2:4" s="6" customFormat="1" x14ac:dyDescent="0.25">
      <c r="B52" s="3" t="s">
        <v>4069</v>
      </c>
      <c r="C52" s="6">
        <v>0</v>
      </c>
      <c r="D52"/>
    </row>
    <row r="53" spans="2:4" s="6" customFormat="1" x14ac:dyDescent="0.25">
      <c r="B53" s="3" t="s">
        <v>4070</v>
      </c>
      <c r="C53" s="6">
        <v>0</v>
      </c>
      <c r="D53"/>
    </row>
    <row r="54" spans="2:4" s="6" customFormat="1" x14ac:dyDescent="0.25">
      <c r="B54" s="3" t="s">
        <v>4071</v>
      </c>
      <c r="C54" s="6">
        <v>0</v>
      </c>
      <c r="D54"/>
    </row>
    <row r="55" spans="2:4" s="6" customFormat="1" x14ac:dyDescent="0.25">
      <c r="B55" s="3" t="s">
        <v>4072</v>
      </c>
      <c r="C55" s="6">
        <v>0</v>
      </c>
      <c r="D55"/>
    </row>
    <row r="56" spans="2:4" s="6" customFormat="1" x14ac:dyDescent="0.25">
      <c r="B56" s="3" t="s">
        <v>4073</v>
      </c>
      <c r="C56" s="6">
        <v>0</v>
      </c>
      <c r="D56"/>
    </row>
    <row r="57" spans="2:4" s="6" customFormat="1" x14ac:dyDescent="0.25">
      <c r="B57" s="3" t="s">
        <v>4074</v>
      </c>
      <c r="C57" s="6">
        <v>0</v>
      </c>
      <c r="D57"/>
    </row>
    <row r="58" spans="2:4" s="6" customFormat="1" x14ac:dyDescent="0.25">
      <c r="B58" s="3" t="s">
        <v>4075</v>
      </c>
      <c r="C58" s="6">
        <v>0</v>
      </c>
      <c r="D58"/>
    </row>
    <row r="59" spans="2:4" s="6" customFormat="1" x14ac:dyDescent="0.25">
      <c r="B59" s="3" t="s">
        <v>4076</v>
      </c>
      <c r="C59" s="6">
        <v>0</v>
      </c>
      <c r="D59"/>
    </row>
    <row r="60" spans="2:4" x14ac:dyDescent="0.25">
      <c r="B60" s="3" t="s">
        <v>4082</v>
      </c>
      <c r="C60" s="6">
        <v>0</v>
      </c>
      <c r="D60" t="s">
        <v>4278</v>
      </c>
    </row>
    <row r="61" spans="2:4" x14ac:dyDescent="0.25">
      <c r="B61" s="3" t="s">
        <v>4083</v>
      </c>
      <c r="C61" s="6">
        <v>0</v>
      </c>
      <c r="D61" t="s">
        <v>4278</v>
      </c>
    </row>
    <row r="62" spans="2:4" x14ac:dyDescent="0.25">
      <c r="B62" s="3" t="s">
        <v>4084</v>
      </c>
      <c r="C62" s="6">
        <v>0</v>
      </c>
      <c r="D62" t="s">
        <v>4278</v>
      </c>
    </row>
    <row r="63" spans="2:4" x14ac:dyDescent="0.25">
      <c r="B63" s="3" t="s">
        <v>4085</v>
      </c>
      <c r="C63" s="6">
        <v>0</v>
      </c>
      <c r="D63" t="s">
        <v>4278</v>
      </c>
    </row>
    <row r="64" spans="2:4" x14ac:dyDescent="0.25">
      <c r="B64" s="3" t="s">
        <v>4086</v>
      </c>
      <c r="C64" s="6">
        <v>0</v>
      </c>
      <c r="D64" t="s">
        <v>4278</v>
      </c>
    </row>
    <row r="65" spans="2:4" x14ac:dyDescent="0.25">
      <c r="B65" s="3" t="s">
        <v>4087</v>
      </c>
      <c r="C65" s="6">
        <v>0</v>
      </c>
      <c r="D65" t="s">
        <v>4278</v>
      </c>
    </row>
    <row r="66" spans="2:4" x14ac:dyDescent="0.25">
      <c r="B66" s="3" t="s">
        <v>4088</v>
      </c>
      <c r="C66" s="6">
        <v>0</v>
      </c>
      <c r="D66" t="s">
        <v>4278</v>
      </c>
    </row>
    <row r="67" spans="2:4" x14ac:dyDescent="0.25">
      <c r="B67" s="3" t="s">
        <v>4093</v>
      </c>
      <c r="C67" s="6">
        <v>2</v>
      </c>
      <c r="D67" t="s">
        <v>4266</v>
      </c>
    </row>
    <row r="68" spans="2:4" x14ac:dyDescent="0.25">
      <c r="B68" s="3" t="s">
        <v>4098</v>
      </c>
      <c r="C68" s="6">
        <v>3</v>
      </c>
      <c r="D68" t="s">
        <v>4275</v>
      </c>
    </row>
    <row r="69" spans="2:4" x14ac:dyDescent="0.25">
      <c r="B69" s="3" t="s">
        <v>641</v>
      </c>
      <c r="C69" s="6">
        <v>3</v>
      </c>
      <c r="D69" t="s">
        <v>4275</v>
      </c>
    </row>
    <row r="70" spans="2:4" x14ac:dyDescent="0.25">
      <c r="B70" s="3" t="s">
        <v>643</v>
      </c>
      <c r="C70" s="6">
        <v>3</v>
      </c>
      <c r="D70" t="s">
        <v>4275</v>
      </c>
    </row>
    <row r="71" spans="2:4" x14ac:dyDescent="0.25">
      <c r="B71" s="3" t="s">
        <v>644</v>
      </c>
      <c r="C71" s="6">
        <v>3</v>
      </c>
      <c r="D71" t="s">
        <v>4275</v>
      </c>
    </row>
    <row r="72" spans="2:4" x14ac:dyDescent="0.25">
      <c r="B72" s="3" t="s">
        <v>657</v>
      </c>
      <c r="C72" s="6">
        <v>3</v>
      </c>
      <c r="D72" t="s">
        <v>4274</v>
      </c>
    </row>
    <row r="73" spans="2:4" x14ac:dyDescent="0.25">
      <c r="B73" s="3" t="s">
        <v>658</v>
      </c>
      <c r="C73" s="6">
        <v>3</v>
      </c>
      <c r="D73" t="s">
        <v>4274</v>
      </c>
    </row>
    <row r="74" spans="2:4" x14ac:dyDescent="0.25">
      <c r="B74" s="3" t="s">
        <v>659</v>
      </c>
      <c r="C74" s="6">
        <v>3</v>
      </c>
      <c r="D74" t="s">
        <v>4274</v>
      </c>
    </row>
    <row r="75" spans="2:4" x14ac:dyDescent="0.25">
      <c r="B75" s="3" t="s">
        <v>634</v>
      </c>
      <c r="C75" s="6">
        <v>3</v>
      </c>
      <c r="D75" t="s">
        <v>4274</v>
      </c>
    </row>
    <row r="76" spans="2:4" x14ac:dyDescent="0.25">
      <c r="B76" s="3" t="s">
        <v>668</v>
      </c>
      <c r="C76" s="6">
        <v>3</v>
      </c>
      <c r="D76" t="s">
        <v>4274</v>
      </c>
    </row>
    <row r="77" spans="2:4" x14ac:dyDescent="0.25">
      <c r="B77" s="3" t="s">
        <v>634</v>
      </c>
      <c r="C77" s="6">
        <v>3</v>
      </c>
      <c r="D77" t="s">
        <v>4274</v>
      </c>
    </row>
    <row r="78" spans="2:4" x14ac:dyDescent="0.25">
      <c r="B78" s="3" t="s">
        <v>679</v>
      </c>
      <c r="C78" s="6">
        <v>3</v>
      </c>
      <c r="D78" t="s">
        <v>4274</v>
      </c>
    </row>
    <row r="79" spans="2:4" x14ac:dyDescent="0.25">
      <c r="B79" s="3" t="s">
        <v>684</v>
      </c>
      <c r="C79" s="6">
        <v>3</v>
      </c>
      <c r="D79" t="s">
        <v>4274</v>
      </c>
    </row>
    <row r="80" spans="2:4" x14ac:dyDescent="0.25">
      <c r="B80" s="53" t="s">
        <v>4272</v>
      </c>
      <c r="C80" s="6">
        <v>2</v>
      </c>
      <c r="D80" t="s">
        <v>4268</v>
      </c>
    </row>
    <row r="81" spans="2:4" x14ac:dyDescent="0.25">
      <c r="B81" s="3" t="s">
        <v>687</v>
      </c>
      <c r="C81" s="6">
        <v>2</v>
      </c>
      <c r="D81" t="s">
        <v>4268</v>
      </c>
    </row>
    <row r="82" spans="2:4" x14ac:dyDescent="0.25">
      <c r="B82" s="3" t="s">
        <v>688</v>
      </c>
      <c r="C82" s="6">
        <v>2</v>
      </c>
      <c r="D82" t="s">
        <v>4268</v>
      </c>
    </row>
    <row r="83" spans="2:4" x14ac:dyDescent="0.25">
      <c r="B83" s="3" t="s">
        <v>689</v>
      </c>
      <c r="C83" s="6">
        <v>2</v>
      </c>
      <c r="D83" t="s">
        <v>4268</v>
      </c>
    </row>
    <row r="84" spans="2:4" x14ac:dyDescent="0.25">
      <c r="B84" s="3" t="s">
        <v>690</v>
      </c>
      <c r="C84" s="6">
        <v>2</v>
      </c>
      <c r="D84" t="s">
        <v>4268</v>
      </c>
    </row>
    <row r="85" spans="2:4" x14ac:dyDescent="0.25">
      <c r="B85" s="3" t="s">
        <v>691</v>
      </c>
      <c r="C85" s="6">
        <v>2</v>
      </c>
      <c r="D85" t="s">
        <v>4268</v>
      </c>
    </row>
    <row r="86" spans="2:4" x14ac:dyDescent="0.25">
      <c r="B86" s="3" t="s">
        <v>692</v>
      </c>
      <c r="C86" s="6">
        <v>2</v>
      </c>
      <c r="D86" t="s">
        <v>4268</v>
      </c>
    </row>
    <row r="87" spans="2:4" x14ac:dyDescent="0.25">
      <c r="B87" s="3" t="s">
        <v>693</v>
      </c>
      <c r="C87" s="6">
        <v>2</v>
      </c>
      <c r="D87" t="s">
        <v>4268</v>
      </c>
    </row>
    <row r="88" spans="2:4" x14ac:dyDescent="0.25">
      <c r="B88" s="3" t="s">
        <v>694</v>
      </c>
      <c r="C88" s="6">
        <v>2</v>
      </c>
      <c r="D88" t="s">
        <v>4268</v>
      </c>
    </row>
    <row r="89" spans="2:4" x14ac:dyDescent="0.25">
      <c r="B89" s="3" t="s">
        <v>695</v>
      </c>
      <c r="C89" s="6">
        <v>2</v>
      </c>
      <c r="D89" t="s">
        <v>4268</v>
      </c>
    </row>
    <row r="90" spans="2:4" x14ac:dyDescent="0.25">
      <c r="B90" s="3" t="s">
        <v>696</v>
      </c>
      <c r="C90" s="6">
        <v>2</v>
      </c>
      <c r="D90" t="s">
        <v>4268</v>
      </c>
    </row>
    <row r="91" spans="2:4" x14ac:dyDescent="0.25">
      <c r="B91" s="53" t="s">
        <v>4273</v>
      </c>
      <c r="C91" s="6">
        <v>2</v>
      </c>
      <c r="D91" t="s">
        <v>4268</v>
      </c>
    </row>
    <row r="92" spans="2:4" x14ac:dyDescent="0.25">
      <c r="B92" s="3" t="s">
        <v>697</v>
      </c>
      <c r="C92" s="6">
        <v>2</v>
      </c>
      <c r="D92" t="s">
        <v>4268</v>
      </c>
    </row>
    <row r="93" spans="2:4" x14ac:dyDescent="0.25">
      <c r="B93" s="3" t="s">
        <v>698</v>
      </c>
      <c r="C93" s="6">
        <v>2</v>
      </c>
      <c r="D93" t="s">
        <v>4268</v>
      </c>
    </row>
    <row r="94" spans="2:4" x14ac:dyDescent="0.25">
      <c r="B94" s="3" t="s">
        <v>699</v>
      </c>
      <c r="C94" s="6">
        <v>2</v>
      </c>
      <c r="D94" t="s">
        <v>4268</v>
      </c>
    </row>
    <row r="95" spans="2:4" x14ac:dyDescent="0.25">
      <c r="B95" s="3" t="s">
        <v>700</v>
      </c>
      <c r="C95" s="6">
        <v>2</v>
      </c>
      <c r="D95" t="s">
        <v>4268</v>
      </c>
    </row>
    <row r="96" spans="2:4" x14ac:dyDescent="0.25">
      <c r="B96" s="3" t="s">
        <v>701</v>
      </c>
      <c r="C96" s="6">
        <v>2</v>
      </c>
      <c r="D96" t="s">
        <v>4268</v>
      </c>
    </row>
    <row r="97" spans="2:4" x14ac:dyDescent="0.25">
      <c r="B97" s="3" t="s">
        <v>702</v>
      </c>
      <c r="C97" s="6">
        <v>2</v>
      </c>
      <c r="D97" t="s">
        <v>4268</v>
      </c>
    </row>
    <row r="98" spans="2:4" x14ac:dyDescent="0.25">
      <c r="B98" s="3" t="s">
        <v>703</v>
      </c>
      <c r="C98" s="6">
        <v>2</v>
      </c>
      <c r="D98" t="s">
        <v>4268</v>
      </c>
    </row>
    <row r="99" spans="2:4" x14ac:dyDescent="0.25">
      <c r="B99" s="3" t="s">
        <v>704</v>
      </c>
      <c r="C99" s="6">
        <v>2</v>
      </c>
      <c r="D99" t="s">
        <v>4268</v>
      </c>
    </row>
    <row r="100" spans="2:4" x14ac:dyDescent="0.25">
      <c r="B100" s="3" t="s">
        <v>705</v>
      </c>
      <c r="C100" s="6">
        <v>2</v>
      </c>
      <c r="D100" t="s">
        <v>4268</v>
      </c>
    </row>
    <row r="101" spans="2:4" x14ac:dyDescent="0.25">
      <c r="B101" s="3" t="s">
        <v>706</v>
      </c>
      <c r="C101" s="6">
        <v>2</v>
      </c>
      <c r="D101" t="s">
        <v>4268</v>
      </c>
    </row>
    <row r="102" spans="2:4" x14ac:dyDescent="0.25">
      <c r="B102" s="3" t="s">
        <v>707</v>
      </c>
      <c r="C102" s="6">
        <v>2</v>
      </c>
      <c r="D102" t="s">
        <v>4268</v>
      </c>
    </row>
    <row r="103" spans="2:4" x14ac:dyDescent="0.25">
      <c r="B103" s="3" t="s">
        <v>708</v>
      </c>
      <c r="C103" s="6">
        <v>2</v>
      </c>
      <c r="D103" t="s">
        <v>4268</v>
      </c>
    </row>
    <row r="104" spans="2:4" x14ac:dyDescent="0.25">
      <c r="B104" s="3" t="s">
        <v>709</v>
      </c>
      <c r="C104" s="6">
        <v>2</v>
      </c>
      <c r="D104" t="s">
        <v>4268</v>
      </c>
    </row>
    <row r="105" spans="2:4" x14ac:dyDescent="0.25">
      <c r="B105" s="53" t="s">
        <v>4269</v>
      </c>
      <c r="C105" s="6">
        <v>2</v>
      </c>
      <c r="D105" t="s">
        <v>4268</v>
      </c>
    </row>
    <row r="106" spans="2:4" x14ac:dyDescent="0.25">
      <c r="B106" s="3" t="s">
        <v>710</v>
      </c>
      <c r="C106" s="6">
        <v>2</v>
      </c>
      <c r="D106" t="s">
        <v>4268</v>
      </c>
    </row>
    <row r="107" spans="2:4" x14ac:dyDescent="0.25">
      <c r="B107" s="3" t="s">
        <v>711</v>
      </c>
      <c r="C107" s="6">
        <v>2</v>
      </c>
      <c r="D107" t="s">
        <v>4268</v>
      </c>
    </row>
    <row r="108" spans="2:4" x14ac:dyDescent="0.25">
      <c r="B108" s="3" t="s">
        <v>712</v>
      </c>
      <c r="C108" s="6">
        <v>2</v>
      </c>
      <c r="D108" t="s">
        <v>4268</v>
      </c>
    </row>
    <row r="109" spans="2:4" x14ac:dyDescent="0.25">
      <c r="B109" s="3" t="s">
        <v>713</v>
      </c>
      <c r="C109" s="6">
        <v>2</v>
      </c>
      <c r="D109" t="s">
        <v>4268</v>
      </c>
    </row>
    <row r="110" spans="2:4" x14ac:dyDescent="0.25">
      <c r="B110" s="3" t="s">
        <v>714</v>
      </c>
      <c r="C110" s="6">
        <v>2</v>
      </c>
      <c r="D110" t="s">
        <v>4268</v>
      </c>
    </row>
    <row r="111" spans="2:4" x14ac:dyDescent="0.25">
      <c r="B111" s="3" t="s">
        <v>715</v>
      </c>
      <c r="C111" s="6">
        <v>2</v>
      </c>
      <c r="D111" t="s">
        <v>4268</v>
      </c>
    </row>
    <row r="112" spans="2:4" x14ac:dyDescent="0.25">
      <c r="B112" s="3" t="s">
        <v>716</v>
      </c>
      <c r="C112" s="6">
        <v>2</v>
      </c>
      <c r="D112" t="s">
        <v>4268</v>
      </c>
    </row>
    <row r="113" spans="2:4" x14ac:dyDescent="0.25">
      <c r="B113" s="3" t="s">
        <v>717</v>
      </c>
      <c r="C113" s="6">
        <v>2</v>
      </c>
      <c r="D113" t="s">
        <v>4268</v>
      </c>
    </row>
    <row r="114" spans="2:4" x14ac:dyDescent="0.25">
      <c r="B114" s="3" t="s">
        <v>718</v>
      </c>
      <c r="C114" s="6">
        <v>2</v>
      </c>
      <c r="D114" t="s">
        <v>4268</v>
      </c>
    </row>
    <row r="115" spans="2:4" x14ac:dyDescent="0.25">
      <c r="B115" s="3" t="s">
        <v>719</v>
      </c>
      <c r="C115" s="6">
        <v>2</v>
      </c>
      <c r="D115" t="s">
        <v>4268</v>
      </c>
    </row>
    <row r="116" spans="2:4" x14ac:dyDescent="0.25">
      <c r="B116" s="3" t="s">
        <v>720</v>
      </c>
      <c r="C116" s="6">
        <v>2</v>
      </c>
      <c r="D116" t="s">
        <v>4268</v>
      </c>
    </row>
    <row r="117" spans="2:4" x14ac:dyDescent="0.25">
      <c r="B117" s="3" t="s">
        <v>721</v>
      </c>
      <c r="C117" s="6">
        <v>2</v>
      </c>
      <c r="D117" t="s">
        <v>4268</v>
      </c>
    </row>
    <row r="118" spans="2:4" x14ac:dyDescent="0.25">
      <c r="B118" s="3" t="s">
        <v>722</v>
      </c>
      <c r="C118" s="6">
        <v>2</v>
      </c>
      <c r="D118" t="s">
        <v>4268</v>
      </c>
    </row>
    <row r="119" spans="2:4" x14ac:dyDescent="0.25">
      <c r="B119" s="3" t="s">
        <v>723</v>
      </c>
      <c r="C119" s="6">
        <v>2</v>
      </c>
      <c r="D119" t="s">
        <v>4268</v>
      </c>
    </row>
    <row r="120" spans="2:4" x14ac:dyDescent="0.25">
      <c r="B120" s="3" t="s">
        <v>724</v>
      </c>
      <c r="C120" s="6">
        <v>2</v>
      </c>
      <c r="D120" t="s">
        <v>4268</v>
      </c>
    </row>
    <row r="121" spans="2:4" x14ac:dyDescent="0.25">
      <c r="B121" s="3" t="s">
        <v>4271</v>
      </c>
      <c r="C121" s="6">
        <v>2</v>
      </c>
      <c r="D121" t="s">
        <v>4268</v>
      </c>
    </row>
    <row r="122" spans="2:4" x14ac:dyDescent="0.25">
      <c r="B122" s="3" t="s">
        <v>725</v>
      </c>
      <c r="C122" s="6">
        <v>2</v>
      </c>
      <c r="D122" t="s">
        <v>4268</v>
      </c>
    </row>
    <row r="123" spans="2:4" x14ac:dyDescent="0.25">
      <c r="B123" s="3" t="s">
        <v>726</v>
      </c>
      <c r="C123" s="6">
        <v>2</v>
      </c>
      <c r="D123" t="s">
        <v>4268</v>
      </c>
    </row>
    <row r="124" spans="2:4" x14ac:dyDescent="0.25">
      <c r="B124" s="3" t="s">
        <v>727</v>
      </c>
      <c r="C124" s="6">
        <v>2</v>
      </c>
      <c r="D124" t="s">
        <v>4268</v>
      </c>
    </row>
    <row r="125" spans="2:4" x14ac:dyDescent="0.25">
      <c r="B125" s="3" t="s">
        <v>728</v>
      </c>
      <c r="C125" s="6">
        <v>2</v>
      </c>
      <c r="D125" t="s">
        <v>4268</v>
      </c>
    </row>
    <row r="126" spans="2:4" x14ac:dyDescent="0.25">
      <c r="B126" s="3" t="s">
        <v>729</v>
      </c>
      <c r="C126" s="6">
        <v>2</v>
      </c>
      <c r="D126" t="s">
        <v>4268</v>
      </c>
    </row>
    <row r="127" spans="2:4" x14ac:dyDescent="0.25">
      <c r="B127" s="3" t="s">
        <v>730</v>
      </c>
      <c r="C127" s="6">
        <v>2</v>
      </c>
      <c r="D127" t="s">
        <v>4268</v>
      </c>
    </row>
    <row r="128" spans="2:4" x14ac:dyDescent="0.25">
      <c r="B128" s="3" t="s">
        <v>731</v>
      </c>
      <c r="C128" s="6">
        <v>2</v>
      </c>
      <c r="D128" t="s">
        <v>4268</v>
      </c>
    </row>
    <row r="129" spans="3:4" x14ac:dyDescent="0.25">
      <c r="C129" s="6">
        <v>2</v>
      </c>
      <c r="D129" t="s">
        <v>4268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0B87-8432-47C9-BF26-3EB04FAFEB4C}">
  <dimension ref="B1:D400"/>
  <sheetViews>
    <sheetView workbookViewId="0">
      <selection sqref="A1:XFD1048576"/>
    </sheetView>
  </sheetViews>
  <sheetFormatPr defaultRowHeight="15" x14ac:dyDescent="0.25"/>
  <cols>
    <col min="2" max="2" width="120.85546875" style="3" customWidth="1"/>
    <col min="3" max="3" width="22.140625" style="6" customWidth="1"/>
    <col min="4" max="4" width="46.28515625" customWidth="1"/>
  </cols>
  <sheetData>
    <row r="1" spans="2:4" x14ac:dyDescent="0.25">
      <c r="B1" s="3" t="s">
        <v>4265</v>
      </c>
      <c r="C1" s="6" t="s">
        <v>4264</v>
      </c>
      <c r="D1" t="s">
        <v>4267</v>
      </c>
    </row>
    <row r="2" spans="2:4" x14ac:dyDescent="0.25">
      <c r="B2" s="3" t="s">
        <v>0</v>
      </c>
      <c r="D2" t="s">
        <v>4277</v>
      </c>
    </row>
    <row r="3" spans="2:4" x14ac:dyDescent="0.25">
      <c r="B3" s="3" t="s">
        <v>3</v>
      </c>
      <c r="C3" s="6">
        <v>2</v>
      </c>
      <c r="D3" t="s">
        <v>4268</v>
      </c>
    </row>
    <row r="4" spans="2:4" x14ac:dyDescent="0.25">
      <c r="B4" s="3" t="s">
        <v>4</v>
      </c>
      <c r="C4" s="6">
        <v>2</v>
      </c>
      <c r="D4" t="s">
        <v>4268</v>
      </c>
    </row>
    <row r="5" spans="2:4" x14ac:dyDescent="0.25">
      <c r="B5" s="3" t="s">
        <v>5</v>
      </c>
      <c r="C5" s="6">
        <v>2</v>
      </c>
      <c r="D5" t="s">
        <v>4268</v>
      </c>
    </row>
    <row r="6" spans="2:4" x14ac:dyDescent="0.25">
      <c r="B6" s="3" t="s">
        <v>7</v>
      </c>
      <c r="C6" s="6">
        <v>0</v>
      </c>
    </row>
    <row r="7" spans="2:4" x14ac:dyDescent="0.25">
      <c r="B7" s="3" t="s">
        <v>8</v>
      </c>
      <c r="C7" s="6">
        <v>0</v>
      </c>
    </row>
    <row r="8" spans="2:4" x14ac:dyDescent="0.25">
      <c r="B8" s="3" t="s">
        <v>9</v>
      </c>
      <c r="C8" s="6">
        <v>2</v>
      </c>
      <c r="D8" t="s">
        <v>4268</v>
      </c>
    </row>
    <row r="9" spans="2:4" x14ac:dyDescent="0.25">
      <c r="B9" s="3" t="s">
        <v>10</v>
      </c>
      <c r="C9" s="6">
        <v>2</v>
      </c>
      <c r="D9" t="s">
        <v>4268</v>
      </c>
    </row>
    <row r="10" spans="2:4" x14ac:dyDescent="0.25">
      <c r="B10" s="3" t="s">
        <v>11</v>
      </c>
      <c r="C10" s="6">
        <v>0</v>
      </c>
    </row>
    <row r="11" spans="2:4" x14ac:dyDescent="0.25">
      <c r="B11" s="3" t="s">
        <v>12</v>
      </c>
    </row>
    <row r="12" spans="2:4" x14ac:dyDescent="0.25">
      <c r="B12" s="3" t="s">
        <v>13</v>
      </c>
      <c r="C12" s="6">
        <v>0</v>
      </c>
    </row>
    <row r="13" spans="2:4" x14ac:dyDescent="0.25">
      <c r="B13" s="3" t="s">
        <v>14</v>
      </c>
      <c r="C13" s="6">
        <v>0</v>
      </c>
    </row>
    <row r="14" spans="2:4" x14ac:dyDescent="0.25">
      <c r="B14" s="3" t="s">
        <v>15</v>
      </c>
      <c r="C14" s="6">
        <v>2</v>
      </c>
      <c r="D14" t="s">
        <v>4268</v>
      </c>
    </row>
    <row r="15" spans="2:4" x14ac:dyDescent="0.25">
      <c r="B15" s="48" t="s">
        <v>16</v>
      </c>
      <c r="C15" s="6">
        <v>2</v>
      </c>
      <c r="D15" t="s">
        <v>4268</v>
      </c>
    </row>
    <row r="16" spans="2:4" x14ac:dyDescent="0.25">
      <c r="B16" s="3" t="s">
        <v>19</v>
      </c>
      <c r="C16" s="6">
        <v>0</v>
      </c>
    </row>
    <row r="17" spans="2:4" x14ac:dyDescent="0.25">
      <c r="B17" s="3" t="s">
        <v>483</v>
      </c>
      <c r="C17" s="6">
        <v>2</v>
      </c>
      <c r="D17" t="s">
        <v>4268</v>
      </c>
    </row>
    <row r="18" spans="2:4" x14ac:dyDescent="0.25">
      <c r="B18" s="48" t="s">
        <v>482</v>
      </c>
      <c r="C18" s="6">
        <v>0</v>
      </c>
    </row>
    <row r="19" spans="2:4" x14ac:dyDescent="0.25">
      <c r="B19" s="3" t="s">
        <v>24</v>
      </c>
      <c r="C19" s="6">
        <v>2</v>
      </c>
      <c r="D19" t="s">
        <v>4268</v>
      </c>
    </row>
    <row r="20" spans="2:4" x14ac:dyDescent="0.25">
      <c r="B20" s="48" t="s">
        <v>482</v>
      </c>
      <c r="C20" s="6">
        <v>0</v>
      </c>
    </row>
    <row r="21" spans="2:4" x14ac:dyDescent="0.25">
      <c r="B21" s="3" t="s">
        <v>26</v>
      </c>
      <c r="C21" s="6">
        <v>0</v>
      </c>
    </row>
    <row r="22" spans="2:4" x14ac:dyDescent="0.25">
      <c r="B22" s="48" t="s">
        <v>482</v>
      </c>
      <c r="C22" s="6">
        <v>2</v>
      </c>
      <c r="D22" t="s">
        <v>4268</v>
      </c>
    </row>
    <row r="23" spans="2:4" x14ac:dyDescent="0.25">
      <c r="B23" s="3" t="s">
        <v>38</v>
      </c>
    </row>
    <row r="24" spans="2:4" x14ac:dyDescent="0.25">
      <c r="B24" s="3" t="s">
        <v>39</v>
      </c>
    </row>
    <row r="25" spans="2:4" x14ac:dyDescent="0.25">
      <c r="B25" s="3" t="s">
        <v>40</v>
      </c>
    </row>
    <row r="26" spans="2:4" x14ac:dyDescent="0.25">
      <c r="B26" s="3" t="s">
        <v>41</v>
      </c>
    </row>
    <row r="27" spans="2:4" x14ac:dyDescent="0.25">
      <c r="B27" s="3" t="s">
        <v>42</v>
      </c>
    </row>
    <row r="28" spans="2:4" x14ac:dyDescent="0.25">
      <c r="B28" s="3" t="s">
        <v>43</v>
      </c>
    </row>
    <row r="29" spans="2:4" x14ac:dyDescent="0.25">
      <c r="B29" s="3" t="s">
        <v>44</v>
      </c>
    </row>
    <row r="30" spans="2:4" x14ac:dyDescent="0.25">
      <c r="B30" s="3" t="s">
        <v>45</v>
      </c>
    </row>
    <row r="31" spans="2:4" s="6" customFormat="1" x14ac:dyDescent="0.25">
      <c r="B31" s="3" t="s">
        <v>46</v>
      </c>
      <c r="D31"/>
    </row>
    <row r="32" spans="2:4" s="6" customFormat="1" x14ac:dyDescent="0.25">
      <c r="B32" s="3" t="s">
        <v>47</v>
      </c>
      <c r="D32"/>
    </row>
    <row r="33" spans="2:4" s="6" customFormat="1" x14ac:dyDescent="0.25">
      <c r="B33" s="3" t="s">
        <v>48</v>
      </c>
      <c r="D33"/>
    </row>
    <row r="34" spans="2:4" s="6" customFormat="1" x14ac:dyDescent="0.25">
      <c r="B34" s="3" t="s">
        <v>49</v>
      </c>
      <c r="D34"/>
    </row>
    <row r="35" spans="2:4" s="6" customFormat="1" x14ac:dyDescent="0.25">
      <c r="B35" s="3" t="s">
        <v>50</v>
      </c>
      <c r="D35"/>
    </row>
    <row r="36" spans="2:4" s="6" customFormat="1" x14ac:dyDescent="0.25">
      <c r="B36" s="3" t="s">
        <v>51</v>
      </c>
      <c r="D36"/>
    </row>
    <row r="37" spans="2:4" s="6" customFormat="1" x14ac:dyDescent="0.25">
      <c r="B37" s="3" t="s">
        <v>52</v>
      </c>
      <c r="D37"/>
    </row>
    <row r="38" spans="2:4" s="6" customFormat="1" x14ac:dyDescent="0.25">
      <c r="B38" s="3" t="s">
        <v>53</v>
      </c>
      <c r="D38"/>
    </row>
    <row r="39" spans="2:4" s="6" customFormat="1" x14ac:dyDescent="0.25">
      <c r="B39" s="3" t="s">
        <v>54</v>
      </c>
      <c r="D39"/>
    </row>
    <row r="40" spans="2:4" s="6" customFormat="1" x14ac:dyDescent="0.25">
      <c r="B40" s="3" t="s">
        <v>37</v>
      </c>
      <c r="D40"/>
    </row>
    <row r="41" spans="2:4" s="6" customFormat="1" x14ac:dyDescent="0.25">
      <c r="B41" s="3" t="s">
        <v>35</v>
      </c>
      <c r="C41" s="6">
        <v>3</v>
      </c>
      <c r="D41" t="s">
        <v>4274</v>
      </c>
    </row>
    <row r="42" spans="2:4" s="6" customFormat="1" x14ac:dyDescent="0.25">
      <c r="B42" s="3" t="s">
        <v>36</v>
      </c>
      <c r="D42"/>
    </row>
    <row r="43" spans="2:4" s="6" customFormat="1" x14ac:dyDescent="0.25">
      <c r="B43" s="3" t="s">
        <v>484</v>
      </c>
      <c r="D43"/>
    </row>
    <row r="44" spans="2:4" s="6" customFormat="1" x14ac:dyDescent="0.25">
      <c r="B44" s="3" t="s">
        <v>485</v>
      </c>
      <c r="C44" s="6">
        <v>0</v>
      </c>
      <c r="D44"/>
    </row>
    <row r="45" spans="2:4" s="6" customFormat="1" x14ac:dyDescent="0.25">
      <c r="B45" s="3" t="s">
        <v>486</v>
      </c>
      <c r="C45" s="6">
        <v>0</v>
      </c>
      <c r="D45"/>
    </row>
    <row r="46" spans="2:4" s="6" customFormat="1" x14ac:dyDescent="0.25">
      <c r="B46" s="3" t="s">
        <v>487</v>
      </c>
      <c r="D46"/>
    </row>
    <row r="47" spans="2:4" x14ac:dyDescent="0.25">
      <c r="B47" s="3" t="s">
        <v>488</v>
      </c>
    </row>
    <row r="48" spans="2:4" x14ac:dyDescent="0.25">
      <c r="B48" s="3" t="s">
        <v>489</v>
      </c>
    </row>
    <row r="49" spans="2:4" x14ac:dyDescent="0.25">
      <c r="B49" s="3" t="s">
        <v>490</v>
      </c>
    </row>
    <row r="50" spans="2:4" x14ac:dyDescent="0.25">
      <c r="B50" s="3" t="s">
        <v>491</v>
      </c>
    </row>
    <row r="51" spans="2:4" x14ac:dyDescent="0.25">
      <c r="B51" s="3" t="s">
        <v>492</v>
      </c>
    </row>
    <row r="52" spans="2:4" x14ac:dyDescent="0.25">
      <c r="B52" s="3" t="s">
        <v>493</v>
      </c>
      <c r="C52" s="6">
        <v>2</v>
      </c>
      <c r="D52" t="s">
        <v>4268</v>
      </c>
    </row>
    <row r="53" spans="2:4" x14ac:dyDescent="0.25">
      <c r="B53" s="3" t="s">
        <v>6</v>
      </c>
    </row>
    <row r="54" spans="2:4" x14ac:dyDescent="0.25">
      <c r="B54" s="3" t="s">
        <v>494</v>
      </c>
    </row>
    <row r="55" spans="2:4" x14ac:dyDescent="0.25">
      <c r="B55" s="3" t="s">
        <v>495</v>
      </c>
    </row>
    <row r="56" spans="2:4" x14ac:dyDescent="0.25">
      <c r="B56" s="3" t="s">
        <v>496</v>
      </c>
    </row>
    <row r="57" spans="2:4" x14ac:dyDescent="0.25">
      <c r="B57" s="3" t="s">
        <v>597</v>
      </c>
    </row>
    <row r="58" spans="2:4" x14ac:dyDescent="0.25">
      <c r="B58" s="3" t="s">
        <v>497</v>
      </c>
    </row>
    <row r="59" spans="2:4" x14ac:dyDescent="0.25">
      <c r="B59" s="3" t="s">
        <v>498</v>
      </c>
    </row>
    <row r="60" spans="2:4" x14ac:dyDescent="0.25">
      <c r="B60" s="3" t="s">
        <v>499</v>
      </c>
    </row>
    <row r="61" spans="2:4" x14ac:dyDescent="0.25">
      <c r="B61" s="3" t="s">
        <v>500</v>
      </c>
    </row>
    <row r="62" spans="2:4" x14ac:dyDescent="0.25">
      <c r="B62" s="3" t="s">
        <v>501</v>
      </c>
    </row>
    <row r="63" spans="2:4" s="6" customFormat="1" x14ac:dyDescent="0.25">
      <c r="B63" s="3" t="s">
        <v>502</v>
      </c>
      <c r="D63"/>
    </row>
    <row r="64" spans="2:4" s="6" customFormat="1" x14ac:dyDescent="0.25">
      <c r="B64" s="3" t="s">
        <v>619</v>
      </c>
      <c r="D64"/>
    </row>
    <row r="65" spans="2:4" s="6" customFormat="1" x14ac:dyDescent="0.25">
      <c r="B65" s="3" t="s">
        <v>620</v>
      </c>
      <c r="C65" s="6">
        <v>2</v>
      </c>
      <c r="D65"/>
    </row>
    <row r="66" spans="2:4" s="6" customFormat="1" x14ac:dyDescent="0.25">
      <c r="B66" s="3" t="s">
        <v>3814</v>
      </c>
      <c r="D66"/>
    </row>
    <row r="67" spans="2:4" s="6" customFormat="1" x14ac:dyDescent="0.25">
      <c r="B67" s="3" t="s">
        <v>3815</v>
      </c>
      <c r="D67"/>
    </row>
    <row r="68" spans="2:4" s="6" customFormat="1" x14ac:dyDescent="0.25">
      <c r="B68" s="3" t="s">
        <v>6</v>
      </c>
      <c r="D68"/>
    </row>
    <row r="69" spans="2:4" s="6" customFormat="1" x14ac:dyDescent="0.25">
      <c r="B69" s="3" t="s">
        <v>3816</v>
      </c>
      <c r="D69"/>
    </row>
    <row r="70" spans="2:4" s="6" customFormat="1" x14ac:dyDescent="0.25">
      <c r="B70" s="3" t="s">
        <v>3817</v>
      </c>
      <c r="D70"/>
    </row>
    <row r="71" spans="2:4" s="6" customFormat="1" x14ac:dyDescent="0.25">
      <c r="B71" s="3" t="s">
        <v>3818</v>
      </c>
      <c r="D71"/>
    </row>
    <row r="72" spans="2:4" s="6" customFormat="1" x14ac:dyDescent="0.25">
      <c r="B72" s="3" t="s">
        <v>3819</v>
      </c>
      <c r="D72"/>
    </row>
    <row r="73" spans="2:4" s="6" customFormat="1" x14ac:dyDescent="0.25">
      <c r="B73" s="3" t="s">
        <v>3820</v>
      </c>
      <c r="D73"/>
    </row>
    <row r="74" spans="2:4" s="6" customFormat="1" x14ac:dyDescent="0.25">
      <c r="B74" s="3" t="s">
        <v>3821</v>
      </c>
      <c r="D74"/>
    </row>
    <row r="75" spans="2:4" s="6" customFormat="1" x14ac:dyDescent="0.25">
      <c r="B75" s="3" t="s">
        <v>3822</v>
      </c>
      <c r="D75"/>
    </row>
    <row r="76" spans="2:4" s="6" customFormat="1" x14ac:dyDescent="0.25">
      <c r="B76" s="3" t="s">
        <v>3823</v>
      </c>
      <c r="D76"/>
    </row>
    <row r="77" spans="2:4" s="6" customFormat="1" x14ac:dyDescent="0.25">
      <c r="B77" s="3" t="s">
        <v>6</v>
      </c>
      <c r="D77"/>
    </row>
    <row r="78" spans="2:4" s="6" customFormat="1" x14ac:dyDescent="0.25">
      <c r="B78" s="3" t="s">
        <v>3824</v>
      </c>
      <c r="D78"/>
    </row>
    <row r="79" spans="2:4" x14ac:dyDescent="0.25">
      <c r="B79" s="3" t="s">
        <v>3825</v>
      </c>
    </row>
    <row r="80" spans="2:4" x14ac:dyDescent="0.25">
      <c r="B80" s="3" t="s">
        <v>3826</v>
      </c>
      <c r="C80" s="6">
        <v>2</v>
      </c>
    </row>
    <row r="81" spans="2:4" x14ac:dyDescent="0.25">
      <c r="B81" s="3" t="s">
        <v>3827</v>
      </c>
    </row>
    <row r="82" spans="2:4" x14ac:dyDescent="0.25">
      <c r="B82" s="3" t="s">
        <v>3828</v>
      </c>
    </row>
    <row r="83" spans="2:4" x14ac:dyDescent="0.25">
      <c r="B83" s="3" t="s">
        <v>3829</v>
      </c>
    </row>
    <row r="84" spans="2:4" x14ac:dyDescent="0.25">
      <c r="B84" s="3" t="s">
        <v>3830</v>
      </c>
    </row>
    <row r="85" spans="2:4" x14ac:dyDescent="0.25">
      <c r="B85" s="3" t="s">
        <v>3831</v>
      </c>
    </row>
    <row r="86" spans="2:4" x14ac:dyDescent="0.25">
      <c r="B86" s="3" t="s">
        <v>3832</v>
      </c>
    </row>
    <row r="87" spans="2:4" x14ac:dyDescent="0.25">
      <c r="B87" s="3" t="s">
        <v>3833</v>
      </c>
    </row>
    <row r="88" spans="2:4" x14ac:dyDescent="0.25">
      <c r="B88" s="3" t="s">
        <v>3834</v>
      </c>
    </row>
    <row r="89" spans="2:4" x14ac:dyDescent="0.25">
      <c r="B89" s="3" t="s">
        <v>6</v>
      </c>
    </row>
    <row r="90" spans="2:4" x14ac:dyDescent="0.25">
      <c r="B90" s="3" t="s">
        <v>621</v>
      </c>
    </row>
    <row r="91" spans="2:4" x14ac:dyDescent="0.25">
      <c r="B91" s="3" t="s">
        <v>622</v>
      </c>
      <c r="C91" s="6">
        <v>3</v>
      </c>
      <c r="D91" t="s">
        <v>4274</v>
      </c>
    </row>
    <row r="92" spans="2:4" x14ac:dyDescent="0.25">
      <c r="B92" s="3" t="s">
        <v>623</v>
      </c>
    </row>
    <row r="93" spans="2:4" x14ac:dyDescent="0.25">
      <c r="B93" s="3" t="s">
        <v>3925</v>
      </c>
    </row>
    <row r="94" spans="2:4" x14ac:dyDescent="0.25">
      <c r="B94" s="3" t="s">
        <v>3926</v>
      </c>
    </row>
    <row r="95" spans="2:4" x14ac:dyDescent="0.25">
      <c r="B95" s="3" t="s">
        <v>3927</v>
      </c>
    </row>
    <row r="96" spans="2:4" x14ac:dyDescent="0.25">
      <c r="B96" s="3" t="s">
        <v>3928</v>
      </c>
    </row>
    <row r="97" spans="2:4" x14ac:dyDescent="0.25">
      <c r="B97" s="3" t="s">
        <v>3929</v>
      </c>
    </row>
    <row r="98" spans="2:4" x14ac:dyDescent="0.25">
      <c r="B98" s="3" t="s">
        <v>3930</v>
      </c>
    </row>
    <row r="99" spans="2:4" x14ac:dyDescent="0.25">
      <c r="B99" s="3" t="s">
        <v>3931</v>
      </c>
    </row>
    <row r="100" spans="2:4" x14ac:dyDescent="0.25">
      <c r="B100" s="3" t="s">
        <v>3932</v>
      </c>
    </row>
    <row r="101" spans="2:4" x14ac:dyDescent="0.25">
      <c r="B101" s="3" t="s">
        <v>6</v>
      </c>
    </row>
    <row r="102" spans="2:4" x14ac:dyDescent="0.25">
      <c r="B102" s="3" t="s">
        <v>3933</v>
      </c>
    </row>
    <row r="103" spans="2:4" x14ac:dyDescent="0.25">
      <c r="B103" s="49" t="s">
        <v>3934</v>
      </c>
    </row>
    <row r="104" spans="2:4" x14ac:dyDescent="0.25">
      <c r="B104" s="50" t="s">
        <v>4189</v>
      </c>
      <c r="C104" s="6" t="s">
        <v>4276</v>
      </c>
    </row>
    <row r="105" spans="2:4" x14ac:dyDescent="0.25">
      <c r="B105" s="3" t="s">
        <v>624</v>
      </c>
    </row>
    <row r="106" spans="2:4" x14ac:dyDescent="0.25">
      <c r="B106" s="3" t="s">
        <v>625</v>
      </c>
      <c r="C106" s="6">
        <v>3</v>
      </c>
      <c r="D106" t="s">
        <v>4275</v>
      </c>
    </row>
    <row r="107" spans="2:4" x14ac:dyDescent="0.25">
      <c r="B107" s="3" t="s">
        <v>626</v>
      </c>
      <c r="C107" s="6">
        <v>3</v>
      </c>
      <c r="D107" t="s">
        <v>4275</v>
      </c>
    </row>
    <row r="108" spans="2:4" x14ac:dyDescent="0.25">
      <c r="B108" s="3" t="s">
        <v>627</v>
      </c>
      <c r="C108" s="6">
        <v>3</v>
      </c>
      <c r="D108" t="s">
        <v>4275</v>
      </c>
    </row>
    <row r="109" spans="2:4" x14ac:dyDescent="0.25">
      <c r="B109" s="3" t="s">
        <v>628</v>
      </c>
      <c r="C109" s="6">
        <v>3</v>
      </c>
      <c r="D109" t="s">
        <v>4275</v>
      </c>
    </row>
    <row r="110" spans="2:4" x14ac:dyDescent="0.25">
      <c r="B110" s="3" t="s">
        <v>629</v>
      </c>
      <c r="C110" s="6">
        <v>3</v>
      </c>
      <c r="D110" t="s">
        <v>4275</v>
      </c>
    </row>
    <row r="111" spans="2:4" x14ac:dyDescent="0.25">
      <c r="B111" s="3" t="s">
        <v>630</v>
      </c>
      <c r="C111" s="6">
        <v>3</v>
      </c>
      <c r="D111" t="s">
        <v>4275</v>
      </c>
    </row>
    <row r="112" spans="2:4" x14ac:dyDescent="0.25">
      <c r="B112" s="3" t="s">
        <v>6</v>
      </c>
    </row>
    <row r="113" spans="2:4" x14ac:dyDescent="0.25">
      <c r="B113" s="3" t="s">
        <v>631</v>
      </c>
    </row>
    <row r="114" spans="2:4" x14ac:dyDescent="0.25">
      <c r="B114" s="51" t="s">
        <v>4052</v>
      </c>
    </row>
    <row r="115" spans="2:4" x14ac:dyDescent="0.25">
      <c r="B115" s="52" t="s">
        <v>4189</v>
      </c>
      <c r="C115" s="6" t="s">
        <v>4276</v>
      </c>
    </row>
    <row r="116" spans="2:4" x14ac:dyDescent="0.25">
      <c r="B116" s="3" t="s">
        <v>4053</v>
      </c>
    </row>
    <row r="117" spans="2:4" x14ac:dyDescent="0.25">
      <c r="B117" s="3" t="s">
        <v>4054</v>
      </c>
      <c r="C117" s="6">
        <v>0</v>
      </c>
    </row>
    <row r="118" spans="2:4" x14ac:dyDescent="0.25">
      <c r="B118" s="3" t="s">
        <v>4055</v>
      </c>
      <c r="C118" s="6">
        <v>0</v>
      </c>
    </row>
    <row r="119" spans="2:4" x14ac:dyDescent="0.25">
      <c r="B119" s="3" t="s">
        <v>4056</v>
      </c>
      <c r="C119" s="6">
        <v>0</v>
      </c>
    </row>
    <row r="120" spans="2:4" x14ac:dyDescent="0.25">
      <c r="B120" s="3" t="s">
        <v>4057</v>
      </c>
      <c r="C120" s="6">
        <v>0</v>
      </c>
    </row>
    <row r="121" spans="2:4" x14ac:dyDescent="0.25">
      <c r="B121" s="3" t="s">
        <v>4058</v>
      </c>
      <c r="C121" s="6">
        <v>0</v>
      </c>
    </row>
    <row r="122" spans="2:4" x14ac:dyDescent="0.25">
      <c r="B122" s="3" t="s">
        <v>4059</v>
      </c>
      <c r="C122" s="6">
        <v>0</v>
      </c>
    </row>
    <row r="123" spans="2:4" x14ac:dyDescent="0.25">
      <c r="B123" s="3" t="s">
        <v>4060</v>
      </c>
      <c r="C123" s="6">
        <v>0</v>
      </c>
    </row>
    <row r="124" spans="2:4" x14ac:dyDescent="0.25">
      <c r="B124" s="3" t="s">
        <v>4061</v>
      </c>
      <c r="C124" s="6">
        <v>0</v>
      </c>
    </row>
    <row r="125" spans="2:4" x14ac:dyDescent="0.25">
      <c r="B125" s="3" t="s">
        <v>4062</v>
      </c>
      <c r="C125" s="6">
        <v>0</v>
      </c>
    </row>
    <row r="126" spans="2:4" x14ac:dyDescent="0.25">
      <c r="B126" s="3" t="s">
        <v>4063</v>
      </c>
      <c r="C126" s="6">
        <v>0</v>
      </c>
    </row>
    <row r="127" spans="2:4" s="6" customFormat="1" x14ac:dyDescent="0.25">
      <c r="B127" s="3" t="s">
        <v>4064</v>
      </c>
      <c r="C127" s="6">
        <v>0</v>
      </c>
      <c r="D127"/>
    </row>
    <row r="128" spans="2:4" s="6" customFormat="1" x14ac:dyDescent="0.25">
      <c r="B128" s="3" t="s">
        <v>4065</v>
      </c>
      <c r="C128" s="6">
        <v>0</v>
      </c>
      <c r="D128"/>
    </row>
    <row r="129" spans="2:4" s="6" customFormat="1" x14ac:dyDescent="0.25">
      <c r="B129" s="3" t="s">
        <v>4066</v>
      </c>
      <c r="C129" s="6">
        <v>0</v>
      </c>
      <c r="D129"/>
    </row>
    <row r="130" spans="2:4" s="6" customFormat="1" x14ac:dyDescent="0.25">
      <c r="B130" s="3" t="s">
        <v>4067</v>
      </c>
      <c r="C130" s="6">
        <v>0</v>
      </c>
      <c r="D130"/>
    </row>
    <row r="131" spans="2:4" s="6" customFormat="1" x14ac:dyDescent="0.25">
      <c r="B131" s="3" t="s">
        <v>4068</v>
      </c>
      <c r="C131" s="6">
        <v>0</v>
      </c>
      <c r="D131"/>
    </row>
    <row r="132" spans="2:4" s="6" customFormat="1" x14ac:dyDescent="0.25">
      <c r="B132" s="3" t="s">
        <v>4069</v>
      </c>
      <c r="C132" s="6">
        <v>0</v>
      </c>
      <c r="D132"/>
    </row>
    <row r="133" spans="2:4" s="6" customFormat="1" x14ac:dyDescent="0.25">
      <c r="B133" s="3" t="s">
        <v>4070</v>
      </c>
      <c r="C133" s="6">
        <v>0</v>
      </c>
      <c r="D133"/>
    </row>
    <row r="134" spans="2:4" s="6" customFormat="1" x14ac:dyDescent="0.25">
      <c r="B134" s="3" t="s">
        <v>4071</v>
      </c>
      <c r="C134" s="6">
        <v>0</v>
      </c>
      <c r="D134"/>
    </row>
    <row r="135" spans="2:4" s="6" customFormat="1" x14ac:dyDescent="0.25">
      <c r="B135" s="3" t="s">
        <v>4072</v>
      </c>
      <c r="C135" s="6">
        <v>0</v>
      </c>
      <c r="D135"/>
    </row>
    <row r="136" spans="2:4" s="6" customFormat="1" x14ac:dyDescent="0.25">
      <c r="B136" s="3" t="s">
        <v>4073</v>
      </c>
      <c r="C136" s="6">
        <v>0</v>
      </c>
      <c r="D136"/>
    </row>
    <row r="137" spans="2:4" s="6" customFormat="1" x14ac:dyDescent="0.25">
      <c r="B137" s="3" t="s">
        <v>4074</v>
      </c>
      <c r="C137" s="6">
        <v>0</v>
      </c>
      <c r="D137"/>
    </row>
    <row r="138" spans="2:4" s="6" customFormat="1" x14ac:dyDescent="0.25">
      <c r="B138" s="3" t="s">
        <v>4075</v>
      </c>
      <c r="C138" s="6">
        <v>0</v>
      </c>
      <c r="D138"/>
    </row>
    <row r="139" spans="2:4" s="6" customFormat="1" x14ac:dyDescent="0.25">
      <c r="B139" s="3" t="s">
        <v>4076</v>
      </c>
      <c r="C139" s="6">
        <v>0</v>
      </c>
      <c r="D139"/>
    </row>
    <row r="140" spans="2:4" s="6" customFormat="1" x14ac:dyDescent="0.25">
      <c r="B140" s="3" t="s">
        <v>4077</v>
      </c>
      <c r="D140"/>
    </row>
    <row r="141" spans="2:4" s="6" customFormat="1" x14ac:dyDescent="0.25">
      <c r="B141" s="3" t="s">
        <v>4078</v>
      </c>
      <c r="D141"/>
    </row>
    <row r="142" spans="2:4" s="6" customFormat="1" x14ac:dyDescent="0.25">
      <c r="B142" s="3" t="s">
        <v>4079</v>
      </c>
      <c r="D142"/>
    </row>
    <row r="143" spans="2:4" x14ac:dyDescent="0.25">
      <c r="B143" s="3" t="s">
        <v>4080</v>
      </c>
    </row>
    <row r="144" spans="2:4" x14ac:dyDescent="0.25">
      <c r="B144" s="3" t="s">
        <v>4081</v>
      </c>
    </row>
    <row r="145" spans="2:4" x14ac:dyDescent="0.25">
      <c r="B145" s="3" t="s">
        <v>4082</v>
      </c>
      <c r="C145" s="6">
        <v>0</v>
      </c>
      <c r="D145" t="s">
        <v>4278</v>
      </c>
    </row>
    <row r="146" spans="2:4" x14ac:dyDescent="0.25">
      <c r="B146" s="3" t="s">
        <v>4083</v>
      </c>
      <c r="C146" s="6">
        <v>0</v>
      </c>
      <c r="D146" t="s">
        <v>4278</v>
      </c>
    </row>
    <row r="147" spans="2:4" x14ac:dyDescent="0.25">
      <c r="B147" s="3" t="s">
        <v>4084</v>
      </c>
      <c r="C147" s="6">
        <v>0</v>
      </c>
      <c r="D147" t="s">
        <v>4278</v>
      </c>
    </row>
    <row r="148" spans="2:4" x14ac:dyDescent="0.25">
      <c r="B148" s="3" t="s">
        <v>4085</v>
      </c>
      <c r="C148" s="6">
        <v>0</v>
      </c>
      <c r="D148" t="s">
        <v>4278</v>
      </c>
    </row>
    <row r="149" spans="2:4" x14ac:dyDescent="0.25">
      <c r="B149" s="3" t="s">
        <v>4086</v>
      </c>
      <c r="C149" s="6">
        <v>0</v>
      </c>
      <c r="D149" t="s">
        <v>4278</v>
      </c>
    </row>
    <row r="150" spans="2:4" x14ac:dyDescent="0.25">
      <c r="B150" s="3" t="s">
        <v>4087</v>
      </c>
      <c r="C150" s="6">
        <v>0</v>
      </c>
      <c r="D150" t="s">
        <v>4278</v>
      </c>
    </row>
    <row r="151" spans="2:4" x14ac:dyDescent="0.25">
      <c r="B151" s="3" t="s">
        <v>4088</v>
      </c>
      <c r="C151" s="6">
        <v>0</v>
      </c>
      <c r="D151" t="s">
        <v>4278</v>
      </c>
    </row>
    <row r="152" spans="2:4" x14ac:dyDescent="0.25">
      <c r="B152" s="3" t="s">
        <v>4089</v>
      </c>
    </row>
    <row r="153" spans="2:4" x14ac:dyDescent="0.25">
      <c r="B153" s="3" t="s">
        <v>6</v>
      </c>
    </row>
    <row r="154" spans="2:4" x14ac:dyDescent="0.25">
      <c r="B154" s="3" t="s">
        <v>4090</v>
      </c>
    </row>
    <row r="155" spans="2:4" x14ac:dyDescent="0.25">
      <c r="B155" s="3" t="s">
        <v>4091</v>
      </c>
    </row>
    <row r="156" spans="2:4" x14ac:dyDescent="0.25">
      <c r="B156" s="3" t="s">
        <v>4092</v>
      </c>
    </row>
    <row r="157" spans="2:4" x14ac:dyDescent="0.25">
      <c r="B157" s="3" t="s">
        <v>4093</v>
      </c>
      <c r="C157" s="6">
        <v>2</v>
      </c>
      <c r="D157" t="s">
        <v>4266</v>
      </c>
    </row>
    <row r="158" spans="2:4" x14ac:dyDescent="0.25">
      <c r="B158" s="3" t="s">
        <v>4094</v>
      </c>
    </row>
    <row r="159" spans="2:4" x14ac:dyDescent="0.25">
      <c r="B159" s="3" t="s">
        <v>4095</v>
      </c>
    </row>
    <row r="160" spans="2:4" x14ac:dyDescent="0.25">
      <c r="B160" s="3" t="s">
        <v>4096</v>
      </c>
    </row>
    <row r="161" spans="2:4" x14ac:dyDescent="0.25">
      <c r="B161" s="3" t="s">
        <v>4097</v>
      </c>
    </row>
    <row r="162" spans="2:4" x14ac:dyDescent="0.25">
      <c r="B162" s="3" t="s">
        <v>4098</v>
      </c>
      <c r="C162" s="6">
        <v>3</v>
      </c>
      <c r="D162" t="s">
        <v>4275</v>
      </c>
    </row>
    <row r="163" spans="2:4" x14ac:dyDescent="0.25">
      <c r="B163" s="3" t="s">
        <v>632</v>
      </c>
    </row>
    <row r="164" spans="2:4" x14ac:dyDescent="0.25">
      <c r="B164" s="3" t="s">
        <v>633</v>
      </c>
    </row>
    <row r="165" spans="2:4" x14ac:dyDescent="0.25">
      <c r="B165" s="3" t="s">
        <v>634</v>
      </c>
    </row>
    <row r="166" spans="2:4" x14ac:dyDescent="0.25">
      <c r="B166" s="3" t="s">
        <v>635</v>
      </c>
    </row>
    <row r="167" spans="2:4" x14ac:dyDescent="0.25">
      <c r="B167" s="3" t="s">
        <v>634</v>
      </c>
    </row>
    <row r="168" spans="2:4" x14ac:dyDescent="0.25">
      <c r="B168" s="3" t="s">
        <v>636</v>
      </c>
    </row>
    <row r="169" spans="2:4" x14ac:dyDescent="0.25">
      <c r="B169" s="3" t="s">
        <v>634</v>
      </c>
    </row>
    <row r="170" spans="2:4" x14ac:dyDescent="0.25">
      <c r="B170" s="3" t="s">
        <v>635</v>
      </c>
    </row>
    <row r="171" spans="2:4" x14ac:dyDescent="0.25">
      <c r="B171" s="3" t="s">
        <v>634</v>
      </c>
    </row>
    <row r="172" spans="2:4" x14ac:dyDescent="0.25">
      <c r="B172" s="3" t="s">
        <v>637</v>
      </c>
    </row>
    <row r="173" spans="2:4" x14ac:dyDescent="0.25">
      <c r="B173" s="3" t="s">
        <v>634</v>
      </c>
    </row>
    <row r="174" spans="2:4" x14ac:dyDescent="0.25">
      <c r="B174" s="3" t="s">
        <v>635</v>
      </c>
    </row>
    <row r="175" spans="2:4" x14ac:dyDescent="0.25">
      <c r="B175" s="3" t="s">
        <v>634</v>
      </c>
    </row>
    <row r="176" spans="2:4" x14ac:dyDescent="0.25">
      <c r="B176" s="3" t="s">
        <v>638</v>
      </c>
    </row>
    <row r="177" spans="2:4" x14ac:dyDescent="0.25">
      <c r="B177" s="3" t="s">
        <v>634</v>
      </c>
    </row>
    <row r="178" spans="2:4" x14ac:dyDescent="0.25">
      <c r="B178" s="3" t="s">
        <v>635</v>
      </c>
    </row>
    <row r="179" spans="2:4" x14ac:dyDescent="0.25">
      <c r="B179" s="3" t="s">
        <v>634</v>
      </c>
    </row>
    <row r="180" spans="2:4" x14ac:dyDescent="0.25">
      <c r="B180" s="3" t="s">
        <v>639</v>
      </c>
    </row>
    <row r="181" spans="2:4" x14ac:dyDescent="0.25">
      <c r="B181" s="3" t="s">
        <v>634</v>
      </c>
    </row>
    <row r="182" spans="2:4" x14ac:dyDescent="0.25">
      <c r="B182" s="3" t="s">
        <v>635</v>
      </c>
    </row>
    <row r="183" spans="2:4" x14ac:dyDescent="0.25">
      <c r="B183" s="3" t="s">
        <v>634</v>
      </c>
    </row>
    <row r="184" spans="2:4" x14ac:dyDescent="0.25">
      <c r="B184" s="3" t="s">
        <v>640</v>
      </c>
    </row>
    <row r="185" spans="2:4" x14ac:dyDescent="0.25">
      <c r="B185" s="3" t="s">
        <v>634</v>
      </c>
    </row>
    <row r="186" spans="2:4" x14ac:dyDescent="0.25">
      <c r="B186" s="3" t="s">
        <v>635</v>
      </c>
    </row>
    <row r="187" spans="2:4" x14ac:dyDescent="0.25">
      <c r="B187" s="3" t="s">
        <v>634</v>
      </c>
    </row>
    <row r="188" spans="2:4" x14ac:dyDescent="0.25">
      <c r="B188" s="3" t="s">
        <v>641</v>
      </c>
      <c r="C188" s="6">
        <v>3</v>
      </c>
      <c r="D188" t="s">
        <v>4275</v>
      </c>
    </row>
    <row r="189" spans="2:4" x14ac:dyDescent="0.25">
      <c r="B189" s="3" t="s">
        <v>634</v>
      </c>
    </row>
    <row r="190" spans="2:4" x14ac:dyDescent="0.25">
      <c r="B190" s="3" t="s">
        <v>642</v>
      </c>
    </row>
    <row r="191" spans="2:4" x14ac:dyDescent="0.25">
      <c r="B191" s="3" t="s">
        <v>634</v>
      </c>
    </row>
    <row r="192" spans="2:4" x14ac:dyDescent="0.25">
      <c r="B192" s="3" t="s">
        <v>643</v>
      </c>
      <c r="C192" s="6">
        <v>3</v>
      </c>
      <c r="D192" t="s">
        <v>4275</v>
      </c>
    </row>
    <row r="193" spans="2:4" x14ac:dyDescent="0.25">
      <c r="B193" s="3" t="s">
        <v>634</v>
      </c>
    </row>
    <row r="194" spans="2:4" x14ac:dyDescent="0.25">
      <c r="B194" s="3" t="s">
        <v>635</v>
      </c>
    </row>
    <row r="195" spans="2:4" x14ac:dyDescent="0.25">
      <c r="B195" s="3" t="s">
        <v>634</v>
      </c>
    </row>
    <row r="196" spans="2:4" x14ac:dyDescent="0.25">
      <c r="B196" s="3" t="s">
        <v>644</v>
      </c>
      <c r="C196" s="6">
        <v>3</v>
      </c>
      <c r="D196" t="s">
        <v>4275</v>
      </c>
    </row>
    <row r="197" spans="2:4" x14ac:dyDescent="0.25">
      <c r="B197" s="3" t="s">
        <v>634</v>
      </c>
    </row>
    <row r="198" spans="2:4" x14ac:dyDescent="0.25">
      <c r="B198" s="3" t="s">
        <v>635</v>
      </c>
    </row>
    <row r="199" spans="2:4" x14ac:dyDescent="0.25">
      <c r="B199" s="3" t="s">
        <v>634</v>
      </c>
    </row>
    <row r="200" spans="2:4" x14ac:dyDescent="0.25">
      <c r="B200" s="3" t="s">
        <v>645</v>
      </c>
    </row>
    <row r="201" spans="2:4" x14ac:dyDescent="0.25">
      <c r="B201" s="3" t="s">
        <v>634</v>
      </c>
    </row>
    <row r="202" spans="2:4" x14ac:dyDescent="0.25">
      <c r="B202" s="3" t="s">
        <v>635</v>
      </c>
    </row>
    <row r="203" spans="2:4" x14ac:dyDescent="0.25">
      <c r="B203" s="3" t="s">
        <v>634</v>
      </c>
    </row>
    <row r="204" spans="2:4" x14ac:dyDescent="0.25">
      <c r="B204" s="3" t="s">
        <v>646</v>
      </c>
    </row>
    <row r="205" spans="2:4" x14ac:dyDescent="0.25">
      <c r="B205" s="3" t="s">
        <v>634</v>
      </c>
    </row>
    <row r="206" spans="2:4" x14ac:dyDescent="0.25">
      <c r="B206" s="3" t="s">
        <v>635</v>
      </c>
    </row>
    <row r="207" spans="2:4" s="6" customFormat="1" x14ac:dyDescent="0.25">
      <c r="B207" s="3" t="s">
        <v>634</v>
      </c>
      <c r="D207"/>
    </row>
    <row r="208" spans="2:4" s="6" customFormat="1" x14ac:dyDescent="0.25">
      <c r="B208" s="3" t="s">
        <v>647</v>
      </c>
      <c r="D208"/>
    </row>
    <row r="209" spans="2:4" s="6" customFormat="1" x14ac:dyDescent="0.25">
      <c r="B209" s="3" t="s">
        <v>634</v>
      </c>
      <c r="D209"/>
    </row>
    <row r="210" spans="2:4" s="6" customFormat="1" x14ac:dyDescent="0.25">
      <c r="B210" s="3" t="s">
        <v>635</v>
      </c>
      <c r="D210"/>
    </row>
    <row r="211" spans="2:4" s="6" customFormat="1" x14ac:dyDescent="0.25">
      <c r="B211" s="3" t="s">
        <v>634</v>
      </c>
      <c r="D211"/>
    </row>
    <row r="212" spans="2:4" s="6" customFormat="1" x14ac:dyDescent="0.25">
      <c r="B212" s="3" t="s">
        <v>648</v>
      </c>
      <c r="D212"/>
    </row>
    <row r="213" spans="2:4" s="6" customFormat="1" x14ac:dyDescent="0.25">
      <c r="B213" s="3" t="s">
        <v>634</v>
      </c>
      <c r="D213"/>
    </row>
    <row r="214" spans="2:4" s="6" customFormat="1" x14ac:dyDescent="0.25">
      <c r="B214" s="3" t="s">
        <v>649</v>
      </c>
      <c r="D214"/>
    </row>
    <row r="215" spans="2:4" s="6" customFormat="1" x14ac:dyDescent="0.25">
      <c r="B215" s="3" t="s">
        <v>634</v>
      </c>
      <c r="D215"/>
    </row>
    <row r="216" spans="2:4" s="6" customFormat="1" x14ac:dyDescent="0.25">
      <c r="B216" s="3" t="s">
        <v>635</v>
      </c>
      <c r="D216"/>
    </row>
    <row r="217" spans="2:4" s="6" customFormat="1" x14ac:dyDescent="0.25">
      <c r="B217" s="3" t="s">
        <v>634</v>
      </c>
      <c r="D217"/>
    </row>
    <row r="218" spans="2:4" s="6" customFormat="1" x14ac:dyDescent="0.25">
      <c r="B218" s="3" t="s">
        <v>650</v>
      </c>
      <c r="D218"/>
    </row>
    <row r="219" spans="2:4" s="6" customFormat="1" x14ac:dyDescent="0.25">
      <c r="B219" s="3" t="s">
        <v>634</v>
      </c>
      <c r="D219"/>
    </row>
    <row r="220" spans="2:4" s="6" customFormat="1" x14ac:dyDescent="0.25">
      <c r="B220" s="3" t="s">
        <v>635</v>
      </c>
      <c r="D220"/>
    </row>
    <row r="221" spans="2:4" s="6" customFormat="1" x14ac:dyDescent="0.25">
      <c r="B221" s="3" t="s">
        <v>634</v>
      </c>
      <c r="D221"/>
    </row>
    <row r="222" spans="2:4" s="6" customFormat="1" x14ac:dyDescent="0.25">
      <c r="B222" s="3" t="s">
        <v>651</v>
      </c>
      <c r="D222"/>
    </row>
    <row r="223" spans="2:4" s="6" customFormat="1" x14ac:dyDescent="0.25">
      <c r="B223" s="3" t="s">
        <v>634</v>
      </c>
      <c r="D223"/>
    </row>
    <row r="224" spans="2:4" s="6" customFormat="1" x14ac:dyDescent="0.25">
      <c r="B224" s="3" t="s">
        <v>635</v>
      </c>
      <c r="D224"/>
    </row>
    <row r="225" spans="2:4" s="6" customFormat="1" x14ac:dyDescent="0.25">
      <c r="B225" s="3" t="s">
        <v>634</v>
      </c>
      <c r="D225"/>
    </row>
    <row r="226" spans="2:4" s="6" customFormat="1" x14ac:dyDescent="0.25">
      <c r="B226" s="3" t="s">
        <v>652</v>
      </c>
      <c r="D226"/>
    </row>
    <row r="227" spans="2:4" s="6" customFormat="1" x14ac:dyDescent="0.25">
      <c r="B227" s="3" t="s">
        <v>634</v>
      </c>
      <c r="D227"/>
    </row>
    <row r="228" spans="2:4" s="6" customFormat="1" x14ac:dyDescent="0.25">
      <c r="B228" s="3" t="s">
        <v>635</v>
      </c>
      <c r="D228"/>
    </row>
    <row r="229" spans="2:4" s="6" customFormat="1" x14ac:dyDescent="0.25">
      <c r="B229" s="3" t="s">
        <v>634</v>
      </c>
      <c r="D229"/>
    </row>
    <row r="230" spans="2:4" s="6" customFormat="1" x14ac:dyDescent="0.25">
      <c r="B230" s="3" t="s">
        <v>653</v>
      </c>
      <c r="D230"/>
    </row>
    <row r="231" spans="2:4" s="6" customFormat="1" x14ac:dyDescent="0.25">
      <c r="B231" s="3" t="s">
        <v>634</v>
      </c>
      <c r="D231"/>
    </row>
    <row r="232" spans="2:4" s="6" customFormat="1" x14ac:dyDescent="0.25">
      <c r="B232" s="3" t="s">
        <v>635</v>
      </c>
      <c r="D232"/>
    </row>
    <row r="233" spans="2:4" s="6" customFormat="1" x14ac:dyDescent="0.25">
      <c r="B233" s="3" t="s">
        <v>634</v>
      </c>
      <c r="D233"/>
    </row>
    <row r="234" spans="2:4" s="6" customFormat="1" x14ac:dyDescent="0.25">
      <c r="B234" s="3" t="s">
        <v>654</v>
      </c>
      <c r="D234"/>
    </row>
    <row r="235" spans="2:4" s="6" customFormat="1" x14ac:dyDescent="0.25">
      <c r="B235" s="3" t="s">
        <v>634</v>
      </c>
      <c r="D235"/>
    </row>
    <row r="236" spans="2:4" s="6" customFormat="1" x14ac:dyDescent="0.25">
      <c r="B236" s="3" t="s">
        <v>635</v>
      </c>
      <c r="D236"/>
    </row>
    <row r="237" spans="2:4" s="6" customFormat="1" x14ac:dyDescent="0.25">
      <c r="B237" s="3" t="s">
        <v>634</v>
      </c>
      <c r="D237"/>
    </row>
    <row r="238" spans="2:4" s="6" customFormat="1" x14ac:dyDescent="0.25">
      <c r="B238" s="3" t="s">
        <v>655</v>
      </c>
      <c r="D238"/>
    </row>
    <row r="239" spans="2:4" x14ac:dyDescent="0.25">
      <c r="B239" s="3" t="s">
        <v>634</v>
      </c>
    </row>
    <row r="240" spans="2:4" x14ac:dyDescent="0.25">
      <c r="B240" s="3" t="s">
        <v>635</v>
      </c>
    </row>
    <row r="241" spans="2:4" x14ac:dyDescent="0.25">
      <c r="B241" s="3" t="s">
        <v>634</v>
      </c>
    </row>
    <row r="242" spans="2:4" x14ac:dyDescent="0.25">
      <c r="B242" s="3" t="s">
        <v>656</v>
      </c>
    </row>
    <row r="243" spans="2:4" x14ac:dyDescent="0.25">
      <c r="B243" s="3" t="s">
        <v>634</v>
      </c>
    </row>
    <row r="244" spans="2:4" x14ac:dyDescent="0.25">
      <c r="B244" s="3" t="s">
        <v>635</v>
      </c>
    </row>
    <row r="245" spans="2:4" x14ac:dyDescent="0.25">
      <c r="B245" s="3" t="s">
        <v>634</v>
      </c>
    </row>
    <row r="246" spans="2:4" x14ac:dyDescent="0.25">
      <c r="B246" s="3" t="s">
        <v>657</v>
      </c>
      <c r="C246" s="6">
        <v>3</v>
      </c>
      <c r="D246" t="s">
        <v>4274</v>
      </c>
    </row>
    <row r="247" spans="2:4" x14ac:dyDescent="0.25">
      <c r="B247" s="3" t="s">
        <v>634</v>
      </c>
    </row>
    <row r="248" spans="2:4" x14ac:dyDescent="0.25">
      <c r="B248" s="3" t="s">
        <v>635</v>
      </c>
    </row>
    <row r="249" spans="2:4" x14ac:dyDescent="0.25">
      <c r="B249" s="3" t="s">
        <v>634</v>
      </c>
    </row>
    <row r="250" spans="2:4" x14ac:dyDescent="0.25">
      <c r="B250" s="3" t="s">
        <v>658</v>
      </c>
      <c r="C250" s="6">
        <v>3</v>
      </c>
      <c r="D250" t="s">
        <v>4274</v>
      </c>
    </row>
    <row r="251" spans="2:4" x14ac:dyDescent="0.25">
      <c r="B251" s="3" t="s">
        <v>634</v>
      </c>
    </row>
    <row r="252" spans="2:4" x14ac:dyDescent="0.25">
      <c r="B252" s="3" t="s">
        <v>635</v>
      </c>
    </row>
    <row r="253" spans="2:4" x14ac:dyDescent="0.25">
      <c r="B253" s="3" t="s">
        <v>634</v>
      </c>
    </row>
    <row r="254" spans="2:4" x14ac:dyDescent="0.25">
      <c r="B254" s="3" t="s">
        <v>659</v>
      </c>
      <c r="C254" s="6">
        <v>3</v>
      </c>
      <c r="D254" t="s">
        <v>4274</v>
      </c>
    </row>
    <row r="255" spans="2:4" x14ac:dyDescent="0.25">
      <c r="B255" s="3" t="s">
        <v>634</v>
      </c>
    </row>
    <row r="256" spans="2:4" x14ac:dyDescent="0.25">
      <c r="B256" s="3" t="s">
        <v>635</v>
      </c>
    </row>
    <row r="257" spans="2:4" x14ac:dyDescent="0.25">
      <c r="B257" s="3" t="s">
        <v>634</v>
      </c>
      <c r="C257" s="6">
        <v>3</v>
      </c>
      <c r="D257" t="s">
        <v>4274</v>
      </c>
    </row>
    <row r="258" spans="2:4" x14ac:dyDescent="0.25">
      <c r="B258" s="3" t="s">
        <v>660</v>
      </c>
    </row>
    <row r="259" spans="2:4" x14ac:dyDescent="0.25">
      <c r="B259" s="3" t="s">
        <v>634</v>
      </c>
    </row>
    <row r="260" spans="2:4" x14ac:dyDescent="0.25">
      <c r="B260" s="3" t="s">
        <v>635</v>
      </c>
    </row>
    <row r="261" spans="2:4" x14ac:dyDescent="0.25">
      <c r="B261" s="3" t="s">
        <v>634</v>
      </c>
    </row>
    <row r="262" spans="2:4" x14ac:dyDescent="0.25">
      <c r="B262" s="3" t="s">
        <v>661</v>
      </c>
    </row>
    <row r="263" spans="2:4" x14ac:dyDescent="0.25">
      <c r="B263" s="3" t="s">
        <v>662</v>
      </c>
    </row>
    <row r="264" spans="2:4" x14ac:dyDescent="0.25">
      <c r="B264" s="3" t="s">
        <v>635</v>
      </c>
    </row>
    <row r="265" spans="2:4" x14ac:dyDescent="0.25">
      <c r="B265" s="3" t="s">
        <v>634</v>
      </c>
    </row>
    <row r="266" spans="2:4" x14ac:dyDescent="0.25">
      <c r="B266" s="3" t="s">
        <v>663</v>
      </c>
    </row>
    <row r="267" spans="2:4" x14ac:dyDescent="0.25">
      <c r="B267" s="3" t="s">
        <v>634</v>
      </c>
    </row>
    <row r="268" spans="2:4" x14ac:dyDescent="0.25">
      <c r="B268" s="3" t="s">
        <v>635</v>
      </c>
    </row>
    <row r="269" spans="2:4" x14ac:dyDescent="0.25">
      <c r="B269" s="3" t="s">
        <v>634</v>
      </c>
    </row>
    <row r="270" spans="2:4" x14ac:dyDescent="0.25">
      <c r="B270" s="3" t="s">
        <v>664</v>
      </c>
    </row>
    <row r="271" spans="2:4" x14ac:dyDescent="0.25">
      <c r="B271" s="3" t="s">
        <v>634</v>
      </c>
    </row>
    <row r="272" spans="2:4" x14ac:dyDescent="0.25">
      <c r="B272" s="3" t="s">
        <v>665</v>
      </c>
    </row>
    <row r="273" spans="2:4" x14ac:dyDescent="0.25">
      <c r="B273" s="3" t="s">
        <v>634</v>
      </c>
    </row>
    <row r="274" spans="2:4" x14ac:dyDescent="0.25">
      <c r="B274" s="3" t="s">
        <v>666</v>
      </c>
    </row>
    <row r="275" spans="2:4" x14ac:dyDescent="0.25">
      <c r="B275" s="3" t="s">
        <v>634</v>
      </c>
    </row>
    <row r="276" spans="2:4" x14ac:dyDescent="0.25">
      <c r="B276" s="3" t="s">
        <v>635</v>
      </c>
    </row>
    <row r="277" spans="2:4" x14ac:dyDescent="0.25">
      <c r="B277" s="3" t="s">
        <v>634</v>
      </c>
    </row>
    <row r="278" spans="2:4" x14ac:dyDescent="0.25">
      <c r="B278" s="3" t="s">
        <v>667</v>
      </c>
    </row>
    <row r="279" spans="2:4" x14ac:dyDescent="0.25">
      <c r="B279" s="3" t="s">
        <v>634</v>
      </c>
    </row>
    <row r="280" spans="2:4" x14ac:dyDescent="0.25">
      <c r="B280" s="3" t="s">
        <v>635</v>
      </c>
    </row>
    <row r="281" spans="2:4" x14ac:dyDescent="0.25">
      <c r="B281" s="3" t="s">
        <v>634</v>
      </c>
    </row>
    <row r="282" spans="2:4" x14ac:dyDescent="0.25">
      <c r="B282" s="3" t="s">
        <v>668</v>
      </c>
      <c r="C282" s="6">
        <v>3</v>
      </c>
      <c r="D282" t="s">
        <v>4274</v>
      </c>
    </row>
    <row r="283" spans="2:4" x14ac:dyDescent="0.25">
      <c r="B283" s="3" t="s">
        <v>634</v>
      </c>
    </row>
    <row r="284" spans="2:4" x14ac:dyDescent="0.25">
      <c r="B284" s="3" t="s">
        <v>665</v>
      </c>
    </row>
    <row r="285" spans="2:4" x14ac:dyDescent="0.25">
      <c r="B285" s="3" t="s">
        <v>634</v>
      </c>
    </row>
    <row r="286" spans="2:4" x14ac:dyDescent="0.25">
      <c r="B286" s="3" t="s">
        <v>669</v>
      </c>
    </row>
    <row r="287" spans="2:4" x14ac:dyDescent="0.25">
      <c r="B287" s="3" t="s">
        <v>634</v>
      </c>
    </row>
    <row r="288" spans="2:4" x14ac:dyDescent="0.25">
      <c r="B288" s="3" t="s">
        <v>635</v>
      </c>
    </row>
    <row r="289" spans="2:4" x14ac:dyDescent="0.25">
      <c r="B289" s="3" t="s">
        <v>634</v>
      </c>
    </row>
    <row r="290" spans="2:4" x14ac:dyDescent="0.25">
      <c r="B290" s="3" t="s">
        <v>670</v>
      </c>
    </row>
    <row r="291" spans="2:4" x14ac:dyDescent="0.25">
      <c r="B291" s="3" t="s">
        <v>634</v>
      </c>
      <c r="C291" s="6">
        <v>3</v>
      </c>
      <c r="D291" t="s">
        <v>4274</v>
      </c>
    </row>
    <row r="292" spans="2:4" x14ac:dyDescent="0.25">
      <c r="B292" s="3" t="s">
        <v>635</v>
      </c>
    </row>
    <row r="293" spans="2:4" x14ac:dyDescent="0.25">
      <c r="B293" s="3" t="s">
        <v>634</v>
      </c>
    </row>
    <row r="294" spans="2:4" x14ac:dyDescent="0.25">
      <c r="B294" s="3" t="s">
        <v>671</v>
      </c>
    </row>
    <row r="295" spans="2:4" x14ac:dyDescent="0.25">
      <c r="B295" s="3" t="s">
        <v>634</v>
      </c>
    </row>
    <row r="296" spans="2:4" x14ac:dyDescent="0.25">
      <c r="B296" s="3" t="s">
        <v>635</v>
      </c>
    </row>
    <row r="297" spans="2:4" x14ac:dyDescent="0.25">
      <c r="B297" s="3" t="s">
        <v>634</v>
      </c>
    </row>
    <row r="298" spans="2:4" x14ac:dyDescent="0.25">
      <c r="B298" s="3" t="s">
        <v>672</v>
      </c>
    </row>
    <row r="299" spans="2:4" x14ac:dyDescent="0.25">
      <c r="B299" s="3" t="s">
        <v>634</v>
      </c>
    </row>
    <row r="300" spans="2:4" x14ac:dyDescent="0.25">
      <c r="B300" s="3" t="s">
        <v>635</v>
      </c>
    </row>
    <row r="301" spans="2:4" x14ac:dyDescent="0.25">
      <c r="B301" s="3" t="s">
        <v>634</v>
      </c>
    </row>
    <row r="302" spans="2:4" x14ac:dyDescent="0.25">
      <c r="B302" s="3" t="s">
        <v>673</v>
      </c>
    </row>
    <row r="303" spans="2:4" s="6" customFormat="1" x14ac:dyDescent="0.25">
      <c r="B303" s="3" t="s">
        <v>634</v>
      </c>
      <c r="D303"/>
    </row>
    <row r="304" spans="2:4" s="6" customFormat="1" x14ac:dyDescent="0.25">
      <c r="B304" s="3" t="s">
        <v>635</v>
      </c>
      <c r="D304"/>
    </row>
    <row r="305" spans="2:4" s="6" customFormat="1" x14ac:dyDescent="0.25">
      <c r="B305" s="3" t="s">
        <v>634</v>
      </c>
      <c r="D305"/>
    </row>
    <row r="306" spans="2:4" s="6" customFormat="1" x14ac:dyDescent="0.25">
      <c r="B306" s="3" t="s">
        <v>674</v>
      </c>
      <c r="D306"/>
    </row>
    <row r="307" spans="2:4" s="6" customFormat="1" x14ac:dyDescent="0.25">
      <c r="B307" s="3" t="s">
        <v>634</v>
      </c>
      <c r="D307"/>
    </row>
    <row r="308" spans="2:4" s="6" customFormat="1" x14ac:dyDescent="0.25">
      <c r="B308" s="3" t="s">
        <v>635</v>
      </c>
      <c r="D308"/>
    </row>
    <row r="309" spans="2:4" s="6" customFormat="1" x14ac:dyDescent="0.25">
      <c r="B309" s="3" t="s">
        <v>634</v>
      </c>
      <c r="D309"/>
    </row>
    <row r="310" spans="2:4" s="6" customFormat="1" x14ac:dyDescent="0.25">
      <c r="B310" s="3" t="s">
        <v>675</v>
      </c>
      <c r="D310"/>
    </row>
    <row r="311" spans="2:4" s="6" customFormat="1" x14ac:dyDescent="0.25">
      <c r="B311" s="3" t="s">
        <v>634</v>
      </c>
      <c r="D311"/>
    </row>
    <row r="312" spans="2:4" s="6" customFormat="1" x14ac:dyDescent="0.25">
      <c r="B312" s="3" t="s">
        <v>635</v>
      </c>
      <c r="D312"/>
    </row>
    <row r="313" spans="2:4" s="6" customFormat="1" x14ac:dyDescent="0.25">
      <c r="B313" s="3" t="s">
        <v>634</v>
      </c>
      <c r="D313"/>
    </row>
    <row r="314" spans="2:4" s="6" customFormat="1" x14ac:dyDescent="0.25">
      <c r="B314" s="3" t="s">
        <v>676</v>
      </c>
      <c r="D314"/>
    </row>
    <row r="315" spans="2:4" s="6" customFormat="1" x14ac:dyDescent="0.25">
      <c r="B315" s="3" t="s">
        <v>634</v>
      </c>
      <c r="D315"/>
    </row>
    <row r="316" spans="2:4" s="6" customFormat="1" x14ac:dyDescent="0.25">
      <c r="B316" s="3" t="s">
        <v>635</v>
      </c>
      <c r="D316"/>
    </row>
    <row r="317" spans="2:4" s="6" customFormat="1" x14ac:dyDescent="0.25">
      <c r="B317" s="3" t="s">
        <v>634</v>
      </c>
      <c r="D317"/>
    </row>
    <row r="318" spans="2:4" s="6" customFormat="1" x14ac:dyDescent="0.25">
      <c r="B318" s="3" t="s">
        <v>677</v>
      </c>
      <c r="D318"/>
    </row>
    <row r="319" spans="2:4" x14ac:dyDescent="0.25">
      <c r="B319" s="3" t="s">
        <v>634</v>
      </c>
    </row>
    <row r="320" spans="2:4" x14ac:dyDescent="0.25">
      <c r="B320" s="3" t="s">
        <v>635</v>
      </c>
    </row>
    <row r="321" spans="2:4" x14ac:dyDescent="0.25">
      <c r="B321" s="3" t="s">
        <v>634</v>
      </c>
    </row>
    <row r="322" spans="2:4" x14ac:dyDescent="0.25">
      <c r="B322" s="3" t="s">
        <v>678</v>
      </c>
    </row>
    <row r="323" spans="2:4" x14ac:dyDescent="0.25">
      <c r="B323" s="3" t="s">
        <v>634</v>
      </c>
    </row>
    <row r="324" spans="2:4" x14ac:dyDescent="0.25">
      <c r="B324" s="3" t="s">
        <v>635</v>
      </c>
    </row>
    <row r="325" spans="2:4" x14ac:dyDescent="0.25">
      <c r="B325" s="3" t="s">
        <v>634</v>
      </c>
    </row>
    <row r="326" spans="2:4" x14ac:dyDescent="0.25">
      <c r="B326" s="3" t="s">
        <v>679</v>
      </c>
      <c r="C326" s="6">
        <v>3</v>
      </c>
      <c r="D326" t="s">
        <v>4274</v>
      </c>
    </row>
    <row r="327" spans="2:4" x14ac:dyDescent="0.25">
      <c r="B327" s="3" t="s">
        <v>634</v>
      </c>
    </row>
    <row r="328" spans="2:4" x14ac:dyDescent="0.25">
      <c r="B328" s="3" t="s">
        <v>635</v>
      </c>
    </row>
    <row r="329" spans="2:4" x14ac:dyDescent="0.25">
      <c r="B329" s="3" t="s">
        <v>634</v>
      </c>
    </row>
    <row r="330" spans="2:4" x14ac:dyDescent="0.25">
      <c r="B330" s="3" t="s">
        <v>680</v>
      </c>
    </row>
    <row r="331" spans="2:4" x14ac:dyDescent="0.25">
      <c r="B331" s="3" t="s">
        <v>634</v>
      </c>
    </row>
    <row r="332" spans="2:4" x14ac:dyDescent="0.25">
      <c r="B332" s="3" t="s">
        <v>635</v>
      </c>
    </row>
    <row r="333" spans="2:4" x14ac:dyDescent="0.25">
      <c r="B333" s="3" t="s">
        <v>634</v>
      </c>
    </row>
    <row r="334" spans="2:4" x14ac:dyDescent="0.25">
      <c r="B334" s="3" t="s">
        <v>681</v>
      </c>
    </row>
    <row r="335" spans="2:4" x14ac:dyDescent="0.25">
      <c r="B335" s="3" t="s">
        <v>634</v>
      </c>
    </row>
    <row r="336" spans="2:4" x14ac:dyDescent="0.25">
      <c r="B336" s="3" t="s">
        <v>635</v>
      </c>
    </row>
    <row r="337" spans="2:4" x14ac:dyDescent="0.25">
      <c r="B337" s="3" t="s">
        <v>634</v>
      </c>
    </row>
    <row r="338" spans="2:4" x14ac:dyDescent="0.25">
      <c r="B338" s="3" t="s">
        <v>682</v>
      </c>
    </row>
    <row r="339" spans="2:4" x14ac:dyDescent="0.25">
      <c r="B339" s="3" t="s">
        <v>634</v>
      </c>
    </row>
    <row r="340" spans="2:4" x14ac:dyDescent="0.25">
      <c r="B340" s="3" t="s">
        <v>635</v>
      </c>
    </row>
    <row r="341" spans="2:4" x14ac:dyDescent="0.25">
      <c r="B341" s="3" t="s">
        <v>634</v>
      </c>
    </row>
    <row r="342" spans="2:4" x14ac:dyDescent="0.25">
      <c r="B342" s="3" t="s">
        <v>683</v>
      </c>
    </row>
    <row r="343" spans="2:4" x14ac:dyDescent="0.25">
      <c r="B343" s="3" t="s">
        <v>634</v>
      </c>
    </row>
    <row r="344" spans="2:4" x14ac:dyDescent="0.25">
      <c r="B344" s="3" t="s">
        <v>635</v>
      </c>
    </row>
    <row r="345" spans="2:4" x14ac:dyDescent="0.25">
      <c r="B345" s="3" t="s">
        <v>634</v>
      </c>
    </row>
    <row r="346" spans="2:4" x14ac:dyDescent="0.25">
      <c r="B346" s="3" t="s">
        <v>684</v>
      </c>
      <c r="C346" s="6">
        <v>3</v>
      </c>
      <c r="D346" t="s">
        <v>4274</v>
      </c>
    </row>
    <row r="347" spans="2:4" x14ac:dyDescent="0.25">
      <c r="B347" s="3" t="s">
        <v>634</v>
      </c>
    </row>
    <row r="348" spans="2:4" x14ac:dyDescent="0.25">
      <c r="B348" s="3" t="s">
        <v>635</v>
      </c>
    </row>
    <row r="349" spans="2:4" x14ac:dyDescent="0.25">
      <c r="B349" s="3" t="s">
        <v>634</v>
      </c>
    </row>
    <row r="350" spans="2:4" x14ac:dyDescent="0.25">
      <c r="B350" s="3" t="s">
        <v>685</v>
      </c>
    </row>
    <row r="351" spans="2:4" x14ac:dyDescent="0.25">
      <c r="B351" s="53" t="s">
        <v>4272</v>
      </c>
      <c r="C351" s="6">
        <v>2</v>
      </c>
      <c r="D351" t="s">
        <v>4268</v>
      </c>
    </row>
    <row r="352" spans="2:4" x14ac:dyDescent="0.25">
      <c r="B352" s="3" t="s">
        <v>687</v>
      </c>
      <c r="C352" s="6">
        <v>2</v>
      </c>
      <c r="D352" t="s">
        <v>4268</v>
      </c>
    </row>
    <row r="353" spans="2:4" x14ac:dyDescent="0.25">
      <c r="B353" s="3" t="s">
        <v>688</v>
      </c>
      <c r="C353" s="6">
        <v>2</v>
      </c>
      <c r="D353" t="s">
        <v>4268</v>
      </c>
    </row>
    <row r="354" spans="2:4" x14ac:dyDescent="0.25">
      <c r="B354" s="3" t="s">
        <v>689</v>
      </c>
      <c r="C354" s="6">
        <v>2</v>
      </c>
      <c r="D354" t="s">
        <v>4268</v>
      </c>
    </row>
    <row r="355" spans="2:4" x14ac:dyDescent="0.25">
      <c r="B355" s="3" t="s">
        <v>690</v>
      </c>
      <c r="C355" s="6">
        <v>2</v>
      </c>
      <c r="D355" t="s">
        <v>4268</v>
      </c>
    </row>
    <row r="356" spans="2:4" x14ac:dyDescent="0.25">
      <c r="B356" s="3" t="s">
        <v>691</v>
      </c>
      <c r="C356" s="6">
        <v>2</v>
      </c>
      <c r="D356" t="s">
        <v>4268</v>
      </c>
    </row>
    <row r="357" spans="2:4" x14ac:dyDescent="0.25">
      <c r="B357" s="3" t="s">
        <v>692</v>
      </c>
      <c r="C357" s="6">
        <v>2</v>
      </c>
      <c r="D357" t="s">
        <v>4268</v>
      </c>
    </row>
    <row r="358" spans="2:4" x14ac:dyDescent="0.25">
      <c r="B358" s="3" t="s">
        <v>693</v>
      </c>
      <c r="C358" s="6">
        <v>2</v>
      </c>
      <c r="D358" t="s">
        <v>4268</v>
      </c>
    </row>
    <row r="359" spans="2:4" x14ac:dyDescent="0.25">
      <c r="B359" s="3" t="s">
        <v>694</v>
      </c>
      <c r="C359" s="6">
        <v>2</v>
      </c>
      <c r="D359" t="s">
        <v>4268</v>
      </c>
    </row>
    <row r="360" spans="2:4" x14ac:dyDescent="0.25">
      <c r="B360" s="3" t="s">
        <v>695</v>
      </c>
      <c r="C360" s="6">
        <v>2</v>
      </c>
      <c r="D360" t="s">
        <v>4268</v>
      </c>
    </row>
    <row r="361" spans="2:4" x14ac:dyDescent="0.25">
      <c r="B361" s="3" t="s">
        <v>696</v>
      </c>
      <c r="C361" s="6">
        <v>2</v>
      </c>
      <c r="D361" t="s">
        <v>4268</v>
      </c>
    </row>
    <row r="362" spans="2:4" x14ac:dyDescent="0.25">
      <c r="B362" s="53" t="s">
        <v>4273</v>
      </c>
      <c r="C362" s="6">
        <v>2</v>
      </c>
      <c r="D362" t="s">
        <v>4268</v>
      </c>
    </row>
    <row r="363" spans="2:4" x14ac:dyDescent="0.25">
      <c r="B363" s="3" t="s">
        <v>697</v>
      </c>
      <c r="C363" s="6">
        <v>2</v>
      </c>
      <c r="D363" t="s">
        <v>4268</v>
      </c>
    </row>
    <row r="364" spans="2:4" x14ac:dyDescent="0.25">
      <c r="B364" s="3" t="s">
        <v>698</v>
      </c>
      <c r="C364" s="6">
        <v>2</v>
      </c>
      <c r="D364" t="s">
        <v>4268</v>
      </c>
    </row>
    <row r="365" spans="2:4" x14ac:dyDescent="0.25">
      <c r="B365" s="3" t="s">
        <v>699</v>
      </c>
      <c r="C365" s="6">
        <v>2</v>
      </c>
      <c r="D365" t="s">
        <v>4268</v>
      </c>
    </row>
    <row r="366" spans="2:4" x14ac:dyDescent="0.25">
      <c r="B366" s="3" t="s">
        <v>700</v>
      </c>
      <c r="C366" s="6">
        <v>2</v>
      </c>
      <c r="D366" t="s">
        <v>4268</v>
      </c>
    </row>
    <row r="367" spans="2:4" x14ac:dyDescent="0.25">
      <c r="B367" s="3" t="s">
        <v>701</v>
      </c>
      <c r="C367" s="6">
        <v>2</v>
      </c>
      <c r="D367" t="s">
        <v>4268</v>
      </c>
    </row>
    <row r="368" spans="2:4" x14ac:dyDescent="0.25">
      <c r="B368" s="3" t="s">
        <v>702</v>
      </c>
      <c r="C368" s="6">
        <v>2</v>
      </c>
      <c r="D368" t="s">
        <v>4268</v>
      </c>
    </row>
    <row r="369" spans="2:4" x14ac:dyDescent="0.25">
      <c r="B369" s="3" t="s">
        <v>703</v>
      </c>
      <c r="C369" s="6">
        <v>2</v>
      </c>
      <c r="D369" t="s">
        <v>4268</v>
      </c>
    </row>
    <row r="370" spans="2:4" x14ac:dyDescent="0.25">
      <c r="B370" s="3" t="s">
        <v>704</v>
      </c>
      <c r="C370" s="6">
        <v>2</v>
      </c>
      <c r="D370" t="s">
        <v>4268</v>
      </c>
    </row>
    <row r="371" spans="2:4" x14ac:dyDescent="0.25">
      <c r="B371" s="3" t="s">
        <v>705</v>
      </c>
      <c r="C371" s="6">
        <v>2</v>
      </c>
      <c r="D371" t="s">
        <v>4268</v>
      </c>
    </row>
    <row r="372" spans="2:4" x14ac:dyDescent="0.25">
      <c r="B372" s="3" t="s">
        <v>706</v>
      </c>
      <c r="C372" s="6">
        <v>2</v>
      </c>
      <c r="D372" t="s">
        <v>4268</v>
      </c>
    </row>
    <row r="373" spans="2:4" x14ac:dyDescent="0.25">
      <c r="B373" s="3" t="s">
        <v>707</v>
      </c>
      <c r="C373" s="6">
        <v>2</v>
      </c>
      <c r="D373" t="s">
        <v>4268</v>
      </c>
    </row>
    <row r="374" spans="2:4" x14ac:dyDescent="0.25">
      <c r="B374" s="3" t="s">
        <v>708</v>
      </c>
      <c r="C374" s="6">
        <v>2</v>
      </c>
      <c r="D374" t="s">
        <v>4268</v>
      </c>
    </row>
    <row r="375" spans="2:4" x14ac:dyDescent="0.25">
      <c r="B375" s="3" t="s">
        <v>709</v>
      </c>
      <c r="C375" s="6">
        <v>2</v>
      </c>
      <c r="D375" t="s">
        <v>4268</v>
      </c>
    </row>
    <row r="376" spans="2:4" x14ac:dyDescent="0.25">
      <c r="B376" s="53" t="s">
        <v>4269</v>
      </c>
      <c r="C376" s="6">
        <v>2</v>
      </c>
      <c r="D376" t="s">
        <v>4268</v>
      </c>
    </row>
    <row r="377" spans="2:4" x14ac:dyDescent="0.25">
      <c r="B377" s="3" t="s">
        <v>710</v>
      </c>
      <c r="C377" s="6">
        <v>2</v>
      </c>
      <c r="D377" t="s">
        <v>4268</v>
      </c>
    </row>
    <row r="378" spans="2:4" x14ac:dyDescent="0.25">
      <c r="B378" s="3" t="s">
        <v>711</v>
      </c>
      <c r="C378" s="6">
        <v>2</v>
      </c>
      <c r="D378" t="s">
        <v>4268</v>
      </c>
    </row>
    <row r="379" spans="2:4" x14ac:dyDescent="0.25">
      <c r="B379" s="3" t="s">
        <v>712</v>
      </c>
      <c r="C379" s="6">
        <v>2</v>
      </c>
      <c r="D379" t="s">
        <v>4268</v>
      </c>
    </row>
    <row r="380" spans="2:4" x14ac:dyDescent="0.25">
      <c r="B380" s="3" t="s">
        <v>713</v>
      </c>
      <c r="C380" s="6">
        <v>2</v>
      </c>
      <c r="D380" t="s">
        <v>4268</v>
      </c>
    </row>
    <row r="381" spans="2:4" x14ac:dyDescent="0.25">
      <c r="B381" s="3" t="s">
        <v>714</v>
      </c>
      <c r="C381" s="6">
        <v>2</v>
      </c>
      <c r="D381" t="s">
        <v>4268</v>
      </c>
    </row>
    <row r="382" spans="2:4" x14ac:dyDescent="0.25">
      <c r="B382" s="3" t="s">
        <v>715</v>
      </c>
      <c r="C382" s="6">
        <v>2</v>
      </c>
      <c r="D382" t="s">
        <v>4268</v>
      </c>
    </row>
    <row r="383" spans="2:4" x14ac:dyDescent="0.25">
      <c r="B383" s="3" t="s">
        <v>716</v>
      </c>
      <c r="C383" s="6">
        <v>2</v>
      </c>
      <c r="D383" t="s">
        <v>4268</v>
      </c>
    </row>
    <row r="384" spans="2:4" x14ac:dyDescent="0.25">
      <c r="B384" s="3" t="s">
        <v>717</v>
      </c>
      <c r="C384" s="6">
        <v>2</v>
      </c>
      <c r="D384" t="s">
        <v>4268</v>
      </c>
    </row>
    <row r="385" spans="2:4" x14ac:dyDescent="0.25">
      <c r="B385" s="3" t="s">
        <v>718</v>
      </c>
      <c r="C385" s="6">
        <v>2</v>
      </c>
      <c r="D385" t="s">
        <v>4268</v>
      </c>
    </row>
    <row r="386" spans="2:4" x14ac:dyDescent="0.25">
      <c r="B386" s="3" t="s">
        <v>719</v>
      </c>
      <c r="C386" s="6">
        <v>2</v>
      </c>
      <c r="D386" t="s">
        <v>4268</v>
      </c>
    </row>
    <row r="387" spans="2:4" x14ac:dyDescent="0.25">
      <c r="B387" s="3" t="s">
        <v>720</v>
      </c>
      <c r="C387" s="6">
        <v>2</v>
      </c>
      <c r="D387" t="s">
        <v>4268</v>
      </c>
    </row>
    <row r="388" spans="2:4" x14ac:dyDescent="0.25">
      <c r="B388" s="3" t="s">
        <v>721</v>
      </c>
      <c r="C388" s="6">
        <v>2</v>
      </c>
      <c r="D388" t="s">
        <v>4268</v>
      </c>
    </row>
    <row r="389" spans="2:4" x14ac:dyDescent="0.25">
      <c r="B389" s="3" t="s">
        <v>722</v>
      </c>
      <c r="C389" s="6">
        <v>2</v>
      </c>
      <c r="D389" t="s">
        <v>4268</v>
      </c>
    </row>
    <row r="390" spans="2:4" x14ac:dyDescent="0.25">
      <c r="B390" s="3" t="s">
        <v>723</v>
      </c>
      <c r="C390" s="6">
        <v>2</v>
      </c>
      <c r="D390" t="s">
        <v>4268</v>
      </c>
    </row>
    <row r="391" spans="2:4" x14ac:dyDescent="0.25">
      <c r="B391" s="3" t="s">
        <v>724</v>
      </c>
      <c r="C391" s="6">
        <v>2</v>
      </c>
      <c r="D391" t="s">
        <v>4268</v>
      </c>
    </row>
    <row r="392" spans="2:4" x14ac:dyDescent="0.25">
      <c r="B392" s="3" t="s">
        <v>4271</v>
      </c>
      <c r="C392" s="6">
        <v>2</v>
      </c>
      <c r="D392" t="s">
        <v>4268</v>
      </c>
    </row>
    <row r="393" spans="2:4" x14ac:dyDescent="0.25">
      <c r="B393" s="3" t="s">
        <v>725</v>
      </c>
      <c r="C393" s="6">
        <v>2</v>
      </c>
      <c r="D393" t="s">
        <v>4268</v>
      </c>
    </row>
    <row r="394" spans="2:4" x14ac:dyDescent="0.25">
      <c r="B394" s="3" t="s">
        <v>726</v>
      </c>
      <c r="C394" s="6">
        <v>2</v>
      </c>
      <c r="D394" t="s">
        <v>4268</v>
      </c>
    </row>
    <row r="395" spans="2:4" x14ac:dyDescent="0.25">
      <c r="B395" s="3" t="s">
        <v>727</v>
      </c>
      <c r="C395" s="6">
        <v>2</v>
      </c>
      <c r="D395" t="s">
        <v>4268</v>
      </c>
    </row>
    <row r="396" spans="2:4" x14ac:dyDescent="0.25">
      <c r="B396" s="3" t="s">
        <v>728</v>
      </c>
      <c r="C396" s="6">
        <v>2</v>
      </c>
      <c r="D396" t="s">
        <v>4268</v>
      </c>
    </row>
    <row r="397" spans="2:4" x14ac:dyDescent="0.25">
      <c r="B397" s="3" t="s">
        <v>729</v>
      </c>
      <c r="C397" s="6">
        <v>2</v>
      </c>
      <c r="D397" t="s">
        <v>4268</v>
      </c>
    </row>
    <row r="398" spans="2:4" x14ac:dyDescent="0.25">
      <c r="B398" s="3" t="s">
        <v>730</v>
      </c>
      <c r="C398" s="6">
        <v>2</v>
      </c>
      <c r="D398" t="s">
        <v>4268</v>
      </c>
    </row>
    <row r="399" spans="2:4" x14ac:dyDescent="0.25">
      <c r="B399" s="3" t="s">
        <v>731</v>
      </c>
      <c r="C399" s="6">
        <v>2</v>
      </c>
      <c r="D399" t="s">
        <v>4268</v>
      </c>
    </row>
    <row r="400" spans="2:4" x14ac:dyDescent="0.25">
      <c r="C400" s="6">
        <v>2</v>
      </c>
      <c r="D400" t="s">
        <v>4268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16B5-D04C-4E5E-A1A0-12F1C1BF4C14}">
  <dimension ref="B1:D402"/>
  <sheetViews>
    <sheetView workbookViewId="0">
      <selection activeCell="G21" sqref="G21"/>
    </sheetView>
  </sheetViews>
  <sheetFormatPr defaultRowHeight="15" x14ac:dyDescent="0.25"/>
  <cols>
    <col min="2" max="2" width="120.85546875" style="3" customWidth="1"/>
    <col min="3" max="3" width="22.140625" style="6" customWidth="1"/>
    <col min="4" max="4" width="46.28515625" customWidth="1"/>
  </cols>
  <sheetData>
    <row r="1" spans="2:4" x14ac:dyDescent="0.25">
      <c r="B1" s="3" t="s">
        <v>4265</v>
      </c>
      <c r="C1" s="6" t="s">
        <v>4264</v>
      </c>
      <c r="D1" t="s">
        <v>4267</v>
      </c>
    </row>
    <row r="2" spans="2:4" x14ac:dyDescent="0.25">
      <c r="B2" s="3" t="s">
        <v>0</v>
      </c>
    </row>
    <row r="3" spans="2:4" x14ac:dyDescent="0.25">
      <c r="B3" s="3" t="s">
        <v>1</v>
      </c>
    </row>
    <row r="4" spans="2:4" x14ac:dyDescent="0.25">
      <c r="B4" s="3" t="s">
        <v>2</v>
      </c>
    </row>
    <row r="5" spans="2:4" x14ac:dyDescent="0.25">
      <c r="B5" s="3" t="s">
        <v>3</v>
      </c>
      <c r="C5" s="6">
        <v>2</v>
      </c>
      <c r="D5" t="s">
        <v>4268</v>
      </c>
    </row>
    <row r="6" spans="2:4" x14ac:dyDescent="0.25">
      <c r="B6" s="3" t="s">
        <v>4</v>
      </c>
      <c r="C6" s="6">
        <v>2</v>
      </c>
      <c r="D6" t="s">
        <v>4268</v>
      </c>
    </row>
    <row r="7" spans="2:4" x14ac:dyDescent="0.25">
      <c r="B7" s="3" t="s">
        <v>5</v>
      </c>
      <c r="C7" s="6">
        <v>2</v>
      </c>
      <c r="D7" t="s">
        <v>4268</v>
      </c>
    </row>
    <row r="8" spans="2:4" x14ac:dyDescent="0.25">
      <c r="B8" s="3" t="s">
        <v>7</v>
      </c>
    </row>
    <row r="9" spans="2:4" x14ac:dyDescent="0.25">
      <c r="B9" s="3" t="s">
        <v>8</v>
      </c>
    </row>
    <row r="10" spans="2:4" x14ac:dyDescent="0.25">
      <c r="B10" s="3" t="s">
        <v>9</v>
      </c>
      <c r="C10" s="6">
        <v>2</v>
      </c>
      <c r="D10" t="s">
        <v>4268</v>
      </c>
    </row>
    <row r="11" spans="2:4" x14ac:dyDescent="0.25">
      <c r="B11" s="3" t="s">
        <v>10</v>
      </c>
      <c r="C11" s="6">
        <v>2</v>
      </c>
      <c r="D11" t="s">
        <v>4268</v>
      </c>
    </row>
    <row r="12" spans="2:4" x14ac:dyDescent="0.25">
      <c r="B12" s="3" t="s">
        <v>11</v>
      </c>
    </row>
    <row r="13" spans="2:4" x14ac:dyDescent="0.25">
      <c r="B13" s="3" t="s">
        <v>12</v>
      </c>
    </row>
    <row r="14" spans="2:4" x14ac:dyDescent="0.25">
      <c r="B14" s="3" t="s">
        <v>13</v>
      </c>
    </row>
    <row r="15" spans="2:4" x14ac:dyDescent="0.25">
      <c r="B15" s="3" t="s">
        <v>14</v>
      </c>
    </row>
    <row r="16" spans="2:4" x14ac:dyDescent="0.25">
      <c r="B16" s="3" t="s">
        <v>15</v>
      </c>
      <c r="C16" s="6">
        <v>2</v>
      </c>
      <c r="D16" t="s">
        <v>4268</v>
      </c>
    </row>
    <row r="17" spans="2:4" x14ac:dyDescent="0.25">
      <c r="B17" s="48" t="s">
        <v>16</v>
      </c>
      <c r="C17" s="6">
        <v>2</v>
      </c>
      <c r="D17" t="s">
        <v>4268</v>
      </c>
    </row>
    <row r="18" spans="2:4" x14ac:dyDescent="0.25">
      <c r="B18" s="3" t="s">
        <v>19</v>
      </c>
    </row>
    <row r="19" spans="2:4" x14ac:dyDescent="0.25">
      <c r="B19" s="3" t="s">
        <v>483</v>
      </c>
      <c r="C19" s="6">
        <v>2</v>
      </c>
      <c r="D19" t="s">
        <v>4268</v>
      </c>
    </row>
    <row r="20" spans="2:4" x14ac:dyDescent="0.25">
      <c r="B20" s="48" t="s">
        <v>482</v>
      </c>
    </row>
    <row r="21" spans="2:4" x14ac:dyDescent="0.25">
      <c r="B21" s="3" t="s">
        <v>24</v>
      </c>
      <c r="C21" s="6">
        <v>2</v>
      </c>
      <c r="D21" t="s">
        <v>4268</v>
      </c>
    </row>
    <row r="22" spans="2:4" x14ac:dyDescent="0.25">
      <c r="B22" s="48" t="s">
        <v>482</v>
      </c>
    </row>
    <row r="23" spans="2:4" x14ac:dyDescent="0.25">
      <c r="B23" s="3" t="s">
        <v>26</v>
      </c>
    </row>
    <row r="24" spans="2:4" x14ac:dyDescent="0.25">
      <c r="B24" s="48" t="s">
        <v>482</v>
      </c>
      <c r="C24" s="6">
        <v>2</v>
      </c>
      <c r="D24" t="s">
        <v>4268</v>
      </c>
    </row>
    <row r="25" spans="2:4" x14ac:dyDescent="0.25">
      <c r="B25" s="3" t="s">
        <v>38</v>
      </c>
    </row>
    <row r="26" spans="2:4" x14ac:dyDescent="0.25">
      <c r="B26" s="3" t="s">
        <v>39</v>
      </c>
    </row>
    <row r="27" spans="2:4" x14ac:dyDescent="0.25">
      <c r="B27" s="3" t="s">
        <v>40</v>
      </c>
    </row>
    <row r="28" spans="2:4" x14ac:dyDescent="0.25">
      <c r="B28" s="3" t="s">
        <v>41</v>
      </c>
    </row>
    <row r="29" spans="2:4" x14ac:dyDescent="0.25">
      <c r="B29" s="3" t="s">
        <v>42</v>
      </c>
    </row>
    <row r="30" spans="2:4" x14ac:dyDescent="0.25">
      <c r="B30" s="3" t="s">
        <v>43</v>
      </c>
    </row>
    <row r="31" spans="2:4" x14ac:dyDescent="0.25">
      <c r="B31" s="3" t="s">
        <v>44</v>
      </c>
    </row>
    <row r="32" spans="2:4" x14ac:dyDescent="0.25">
      <c r="B32" s="3" t="s">
        <v>45</v>
      </c>
    </row>
    <row r="33" spans="2:2" x14ac:dyDescent="0.25">
      <c r="B33" s="3" t="s">
        <v>46</v>
      </c>
    </row>
    <row r="34" spans="2:2" x14ac:dyDescent="0.25">
      <c r="B34" s="3" t="s">
        <v>47</v>
      </c>
    </row>
    <row r="35" spans="2:2" x14ac:dyDescent="0.25">
      <c r="B35" s="3" t="s">
        <v>48</v>
      </c>
    </row>
    <row r="36" spans="2:2" x14ac:dyDescent="0.25">
      <c r="B36" s="3" t="s">
        <v>49</v>
      </c>
    </row>
    <row r="37" spans="2:2" x14ac:dyDescent="0.25">
      <c r="B37" s="3" t="s">
        <v>50</v>
      </c>
    </row>
    <row r="38" spans="2:2" x14ac:dyDescent="0.25">
      <c r="B38" s="3" t="s">
        <v>51</v>
      </c>
    </row>
    <row r="39" spans="2:2" x14ac:dyDescent="0.25">
      <c r="B39" s="3" t="s">
        <v>52</v>
      </c>
    </row>
    <row r="40" spans="2:2" x14ac:dyDescent="0.25">
      <c r="B40" s="3" t="s">
        <v>53</v>
      </c>
    </row>
    <row r="41" spans="2:2" x14ac:dyDescent="0.25">
      <c r="B41" s="3" t="s">
        <v>54</v>
      </c>
    </row>
    <row r="42" spans="2:2" x14ac:dyDescent="0.25">
      <c r="B42" s="3" t="s">
        <v>37</v>
      </c>
    </row>
    <row r="43" spans="2:2" x14ac:dyDescent="0.25">
      <c r="B43" s="3" t="s">
        <v>35</v>
      </c>
    </row>
    <row r="44" spans="2:2" x14ac:dyDescent="0.25">
      <c r="B44" s="3" t="s">
        <v>36</v>
      </c>
    </row>
    <row r="45" spans="2:2" x14ac:dyDescent="0.25">
      <c r="B45" s="3" t="s">
        <v>484</v>
      </c>
    </row>
    <row r="46" spans="2:2" x14ac:dyDescent="0.25">
      <c r="B46" s="3" t="s">
        <v>485</v>
      </c>
    </row>
    <row r="47" spans="2:2" x14ac:dyDescent="0.25">
      <c r="B47" s="3" t="s">
        <v>486</v>
      </c>
    </row>
    <row r="48" spans="2:2" x14ac:dyDescent="0.25">
      <c r="B48" s="3" t="s">
        <v>487</v>
      </c>
    </row>
    <row r="49" spans="2:4" x14ac:dyDescent="0.25">
      <c r="B49" s="3" t="s">
        <v>488</v>
      </c>
    </row>
    <row r="50" spans="2:4" x14ac:dyDescent="0.25">
      <c r="B50" s="3" t="s">
        <v>489</v>
      </c>
    </row>
    <row r="51" spans="2:4" x14ac:dyDescent="0.25">
      <c r="B51" s="3" t="s">
        <v>490</v>
      </c>
    </row>
    <row r="52" spans="2:4" x14ac:dyDescent="0.25">
      <c r="B52" s="3" t="s">
        <v>491</v>
      </c>
    </row>
    <row r="53" spans="2:4" x14ac:dyDescent="0.25">
      <c r="B53" s="3" t="s">
        <v>492</v>
      </c>
    </row>
    <row r="54" spans="2:4" x14ac:dyDescent="0.25">
      <c r="B54" s="3" t="s">
        <v>493</v>
      </c>
      <c r="C54" s="6">
        <v>2</v>
      </c>
      <c r="D54" t="s">
        <v>4268</v>
      </c>
    </row>
    <row r="55" spans="2:4" x14ac:dyDescent="0.25">
      <c r="B55" s="3" t="s">
        <v>6</v>
      </c>
    </row>
    <row r="56" spans="2:4" x14ac:dyDescent="0.25">
      <c r="B56" s="3" t="s">
        <v>494</v>
      </c>
    </row>
    <row r="57" spans="2:4" x14ac:dyDescent="0.25">
      <c r="B57" s="3" t="s">
        <v>495</v>
      </c>
    </row>
    <row r="58" spans="2:4" x14ac:dyDescent="0.25">
      <c r="B58" s="3" t="s">
        <v>496</v>
      </c>
    </row>
    <row r="59" spans="2:4" x14ac:dyDescent="0.25">
      <c r="B59" s="3" t="s">
        <v>597</v>
      </c>
    </row>
    <row r="60" spans="2:4" x14ac:dyDescent="0.25">
      <c r="B60" s="3" t="s">
        <v>497</v>
      </c>
    </row>
    <row r="61" spans="2:4" x14ac:dyDescent="0.25">
      <c r="B61" s="3" t="s">
        <v>498</v>
      </c>
    </row>
    <row r="62" spans="2:4" x14ac:dyDescent="0.25">
      <c r="B62" s="3" t="s">
        <v>499</v>
      </c>
    </row>
    <row r="63" spans="2:4" x14ac:dyDescent="0.25">
      <c r="B63" s="3" t="s">
        <v>500</v>
      </c>
    </row>
    <row r="64" spans="2:4" x14ac:dyDescent="0.25">
      <c r="B64" s="3" t="s">
        <v>501</v>
      </c>
    </row>
    <row r="65" spans="2:2" x14ac:dyDescent="0.25">
      <c r="B65" s="3" t="s">
        <v>502</v>
      </c>
    </row>
    <row r="66" spans="2:2" x14ac:dyDescent="0.25">
      <c r="B66" s="3" t="s">
        <v>619</v>
      </c>
    </row>
    <row r="67" spans="2:2" x14ac:dyDescent="0.25">
      <c r="B67" s="3" t="s">
        <v>620</v>
      </c>
    </row>
    <row r="68" spans="2:2" x14ac:dyDescent="0.25">
      <c r="B68" s="3" t="s">
        <v>3814</v>
      </c>
    </row>
    <row r="69" spans="2:2" x14ac:dyDescent="0.25">
      <c r="B69" s="3" t="s">
        <v>3815</v>
      </c>
    </row>
    <row r="70" spans="2:2" x14ac:dyDescent="0.25">
      <c r="B70" s="3" t="s">
        <v>6</v>
      </c>
    </row>
    <row r="71" spans="2:2" x14ac:dyDescent="0.25">
      <c r="B71" s="3" t="s">
        <v>3816</v>
      </c>
    </row>
    <row r="72" spans="2:2" x14ac:dyDescent="0.25">
      <c r="B72" s="3" t="s">
        <v>3817</v>
      </c>
    </row>
    <row r="73" spans="2:2" x14ac:dyDescent="0.25">
      <c r="B73" s="3" t="s">
        <v>3818</v>
      </c>
    </row>
    <row r="74" spans="2:2" x14ac:dyDescent="0.25">
      <c r="B74" s="3" t="s">
        <v>3819</v>
      </c>
    </row>
    <row r="75" spans="2:2" x14ac:dyDescent="0.25">
      <c r="B75" s="3" t="s">
        <v>3820</v>
      </c>
    </row>
    <row r="76" spans="2:2" x14ac:dyDescent="0.25">
      <c r="B76" s="3" t="s">
        <v>3821</v>
      </c>
    </row>
    <row r="77" spans="2:2" x14ac:dyDescent="0.25">
      <c r="B77" s="3" t="s">
        <v>3822</v>
      </c>
    </row>
    <row r="78" spans="2:2" x14ac:dyDescent="0.25">
      <c r="B78" s="3" t="s">
        <v>3823</v>
      </c>
    </row>
    <row r="79" spans="2:2" x14ac:dyDescent="0.25">
      <c r="B79" s="3" t="s">
        <v>6</v>
      </c>
    </row>
    <row r="80" spans="2:2" x14ac:dyDescent="0.25">
      <c r="B80" s="3" t="s">
        <v>3824</v>
      </c>
    </row>
    <row r="81" spans="2:4" x14ac:dyDescent="0.25">
      <c r="B81" s="3" t="s">
        <v>3825</v>
      </c>
    </row>
    <row r="82" spans="2:4" x14ac:dyDescent="0.25">
      <c r="B82" s="3" t="s">
        <v>3826</v>
      </c>
    </row>
    <row r="83" spans="2:4" x14ac:dyDescent="0.25">
      <c r="B83" s="3" t="s">
        <v>3827</v>
      </c>
    </row>
    <row r="84" spans="2:4" x14ac:dyDescent="0.25">
      <c r="B84" s="3" t="s">
        <v>3828</v>
      </c>
    </row>
    <row r="85" spans="2:4" x14ac:dyDescent="0.25">
      <c r="B85" s="3" t="s">
        <v>3829</v>
      </c>
    </row>
    <row r="86" spans="2:4" x14ac:dyDescent="0.25">
      <c r="B86" s="3" t="s">
        <v>3830</v>
      </c>
    </row>
    <row r="87" spans="2:4" x14ac:dyDescent="0.25">
      <c r="B87" s="3" t="s">
        <v>3831</v>
      </c>
    </row>
    <row r="88" spans="2:4" x14ac:dyDescent="0.25">
      <c r="B88" s="3" t="s">
        <v>3832</v>
      </c>
    </row>
    <row r="89" spans="2:4" x14ac:dyDescent="0.25">
      <c r="B89" s="3" t="s">
        <v>3833</v>
      </c>
    </row>
    <row r="90" spans="2:4" x14ac:dyDescent="0.25">
      <c r="B90" s="3" t="s">
        <v>3834</v>
      </c>
    </row>
    <row r="91" spans="2:4" x14ac:dyDescent="0.25">
      <c r="B91" s="3" t="s">
        <v>6</v>
      </c>
    </row>
    <row r="92" spans="2:4" x14ac:dyDescent="0.25">
      <c r="B92" s="3" t="s">
        <v>621</v>
      </c>
    </row>
    <row r="93" spans="2:4" x14ac:dyDescent="0.25">
      <c r="B93" s="3" t="s">
        <v>622</v>
      </c>
      <c r="C93" s="6">
        <v>3</v>
      </c>
      <c r="D93" t="s">
        <v>4274</v>
      </c>
    </row>
    <row r="94" spans="2:4" x14ac:dyDescent="0.25">
      <c r="B94" s="3" t="s">
        <v>623</v>
      </c>
    </row>
    <row r="95" spans="2:4" x14ac:dyDescent="0.25">
      <c r="B95" s="3" t="s">
        <v>3925</v>
      </c>
    </row>
    <row r="96" spans="2:4" x14ac:dyDescent="0.25">
      <c r="B96" s="3" t="s">
        <v>3926</v>
      </c>
    </row>
    <row r="97" spans="2:4" x14ac:dyDescent="0.25">
      <c r="B97" s="3" t="s">
        <v>3927</v>
      </c>
    </row>
    <row r="98" spans="2:4" x14ac:dyDescent="0.25">
      <c r="B98" s="3" t="s">
        <v>3928</v>
      </c>
    </row>
    <row r="99" spans="2:4" x14ac:dyDescent="0.25">
      <c r="B99" s="3" t="s">
        <v>3929</v>
      </c>
    </row>
    <row r="100" spans="2:4" x14ac:dyDescent="0.25">
      <c r="B100" s="3" t="s">
        <v>3930</v>
      </c>
    </row>
    <row r="101" spans="2:4" x14ac:dyDescent="0.25">
      <c r="B101" s="3" t="s">
        <v>3931</v>
      </c>
    </row>
    <row r="102" spans="2:4" x14ac:dyDescent="0.25">
      <c r="B102" s="3" t="s">
        <v>3932</v>
      </c>
    </row>
    <row r="103" spans="2:4" x14ac:dyDescent="0.25">
      <c r="B103" s="3" t="s">
        <v>6</v>
      </c>
    </row>
    <row r="104" spans="2:4" x14ac:dyDescent="0.25">
      <c r="B104" s="3" t="s">
        <v>3933</v>
      </c>
    </row>
    <row r="105" spans="2:4" x14ac:dyDescent="0.25">
      <c r="B105" s="49" t="s">
        <v>3934</v>
      </c>
    </row>
    <row r="106" spans="2:4" x14ac:dyDescent="0.25">
      <c r="B106" s="50" t="s">
        <v>4189</v>
      </c>
      <c r="C106" s="6" t="s">
        <v>4276</v>
      </c>
    </row>
    <row r="107" spans="2:4" x14ac:dyDescent="0.25">
      <c r="B107" s="3" t="s">
        <v>624</v>
      </c>
    </row>
    <row r="108" spans="2:4" x14ac:dyDescent="0.25">
      <c r="B108" s="3" t="s">
        <v>625</v>
      </c>
      <c r="C108" s="6">
        <v>3</v>
      </c>
      <c r="D108" t="s">
        <v>4275</v>
      </c>
    </row>
    <row r="109" spans="2:4" x14ac:dyDescent="0.25">
      <c r="B109" s="3" t="s">
        <v>626</v>
      </c>
      <c r="C109" s="6">
        <v>3</v>
      </c>
      <c r="D109" t="s">
        <v>4275</v>
      </c>
    </row>
    <row r="110" spans="2:4" x14ac:dyDescent="0.25">
      <c r="B110" s="3" t="s">
        <v>627</v>
      </c>
      <c r="C110" s="6">
        <v>3</v>
      </c>
      <c r="D110" t="s">
        <v>4275</v>
      </c>
    </row>
    <row r="111" spans="2:4" x14ac:dyDescent="0.25">
      <c r="B111" s="3" t="s">
        <v>628</v>
      </c>
      <c r="C111" s="6">
        <v>3</v>
      </c>
      <c r="D111" t="s">
        <v>4275</v>
      </c>
    </row>
    <row r="112" spans="2:4" x14ac:dyDescent="0.25">
      <c r="B112" s="3" t="s">
        <v>629</v>
      </c>
      <c r="C112" s="6">
        <v>3</v>
      </c>
      <c r="D112" t="s">
        <v>4275</v>
      </c>
    </row>
    <row r="113" spans="2:4" x14ac:dyDescent="0.25">
      <c r="B113" s="3" t="s">
        <v>630</v>
      </c>
      <c r="C113" s="6">
        <v>3</v>
      </c>
      <c r="D113" t="s">
        <v>4275</v>
      </c>
    </row>
    <row r="114" spans="2:4" x14ac:dyDescent="0.25">
      <c r="B114" s="3" t="s">
        <v>6</v>
      </c>
    </row>
    <row r="115" spans="2:4" x14ac:dyDescent="0.25">
      <c r="B115" s="3" t="s">
        <v>631</v>
      </c>
    </row>
    <row r="116" spans="2:4" x14ac:dyDescent="0.25">
      <c r="B116" s="51" t="s">
        <v>4052</v>
      </c>
    </row>
    <row r="117" spans="2:4" x14ac:dyDescent="0.25">
      <c r="B117" s="52" t="s">
        <v>4189</v>
      </c>
      <c r="C117" s="6" t="s">
        <v>4276</v>
      </c>
    </row>
    <row r="118" spans="2:4" x14ac:dyDescent="0.25">
      <c r="B118" s="3" t="s">
        <v>4053</v>
      </c>
    </row>
    <row r="119" spans="2:4" x14ac:dyDescent="0.25">
      <c r="B119" s="3" t="s">
        <v>4054</v>
      </c>
    </row>
    <row r="120" spans="2:4" x14ac:dyDescent="0.25">
      <c r="B120" s="3" t="s">
        <v>4055</v>
      </c>
    </row>
    <row r="121" spans="2:4" x14ac:dyDescent="0.25">
      <c r="B121" s="3" t="s">
        <v>4056</v>
      </c>
    </row>
    <row r="122" spans="2:4" x14ac:dyDescent="0.25">
      <c r="B122" s="3" t="s">
        <v>4057</v>
      </c>
    </row>
    <row r="123" spans="2:4" x14ac:dyDescent="0.25">
      <c r="B123" s="3" t="s">
        <v>4058</v>
      </c>
    </row>
    <row r="124" spans="2:4" x14ac:dyDescent="0.25">
      <c r="B124" s="3" t="s">
        <v>4059</v>
      </c>
    </row>
    <row r="125" spans="2:4" x14ac:dyDescent="0.25">
      <c r="B125" s="3" t="s">
        <v>4060</v>
      </c>
    </row>
    <row r="126" spans="2:4" x14ac:dyDescent="0.25">
      <c r="B126" s="3" t="s">
        <v>4061</v>
      </c>
    </row>
    <row r="127" spans="2:4" x14ac:dyDescent="0.25">
      <c r="B127" s="3" t="s">
        <v>4062</v>
      </c>
    </row>
    <row r="128" spans="2:4" x14ac:dyDescent="0.25">
      <c r="B128" s="3" t="s">
        <v>4063</v>
      </c>
    </row>
    <row r="129" spans="2:2" x14ac:dyDescent="0.25">
      <c r="B129" s="3" t="s">
        <v>4064</v>
      </c>
    </row>
    <row r="130" spans="2:2" x14ac:dyDescent="0.25">
      <c r="B130" s="3" t="s">
        <v>4065</v>
      </c>
    </row>
    <row r="131" spans="2:2" x14ac:dyDescent="0.25">
      <c r="B131" s="3" t="s">
        <v>4066</v>
      </c>
    </row>
    <row r="132" spans="2:2" x14ac:dyDescent="0.25">
      <c r="B132" s="3" t="s">
        <v>4067</v>
      </c>
    </row>
    <row r="133" spans="2:2" x14ac:dyDescent="0.25">
      <c r="B133" s="3" t="s">
        <v>4068</v>
      </c>
    </row>
    <row r="134" spans="2:2" x14ac:dyDescent="0.25">
      <c r="B134" s="3" t="s">
        <v>4069</v>
      </c>
    </row>
    <row r="135" spans="2:2" x14ac:dyDescent="0.25">
      <c r="B135" s="3" t="s">
        <v>4070</v>
      </c>
    </row>
    <row r="136" spans="2:2" x14ac:dyDescent="0.25">
      <c r="B136" s="3" t="s">
        <v>4071</v>
      </c>
    </row>
    <row r="137" spans="2:2" x14ac:dyDescent="0.25">
      <c r="B137" s="3" t="s">
        <v>4072</v>
      </c>
    </row>
    <row r="138" spans="2:2" x14ac:dyDescent="0.25">
      <c r="B138" s="3" t="s">
        <v>4073</v>
      </c>
    </row>
    <row r="139" spans="2:2" x14ac:dyDescent="0.25">
      <c r="B139" s="3" t="s">
        <v>4074</v>
      </c>
    </row>
    <row r="140" spans="2:2" x14ac:dyDescent="0.25">
      <c r="B140" s="3" t="s">
        <v>4075</v>
      </c>
    </row>
    <row r="141" spans="2:2" x14ac:dyDescent="0.25">
      <c r="B141" s="3" t="s">
        <v>4076</v>
      </c>
    </row>
    <row r="142" spans="2:2" x14ac:dyDescent="0.25">
      <c r="B142" s="3" t="s">
        <v>4077</v>
      </c>
    </row>
    <row r="143" spans="2:2" x14ac:dyDescent="0.25">
      <c r="B143" s="3" t="s">
        <v>4078</v>
      </c>
    </row>
    <row r="144" spans="2:2" x14ac:dyDescent="0.25">
      <c r="B144" s="3" t="s">
        <v>4079</v>
      </c>
    </row>
    <row r="145" spans="2:4" x14ac:dyDescent="0.25">
      <c r="B145" s="3" t="s">
        <v>4080</v>
      </c>
    </row>
    <row r="146" spans="2:4" x14ac:dyDescent="0.25">
      <c r="B146" s="3" t="s">
        <v>4081</v>
      </c>
    </row>
    <row r="147" spans="2:4" x14ac:dyDescent="0.25">
      <c r="B147" s="3" t="s">
        <v>4082</v>
      </c>
    </row>
    <row r="148" spans="2:4" x14ac:dyDescent="0.25">
      <c r="B148" s="3" t="s">
        <v>4083</v>
      </c>
    </row>
    <row r="149" spans="2:4" x14ac:dyDescent="0.25">
      <c r="B149" s="3" t="s">
        <v>4084</v>
      </c>
    </row>
    <row r="150" spans="2:4" x14ac:dyDescent="0.25">
      <c r="B150" s="3" t="s">
        <v>4085</v>
      </c>
    </row>
    <row r="151" spans="2:4" x14ac:dyDescent="0.25">
      <c r="B151" s="3" t="s">
        <v>4086</v>
      </c>
    </row>
    <row r="152" spans="2:4" x14ac:dyDescent="0.25">
      <c r="B152" s="3" t="s">
        <v>4087</v>
      </c>
    </row>
    <row r="153" spans="2:4" x14ac:dyDescent="0.25">
      <c r="B153" s="3" t="s">
        <v>4088</v>
      </c>
    </row>
    <row r="154" spans="2:4" x14ac:dyDescent="0.25">
      <c r="B154" s="3" t="s">
        <v>4089</v>
      </c>
    </row>
    <row r="155" spans="2:4" x14ac:dyDescent="0.25">
      <c r="B155" s="3" t="s">
        <v>6</v>
      </c>
    </row>
    <row r="156" spans="2:4" x14ac:dyDescent="0.25">
      <c r="B156" s="3" t="s">
        <v>4090</v>
      </c>
    </row>
    <row r="157" spans="2:4" x14ac:dyDescent="0.25">
      <c r="B157" s="3" t="s">
        <v>4091</v>
      </c>
    </row>
    <row r="158" spans="2:4" x14ac:dyDescent="0.25">
      <c r="B158" s="3" t="s">
        <v>4092</v>
      </c>
    </row>
    <row r="159" spans="2:4" x14ac:dyDescent="0.25">
      <c r="B159" s="3" t="s">
        <v>4093</v>
      </c>
      <c r="C159" s="6">
        <v>2</v>
      </c>
      <c r="D159" t="s">
        <v>4266</v>
      </c>
    </row>
    <row r="160" spans="2:4" x14ac:dyDescent="0.25">
      <c r="B160" s="3" t="s">
        <v>4094</v>
      </c>
    </row>
    <row r="161" spans="2:4" x14ac:dyDescent="0.25">
      <c r="B161" s="3" t="s">
        <v>4095</v>
      </c>
    </row>
    <row r="162" spans="2:4" x14ac:dyDescent="0.25">
      <c r="B162" s="3" t="s">
        <v>4096</v>
      </c>
    </row>
    <row r="163" spans="2:4" x14ac:dyDescent="0.25">
      <c r="B163" s="3" t="s">
        <v>4097</v>
      </c>
    </row>
    <row r="164" spans="2:4" x14ac:dyDescent="0.25">
      <c r="B164" s="3" t="s">
        <v>4098</v>
      </c>
      <c r="C164" s="6">
        <v>3</v>
      </c>
      <c r="D164" t="s">
        <v>4275</v>
      </c>
    </row>
    <row r="165" spans="2:4" x14ac:dyDescent="0.25">
      <c r="B165" s="3" t="s">
        <v>632</v>
      </c>
    </row>
    <row r="166" spans="2:4" x14ac:dyDescent="0.25">
      <c r="B166" s="3" t="s">
        <v>633</v>
      </c>
    </row>
    <row r="167" spans="2:4" x14ac:dyDescent="0.25">
      <c r="B167" s="3" t="s">
        <v>634</v>
      </c>
    </row>
    <row r="168" spans="2:4" x14ac:dyDescent="0.25">
      <c r="B168" s="3" t="s">
        <v>635</v>
      </c>
    </row>
    <row r="169" spans="2:4" x14ac:dyDescent="0.25">
      <c r="B169" s="3" t="s">
        <v>634</v>
      </c>
    </row>
    <row r="170" spans="2:4" x14ac:dyDescent="0.25">
      <c r="B170" s="3" t="s">
        <v>636</v>
      </c>
    </row>
    <row r="171" spans="2:4" x14ac:dyDescent="0.25">
      <c r="B171" s="3" t="s">
        <v>634</v>
      </c>
    </row>
    <row r="172" spans="2:4" x14ac:dyDescent="0.25">
      <c r="B172" s="3" t="s">
        <v>635</v>
      </c>
    </row>
    <row r="173" spans="2:4" x14ac:dyDescent="0.25">
      <c r="B173" s="3" t="s">
        <v>634</v>
      </c>
    </row>
    <row r="174" spans="2:4" x14ac:dyDescent="0.25">
      <c r="B174" s="3" t="s">
        <v>637</v>
      </c>
    </row>
    <row r="175" spans="2:4" x14ac:dyDescent="0.25">
      <c r="B175" s="3" t="s">
        <v>634</v>
      </c>
    </row>
    <row r="176" spans="2:4" x14ac:dyDescent="0.25">
      <c r="B176" s="3" t="s">
        <v>635</v>
      </c>
    </row>
    <row r="177" spans="2:4" x14ac:dyDescent="0.25">
      <c r="B177" s="3" t="s">
        <v>634</v>
      </c>
    </row>
    <row r="178" spans="2:4" x14ac:dyDescent="0.25">
      <c r="B178" s="3" t="s">
        <v>638</v>
      </c>
    </row>
    <row r="179" spans="2:4" x14ac:dyDescent="0.25">
      <c r="B179" s="3" t="s">
        <v>634</v>
      </c>
    </row>
    <row r="180" spans="2:4" x14ac:dyDescent="0.25">
      <c r="B180" s="3" t="s">
        <v>635</v>
      </c>
    </row>
    <row r="181" spans="2:4" x14ac:dyDescent="0.25">
      <c r="B181" s="3" t="s">
        <v>634</v>
      </c>
    </row>
    <row r="182" spans="2:4" x14ac:dyDescent="0.25">
      <c r="B182" s="3" t="s">
        <v>639</v>
      </c>
    </row>
    <row r="183" spans="2:4" x14ac:dyDescent="0.25">
      <c r="B183" s="3" t="s">
        <v>634</v>
      </c>
    </row>
    <row r="184" spans="2:4" x14ac:dyDescent="0.25">
      <c r="B184" s="3" t="s">
        <v>635</v>
      </c>
    </row>
    <row r="185" spans="2:4" x14ac:dyDescent="0.25">
      <c r="B185" s="3" t="s">
        <v>634</v>
      </c>
    </row>
    <row r="186" spans="2:4" x14ac:dyDescent="0.25">
      <c r="B186" s="3" t="s">
        <v>640</v>
      </c>
    </row>
    <row r="187" spans="2:4" x14ac:dyDescent="0.25">
      <c r="B187" s="3" t="s">
        <v>634</v>
      </c>
    </row>
    <row r="188" spans="2:4" x14ac:dyDescent="0.25">
      <c r="B188" s="3" t="s">
        <v>635</v>
      </c>
    </row>
    <row r="189" spans="2:4" x14ac:dyDescent="0.25">
      <c r="B189" s="3" t="s">
        <v>634</v>
      </c>
    </row>
    <row r="190" spans="2:4" x14ac:dyDescent="0.25">
      <c r="B190" s="3" t="s">
        <v>641</v>
      </c>
      <c r="C190" s="6">
        <v>3</v>
      </c>
      <c r="D190" t="s">
        <v>4275</v>
      </c>
    </row>
    <row r="191" spans="2:4" x14ac:dyDescent="0.25">
      <c r="B191" s="3" t="s">
        <v>634</v>
      </c>
    </row>
    <row r="192" spans="2:4" x14ac:dyDescent="0.25">
      <c r="B192" s="3" t="s">
        <v>642</v>
      </c>
    </row>
    <row r="193" spans="2:4" x14ac:dyDescent="0.25">
      <c r="B193" s="3" t="s">
        <v>634</v>
      </c>
    </row>
    <row r="194" spans="2:4" x14ac:dyDescent="0.25">
      <c r="B194" s="3" t="s">
        <v>643</v>
      </c>
      <c r="C194" s="6">
        <v>3</v>
      </c>
      <c r="D194" t="s">
        <v>4275</v>
      </c>
    </row>
    <row r="195" spans="2:4" x14ac:dyDescent="0.25">
      <c r="B195" s="3" t="s">
        <v>634</v>
      </c>
    </row>
    <row r="196" spans="2:4" x14ac:dyDescent="0.25">
      <c r="B196" s="3" t="s">
        <v>635</v>
      </c>
    </row>
    <row r="197" spans="2:4" x14ac:dyDescent="0.25">
      <c r="B197" s="3" t="s">
        <v>634</v>
      </c>
    </row>
    <row r="198" spans="2:4" x14ac:dyDescent="0.25">
      <c r="B198" s="3" t="s">
        <v>644</v>
      </c>
      <c r="C198" s="6">
        <v>3</v>
      </c>
      <c r="D198" t="s">
        <v>4275</v>
      </c>
    </row>
    <row r="199" spans="2:4" x14ac:dyDescent="0.25">
      <c r="B199" s="3" t="s">
        <v>634</v>
      </c>
    </row>
    <row r="200" spans="2:4" x14ac:dyDescent="0.25">
      <c r="B200" s="3" t="s">
        <v>635</v>
      </c>
    </row>
    <row r="201" spans="2:4" x14ac:dyDescent="0.25">
      <c r="B201" s="3" t="s">
        <v>634</v>
      </c>
    </row>
    <row r="202" spans="2:4" x14ac:dyDescent="0.25">
      <c r="B202" s="3" t="s">
        <v>645</v>
      </c>
    </row>
    <row r="203" spans="2:4" x14ac:dyDescent="0.25">
      <c r="B203" s="3" t="s">
        <v>634</v>
      </c>
    </row>
    <row r="204" spans="2:4" x14ac:dyDescent="0.25">
      <c r="B204" s="3" t="s">
        <v>635</v>
      </c>
    </row>
    <row r="205" spans="2:4" x14ac:dyDescent="0.25">
      <c r="B205" s="3" t="s">
        <v>634</v>
      </c>
    </row>
    <row r="206" spans="2:4" x14ac:dyDescent="0.25">
      <c r="B206" s="3" t="s">
        <v>646</v>
      </c>
    </row>
    <row r="207" spans="2:4" x14ac:dyDescent="0.25">
      <c r="B207" s="3" t="s">
        <v>634</v>
      </c>
    </row>
    <row r="208" spans="2:4" x14ac:dyDescent="0.25">
      <c r="B208" s="3" t="s">
        <v>635</v>
      </c>
    </row>
    <row r="209" spans="2:2" x14ac:dyDescent="0.25">
      <c r="B209" s="3" t="s">
        <v>634</v>
      </c>
    </row>
    <row r="210" spans="2:2" x14ac:dyDescent="0.25">
      <c r="B210" s="3" t="s">
        <v>647</v>
      </c>
    </row>
    <row r="211" spans="2:2" x14ac:dyDescent="0.25">
      <c r="B211" s="3" t="s">
        <v>634</v>
      </c>
    </row>
    <row r="212" spans="2:2" x14ac:dyDescent="0.25">
      <c r="B212" s="3" t="s">
        <v>635</v>
      </c>
    </row>
    <row r="213" spans="2:2" x14ac:dyDescent="0.25">
      <c r="B213" s="3" t="s">
        <v>634</v>
      </c>
    </row>
    <row r="214" spans="2:2" x14ac:dyDescent="0.25">
      <c r="B214" s="3" t="s">
        <v>648</v>
      </c>
    </row>
    <row r="215" spans="2:2" x14ac:dyDescent="0.25">
      <c r="B215" s="3" t="s">
        <v>634</v>
      </c>
    </row>
    <row r="216" spans="2:2" x14ac:dyDescent="0.25">
      <c r="B216" s="3" t="s">
        <v>649</v>
      </c>
    </row>
    <row r="217" spans="2:2" x14ac:dyDescent="0.25">
      <c r="B217" s="3" t="s">
        <v>634</v>
      </c>
    </row>
    <row r="218" spans="2:2" x14ac:dyDescent="0.25">
      <c r="B218" s="3" t="s">
        <v>635</v>
      </c>
    </row>
    <row r="219" spans="2:2" x14ac:dyDescent="0.25">
      <c r="B219" s="3" t="s">
        <v>634</v>
      </c>
    </row>
    <row r="220" spans="2:2" x14ac:dyDescent="0.25">
      <c r="B220" s="3" t="s">
        <v>650</v>
      </c>
    </row>
    <row r="221" spans="2:2" x14ac:dyDescent="0.25">
      <c r="B221" s="3" t="s">
        <v>634</v>
      </c>
    </row>
    <row r="222" spans="2:2" x14ac:dyDescent="0.25">
      <c r="B222" s="3" t="s">
        <v>635</v>
      </c>
    </row>
    <row r="223" spans="2:2" x14ac:dyDescent="0.25">
      <c r="B223" s="3" t="s">
        <v>634</v>
      </c>
    </row>
    <row r="224" spans="2:2" x14ac:dyDescent="0.25">
      <c r="B224" s="3" t="s">
        <v>651</v>
      </c>
    </row>
    <row r="225" spans="2:2" x14ac:dyDescent="0.25">
      <c r="B225" s="3" t="s">
        <v>634</v>
      </c>
    </row>
    <row r="226" spans="2:2" x14ac:dyDescent="0.25">
      <c r="B226" s="3" t="s">
        <v>635</v>
      </c>
    </row>
    <row r="227" spans="2:2" x14ac:dyDescent="0.25">
      <c r="B227" s="3" t="s">
        <v>634</v>
      </c>
    </row>
    <row r="228" spans="2:2" x14ac:dyDescent="0.25">
      <c r="B228" s="3" t="s">
        <v>652</v>
      </c>
    </row>
    <row r="229" spans="2:2" x14ac:dyDescent="0.25">
      <c r="B229" s="3" t="s">
        <v>634</v>
      </c>
    </row>
    <row r="230" spans="2:2" x14ac:dyDescent="0.25">
      <c r="B230" s="3" t="s">
        <v>635</v>
      </c>
    </row>
    <row r="231" spans="2:2" x14ac:dyDescent="0.25">
      <c r="B231" s="3" t="s">
        <v>634</v>
      </c>
    </row>
    <row r="232" spans="2:2" x14ac:dyDescent="0.25">
      <c r="B232" s="3" t="s">
        <v>653</v>
      </c>
    </row>
    <row r="233" spans="2:2" x14ac:dyDescent="0.25">
      <c r="B233" s="3" t="s">
        <v>634</v>
      </c>
    </row>
    <row r="234" spans="2:2" x14ac:dyDescent="0.25">
      <c r="B234" s="3" t="s">
        <v>635</v>
      </c>
    </row>
    <row r="235" spans="2:2" x14ac:dyDescent="0.25">
      <c r="B235" s="3" t="s">
        <v>634</v>
      </c>
    </row>
    <row r="236" spans="2:2" x14ac:dyDescent="0.25">
      <c r="B236" s="3" t="s">
        <v>654</v>
      </c>
    </row>
    <row r="237" spans="2:2" x14ac:dyDescent="0.25">
      <c r="B237" s="3" t="s">
        <v>634</v>
      </c>
    </row>
    <row r="238" spans="2:2" x14ac:dyDescent="0.25">
      <c r="B238" s="3" t="s">
        <v>635</v>
      </c>
    </row>
    <row r="239" spans="2:2" x14ac:dyDescent="0.25">
      <c r="B239" s="3" t="s">
        <v>634</v>
      </c>
    </row>
    <row r="240" spans="2:2" x14ac:dyDescent="0.25">
      <c r="B240" s="3" t="s">
        <v>655</v>
      </c>
    </row>
    <row r="241" spans="2:4" x14ac:dyDescent="0.25">
      <c r="B241" s="3" t="s">
        <v>634</v>
      </c>
    </row>
    <row r="242" spans="2:4" x14ac:dyDescent="0.25">
      <c r="B242" s="3" t="s">
        <v>635</v>
      </c>
    </row>
    <row r="243" spans="2:4" x14ac:dyDescent="0.25">
      <c r="B243" s="3" t="s">
        <v>634</v>
      </c>
    </row>
    <row r="244" spans="2:4" x14ac:dyDescent="0.25">
      <c r="B244" s="3" t="s">
        <v>656</v>
      </c>
    </row>
    <row r="245" spans="2:4" x14ac:dyDescent="0.25">
      <c r="B245" s="3" t="s">
        <v>634</v>
      </c>
    </row>
    <row r="246" spans="2:4" x14ac:dyDescent="0.25">
      <c r="B246" s="3" t="s">
        <v>635</v>
      </c>
    </row>
    <row r="247" spans="2:4" x14ac:dyDescent="0.25">
      <c r="B247" s="3" t="s">
        <v>634</v>
      </c>
    </row>
    <row r="248" spans="2:4" x14ac:dyDescent="0.25">
      <c r="B248" s="3" t="s">
        <v>657</v>
      </c>
      <c r="C248" s="6">
        <v>3</v>
      </c>
      <c r="D248" t="s">
        <v>4274</v>
      </c>
    </row>
    <row r="249" spans="2:4" x14ac:dyDescent="0.25">
      <c r="B249" s="3" t="s">
        <v>634</v>
      </c>
    </row>
    <row r="250" spans="2:4" x14ac:dyDescent="0.25">
      <c r="B250" s="3" t="s">
        <v>635</v>
      </c>
    </row>
    <row r="251" spans="2:4" x14ac:dyDescent="0.25">
      <c r="B251" s="3" t="s">
        <v>634</v>
      </c>
    </row>
    <row r="252" spans="2:4" x14ac:dyDescent="0.25">
      <c r="B252" s="3" t="s">
        <v>658</v>
      </c>
      <c r="C252" s="6">
        <v>3</v>
      </c>
      <c r="D252" t="s">
        <v>4274</v>
      </c>
    </row>
    <row r="253" spans="2:4" x14ac:dyDescent="0.25">
      <c r="B253" s="3" t="s">
        <v>634</v>
      </c>
    </row>
    <row r="254" spans="2:4" x14ac:dyDescent="0.25">
      <c r="B254" s="3" t="s">
        <v>635</v>
      </c>
    </row>
    <row r="255" spans="2:4" x14ac:dyDescent="0.25">
      <c r="B255" s="3" t="s">
        <v>634</v>
      </c>
    </row>
    <row r="256" spans="2:4" x14ac:dyDescent="0.25">
      <c r="B256" s="3" t="s">
        <v>659</v>
      </c>
      <c r="C256" s="6">
        <v>3</v>
      </c>
      <c r="D256" t="s">
        <v>4274</v>
      </c>
    </row>
    <row r="257" spans="2:4" x14ac:dyDescent="0.25">
      <c r="B257" s="3" t="s">
        <v>634</v>
      </c>
    </row>
    <row r="258" spans="2:4" x14ac:dyDescent="0.25">
      <c r="B258" s="3" t="s">
        <v>635</v>
      </c>
    </row>
    <row r="259" spans="2:4" x14ac:dyDescent="0.25">
      <c r="B259" s="3" t="s">
        <v>634</v>
      </c>
      <c r="C259" s="6">
        <v>3</v>
      </c>
      <c r="D259" t="s">
        <v>4274</v>
      </c>
    </row>
    <row r="260" spans="2:4" x14ac:dyDescent="0.25">
      <c r="B260" s="3" t="s">
        <v>660</v>
      </c>
    </row>
    <row r="261" spans="2:4" x14ac:dyDescent="0.25">
      <c r="B261" s="3" t="s">
        <v>634</v>
      </c>
    </row>
    <row r="262" spans="2:4" x14ac:dyDescent="0.25">
      <c r="B262" s="3" t="s">
        <v>635</v>
      </c>
    </row>
    <row r="263" spans="2:4" x14ac:dyDescent="0.25">
      <c r="B263" s="3" t="s">
        <v>634</v>
      </c>
    </row>
    <row r="264" spans="2:4" x14ac:dyDescent="0.25">
      <c r="B264" s="3" t="s">
        <v>661</v>
      </c>
    </row>
    <row r="265" spans="2:4" x14ac:dyDescent="0.25">
      <c r="B265" s="3" t="s">
        <v>662</v>
      </c>
    </row>
    <row r="266" spans="2:4" x14ac:dyDescent="0.25">
      <c r="B266" s="3" t="s">
        <v>635</v>
      </c>
    </row>
    <row r="267" spans="2:4" x14ac:dyDescent="0.25">
      <c r="B267" s="3" t="s">
        <v>634</v>
      </c>
    </row>
    <row r="268" spans="2:4" x14ac:dyDescent="0.25">
      <c r="B268" s="3" t="s">
        <v>663</v>
      </c>
    </row>
    <row r="269" spans="2:4" x14ac:dyDescent="0.25">
      <c r="B269" s="3" t="s">
        <v>634</v>
      </c>
    </row>
    <row r="270" spans="2:4" x14ac:dyDescent="0.25">
      <c r="B270" s="3" t="s">
        <v>635</v>
      </c>
    </row>
    <row r="271" spans="2:4" x14ac:dyDescent="0.25">
      <c r="B271" s="3" t="s">
        <v>634</v>
      </c>
    </row>
    <row r="272" spans="2:4" x14ac:dyDescent="0.25">
      <c r="B272" s="3" t="s">
        <v>664</v>
      </c>
    </row>
    <row r="273" spans="2:4" x14ac:dyDescent="0.25">
      <c r="B273" s="3" t="s">
        <v>634</v>
      </c>
    </row>
    <row r="274" spans="2:4" x14ac:dyDescent="0.25">
      <c r="B274" s="3" t="s">
        <v>665</v>
      </c>
    </row>
    <row r="275" spans="2:4" x14ac:dyDescent="0.25">
      <c r="B275" s="3" t="s">
        <v>634</v>
      </c>
    </row>
    <row r="276" spans="2:4" x14ac:dyDescent="0.25">
      <c r="B276" s="3" t="s">
        <v>666</v>
      </c>
    </row>
    <row r="277" spans="2:4" x14ac:dyDescent="0.25">
      <c r="B277" s="3" t="s">
        <v>634</v>
      </c>
    </row>
    <row r="278" spans="2:4" x14ac:dyDescent="0.25">
      <c r="B278" s="3" t="s">
        <v>635</v>
      </c>
    </row>
    <row r="279" spans="2:4" x14ac:dyDescent="0.25">
      <c r="B279" s="3" t="s">
        <v>634</v>
      </c>
    </row>
    <row r="280" spans="2:4" x14ac:dyDescent="0.25">
      <c r="B280" s="3" t="s">
        <v>667</v>
      </c>
    </row>
    <row r="281" spans="2:4" x14ac:dyDescent="0.25">
      <c r="B281" s="3" t="s">
        <v>634</v>
      </c>
    </row>
    <row r="282" spans="2:4" x14ac:dyDescent="0.25">
      <c r="B282" s="3" t="s">
        <v>635</v>
      </c>
    </row>
    <row r="283" spans="2:4" x14ac:dyDescent="0.25">
      <c r="B283" s="3" t="s">
        <v>634</v>
      </c>
    </row>
    <row r="284" spans="2:4" x14ac:dyDescent="0.25">
      <c r="B284" s="3" t="s">
        <v>668</v>
      </c>
      <c r="C284" s="6">
        <v>3</v>
      </c>
      <c r="D284" t="s">
        <v>4274</v>
      </c>
    </row>
    <row r="285" spans="2:4" x14ac:dyDescent="0.25">
      <c r="B285" s="3" t="s">
        <v>634</v>
      </c>
    </row>
    <row r="286" spans="2:4" x14ac:dyDescent="0.25">
      <c r="B286" s="3" t="s">
        <v>665</v>
      </c>
    </row>
    <row r="287" spans="2:4" x14ac:dyDescent="0.25">
      <c r="B287" s="3" t="s">
        <v>634</v>
      </c>
    </row>
    <row r="288" spans="2:4" x14ac:dyDescent="0.25">
      <c r="B288" s="3" t="s">
        <v>669</v>
      </c>
    </row>
    <row r="289" spans="2:4" x14ac:dyDescent="0.25">
      <c r="B289" s="3" t="s">
        <v>634</v>
      </c>
    </row>
    <row r="290" spans="2:4" x14ac:dyDescent="0.25">
      <c r="B290" s="3" t="s">
        <v>635</v>
      </c>
    </row>
    <row r="291" spans="2:4" x14ac:dyDescent="0.25">
      <c r="B291" s="3" t="s">
        <v>634</v>
      </c>
    </row>
    <row r="292" spans="2:4" x14ac:dyDescent="0.25">
      <c r="B292" s="3" t="s">
        <v>670</v>
      </c>
    </row>
    <row r="293" spans="2:4" x14ac:dyDescent="0.25">
      <c r="B293" s="3" t="s">
        <v>634</v>
      </c>
      <c r="C293" s="6">
        <v>3</v>
      </c>
      <c r="D293" t="s">
        <v>4274</v>
      </c>
    </row>
    <row r="294" spans="2:4" x14ac:dyDescent="0.25">
      <c r="B294" s="3" t="s">
        <v>635</v>
      </c>
    </row>
    <row r="295" spans="2:4" x14ac:dyDescent="0.25">
      <c r="B295" s="3" t="s">
        <v>634</v>
      </c>
    </row>
    <row r="296" spans="2:4" x14ac:dyDescent="0.25">
      <c r="B296" s="3" t="s">
        <v>671</v>
      </c>
    </row>
    <row r="297" spans="2:4" x14ac:dyDescent="0.25">
      <c r="B297" s="3" t="s">
        <v>634</v>
      </c>
    </row>
    <row r="298" spans="2:4" x14ac:dyDescent="0.25">
      <c r="B298" s="3" t="s">
        <v>635</v>
      </c>
    </row>
    <row r="299" spans="2:4" x14ac:dyDescent="0.25">
      <c r="B299" s="3" t="s">
        <v>634</v>
      </c>
    </row>
    <row r="300" spans="2:4" x14ac:dyDescent="0.25">
      <c r="B300" s="3" t="s">
        <v>672</v>
      </c>
    </row>
    <row r="301" spans="2:4" x14ac:dyDescent="0.25">
      <c r="B301" s="3" t="s">
        <v>634</v>
      </c>
    </row>
    <row r="302" spans="2:4" x14ac:dyDescent="0.25">
      <c r="B302" s="3" t="s">
        <v>635</v>
      </c>
    </row>
    <row r="303" spans="2:4" x14ac:dyDescent="0.25">
      <c r="B303" s="3" t="s">
        <v>634</v>
      </c>
    </row>
    <row r="304" spans="2:4" x14ac:dyDescent="0.25">
      <c r="B304" s="3" t="s">
        <v>673</v>
      </c>
    </row>
    <row r="305" spans="2:2" x14ac:dyDescent="0.25">
      <c r="B305" s="3" t="s">
        <v>634</v>
      </c>
    </row>
    <row r="306" spans="2:2" x14ac:dyDescent="0.25">
      <c r="B306" s="3" t="s">
        <v>635</v>
      </c>
    </row>
    <row r="307" spans="2:2" x14ac:dyDescent="0.25">
      <c r="B307" s="3" t="s">
        <v>634</v>
      </c>
    </row>
    <row r="308" spans="2:2" x14ac:dyDescent="0.25">
      <c r="B308" s="3" t="s">
        <v>674</v>
      </c>
    </row>
    <row r="309" spans="2:2" x14ac:dyDescent="0.25">
      <c r="B309" s="3" t="s">
        <v>634</v>
      </c>
    </row>
    <row r="310" spans="2:2" x14ac:dyDescent="0.25">
      <c r="B310" s="3" t="s">
        <v>635</v>
      </c>
    </row>
    <row r="311" spans="2:2" x14ac:dyDescent="0.25">
      <c r="B311" s="3" t="s">
        <v>634</v>
      </c>
    </row>
    <row r="312" spans="2:2" x14ac:dyDescent="0.25">
      <c r="B312" s="3" t="s">
        <v>675</v>
      </c>
    </row>
    <row r="313" spans="2:2" x14ac:dyDescent="0.25">
      <c r="B313" s="3" t="s">
        <v>634</v>
      </c>
    </row>
    <row r="314" spans="2:2" x14ac:dyDescent="0.25">
      <c r="B314" s="3" t="s">
        <v>635</v>
      </c>
    </row>
    <row r="315" spans="2:2" x14ac:dyDescent="0.25">
      <c r="B315" s="3" t="s">
        <v>634</v>
      </c>
    </row>
    <row r="316" spans="2:2" x14ac:dyDescent="0.25">
      <c r="B316" s="3" t="s">
        <v>676</v>
      </c>
    </row>
    <row r="317" spans="2:2" x14ac:dyDescent="0.25">
      <c r="B317" s="3" t="s">
        <v>634</v>
      </c>
    </row>
    <row r="318" spans="2:2" x14ac:dyDescent="0.25">
      <c r="B318" s="3" t="s">
        <v>635</v>
      </c>
    </row>
    <row r="319" spans="2:2" x14ac:dyDescent="0.25">
      <c r="B319" s="3" t="s">
        <v>634</v>
      </c>
    </row>
    <row r="320" spans="2:2" x14ac:dyDescent="0.25">
      <c r="B320" s="3" t="s">
        <v>677</v>
      </c>
    </row>
    <row r="321" spans="2:4" x14ac:dyDescent="0.25">
      <c r="B321" s="3" t="s">
        <v>634</v>
      </c>
    </row>
    <row r="322" spans="2:4" x14ac:dyDescent="0.25">
      <c r="B322" s="3" t="s">
        <v>635</v>
      </c>
    </row>
    <row r="323" spans="2:4" x14ac:dyDescent="0.25">
      <c r="B323" s="3" t="s">
        <v>634</v>
      </c>
    </row>
    <row r="324" spans="2:4" x14ac:dyDescent="0.25">
      <c r="B324" s="3" t="s">
        <v>678</v>
      </c>
    </row>
    <row r="325" spans="2:4" x14ac:dyDescent="0.25">
      <c r="B325" s="3" t="s">
        <v>634</v>
      </c>
    </row>
    <row r="326" spans="2:4" x14ac:dyDescent="0.25">
      <c r="B326" s="3" t="s">
        <v>635</v>
      </c>
    </row>
    <row r="327" spans="2:4" x14ac:dyDescent="0.25">
      <c r="B327" s="3" t="s">
        <v>634</v>
      </c>
    </row>
    <row r="328" spans="2:4" x14ac:dyDescent="0.25">
      <c r="B328" s="3" t="s">
        <v>679</v>
      </c>
      <c r="C328" s="6">
        <v>3</v>
      </c>
      <c r="D328" t="s">
        <v>4274</v>
      </c>
    </row>
    <row r="329" spans="2:4" x14ac:dyDescent="0.25">
      <c r="B329" s="3" t="s">
        <v>634</v>
      </c>
    </row>
    <row r="330" spans="2:4" x14ac:dyDescent="0.25">
      <c r="B330" s="3" t="s">
        <v>635</v>
      </c>
    </row>
    <row r="331" spans="2:4" x14ac:dyDescent="0.25">
      <c r="B331" s="3" t="s">
        <v>634</v>
      </c>
    </row>
    <row r="332" spans="2:4" x14ac:dyDescent="0.25">
      <c r="B332" s="3" t="s">
        <v>680</v>
      </c>
    </row>
    <row r="333" spans="2:4" x14ac:dyDescent="0.25">
      <c r="B333" s="3" t="s">
        <v>634</v>
      </c>
    </row>
    <row r="334" spans="2:4" x14ac:dyDescent="0.25">
      <c r="B334" s="3" t="s">
        <v>635</v>
      </c>
    </row>
    <row r="335" spans="2:4" x14ac:dyDescent="0.25">
      <c r="B335" s="3" t="s">
        <v>634</v>
      </c>
    </row>
    <row r="336" spans="2:4" x14ac:dyDescent="0.25">
      <c r="B336" s="3" t="s">
        <v>681</v>
      </c>
    </row>
    <row r="337" spans="2:4" x14ac:dyDescent="0.25">
      <c r="B337" s="3" t="s">
        <v>634</v>
      </c>
    </row>
    <row r="338" spans="2:4" x14ac:dyDescent="0.25">
      <c r="B338" s="3" t="s">
        <v>635</v>
      </c>
    </row>
    <row r="339" spans="2:4" x14ac:dyDescent="0.25">
      <c r="B339" s="3" t="s">
        <v>634</v>
      </c>
    </row>
    <row r="340" spans="2:4" x14ac:dyDescent="0.25">
      <c r="B340" s="3" t="s">
        <v>682</v>
      </c>
    </row>
    <row r="341" spans="2:4" x14ac:dyDescent="0.25">
      <c r="B341" s="3" t="s">
        <v>634</v>
      </c>
    </row>
    <row r="342" spans="2:4" x14ac:dyDescent="0.25">
      <c r="B342" s="3" t="s">
        <v>635</v>
      </c>
    </row>
    <row r="343" spans="2:4" x14ac:dyDescent="0.25">
      <c r="B343" s="3" t="s">
        <v>634</v>
      </c>
    </row>
    <row r="344" spans="2:4" x14ac:dyDescent="0.25">
      <c r="B344" s="3" t="s">
        <v>683</v>
      </c>
    </row>
    <row r="345" spans="2:4" x14ac:dyDescent="0.25">
      <c r="B345" s="3" t="s">
        <v>634</v>
      </c>
    </row>
    <row r="346" spans="2:4" x14ac:dyDescent="0.25">
      <c r="B346" s="3" t="s">
        <v>635</v>
      </c>
    </row>
    <row r="347" spans="2:4" x14ac:dyDescent="0.25">
      <c r="B347" s="3" t="s">
        <v>634</v>
      </c>
    </row>
    <row r="348" spans="2:4" x14ac:dyDescent="0.25">
      <c r="B348" s="3" t="s">
        <v>684</v>
      </c>
      <c r="C348" s="6">
        <v>3</v>
      </c>
      <c r="D348" t="s">
        <v>4274</v>
      </c>
    </row>
    <row r="349" spans="2:4" x14ac:dyDescent="0.25">
      <c r="B349" s="3" t="s">
        <v>634</v>
      </c>
    </row>
    <row r="350" spans="2:4" x14ac:dyDescent="0.25">
      <c r="B350" s="3" t="s">
        <v>635</v>
      </c>
    </row>
    <row r="351" spans="2:4" x14ac:dyDescent="0.25">
      <c r="B351" s="3" t="s">
        <v>634</v>
      </c>
    </row>
    <row r="352" spans="2:4" x14ac:dyDescent="0.25">
      <c r="B352" s="3" t="s">
        <v>685</v>
      </c>
    </row>
    <row r="353" spans="2:4" x14ac:dyDescent="0.25">
      <c r="B353" s="53" t="s">
        <v>4272</v>
      </c>
      <c r="C353" s="6">
        <v>2</v>
      </c>
      <c r="D353" t="s">
        <v>4268</v>
      </c>
    </row>
    <row r="354" spans="2:4" x14ac:dyDescent="0.25">
      <c r="B354" s="3" t="s">
        <v>687</v>
      </c>
      <c r="C354" s="6">
        <v>2</v>
      </c>
      <c r="D354" t="s">
        <v>4268</v>
      </c>
    </row>
    <row r="355" spans="2:4" x14ac:dyDescent="0.25">
      <c r="B355" s="3" t="s">
        <v>688</v>
      </c>
      <c r="C355" s="6">
        <v>2</v>
      </c>
      <c r="D355" t="s">
        <v>4268</v>
      </c>
    </row>
    <row r="356" spans="2:4" x14ac:dyDescent="0.25">
      <c r="B356" s="3" t="s">
        <v>689</v>
      </c>
      <c r="C356" s="6">
        <v>2</v>
      </c>
      <c r="D356" t="s">
        <v>4268</v>
      </c>
    </row>
    <row r="357" spans="2:4" x14ac:dyDescent="0.25">
      <c r="B357" s="3" t="s">
        <v>690</v>
      </c>
      <c r="C357" s="6">
        <v>2</v>
      </c>
      <c r="D357" t="s">
        <v>4268</v>
      </c>
    </row>
    <row r="358" spans="2:4" x14ac:dyDescent="0.25">
      <c r="B358" s="3" t="s">
        <v>691</v>
      </c>
      <c r="C358" s="6">
        <v>2</v>
      </c>
      <c r="D358" t="s">
        <v>4268</v>
      </c>
    </row>
    <row r="359" spans="2:4" x14ac:dyDescent="0.25">
      <c r="B359" s="3" t="s">
        <v>692</v>
      </c>
      <c r="C359" s="6">
        <v>2</v>
      </c>
      <c r="D359" t="s">
        <v>4268</v>
      </c>
    </row>
    <row r="360" spans="2:4" x14ac:dyDescent="0.25">
      <c r="B360" s="3" t="s">
        <v>693</v>
      </c>
      <c r="C360" s="6">
        <v>2</v>
      </c>
      <c r="D360" t="s">
        <v>4268</v>
      </c>
    </row>
    <row r="361" spans="2:4" x14ac:dyDescent="0.25">
      <c r="B361" s="3" t="s">
        <v>694</v>
      </c>
      <c r="C361" s="6">
        <v>2</v>
      </c>
      <c r="D361" t="s">
        <v>4268</v>
      </c>
    </row>
    <row r="362" spans="2:4" x14ac:dyDescent="0.25">
      <c r="B362" s="3" t="s">
        <v>695</v>
      </c>
      <c r="C362" s="6">
        <v>2</v>
      </c>
      <c r="D362" t="s">
        <v>4268</v>
      </c>
    </row>
    <row r="363" spans="2:4" x14ac:dyDescent="0.25">
      <c r="B363" s="3" t="s">
        <v>696</v>
      </c>
      <c r="C363" s="6">
        <v>2</v>
      </c>
      <c r="D363" t="s">
        <v>4268</v>
      </c>
    </row>
    <row r="364" spans="2:4" x14ac:dyDescent="0.25">
      <c r="B364" s="53" t="s">
        <v>4273</v>
      </c>
      <c r="C364" s="6">
        <v>2</v>
      </c>
      <c r="D364" t="s">
        <v>4268</v>
      </c>
    </row>
    <row r="365" spans="2:4" x14ac:dyDescent="0.25">
      <c r="B365" s="3" t="s">
        <v>697</v>
      </c>
      <c r="C365" s="6">
        <v>2</v>
      </c>
      <c r="D365" t="s">
        <v>4268</v>
      </c>
    </row>
    <row r="366" spans="2:4" x14ac:dyDescent="0.25">
      <c r="B366" s="3" t="s">
        <v>698</v>
      </c>
      <c r="C366" s="6">
        <v>2</v>
      </c>
      <c r="D366" t="s">
        <v>4268</v>
      </c>
    </row>
    <row r="367" spans="2:4" x14ac:dyDescent="0.25">
      <c r="B367" s="3" t="s">
        <v>699</v>
      </c>
      <c r="C367" s="6">
        <v>2</v>
      </c>
      <c r="D367" t="s">
        <v>4268</v>
      </c>
    </row>
    <row r="368" spans="2:4" x14ac:dyDescent="0.25">
      <c r="B368" s="3" t="s">
        <v>700</v>
      </c>
      <c r="C368" s="6">
        <v>2</v>
      </c>
      <c r="D368" t="s">
        <v>4268</v>
      </c>
    </row>
    <row r="369" spans="2:4" x14ac:dyDescent="0.25">
      <c r="B369" s="3" t="s">
        <v>701</v>
      </c>
      <c r="C369" s="6">
        <v>2</v>
      </c>
      <c r="D369" t="s">
        <v>4268</v>
      </c>
    </row>
    <row r="370" spans="2:4" x14ac:dyDescent="0.25">
      <c r="B370" s="3" t="s">
        <v>702</v>
      </c>
      <c r="C370" s="6">
        <v>2</v>
      </c>
      <c r="D370" t="s">
        <v>4268</v>
      </c>
    </row>
    <row r="371" spans="2:4" x14ac:dyDescent="0.25">
      <c r="B371" s="3" t="s">
        <v>703</v>
      </c>
      <c r="C371" s="6">
        <v>2</v>
      </c>
      <c r="D371" t="s">
        <v>4268</v>
      </c>
    </row>
    <row r="372" spans="2:4" x14ac:dyDescent="0.25">
      <c r="B372" s="3" t="s">
        <v>704</v>
      </c>
      <c r="C372" s="6">
        <v>2</v>
      </c>
      <c r="D372" t="s">
        <v>4268</v>
      </c>
    </row>
    <row r="373" spans="2:4" x14ac:dyDescent="0.25">
      <c r="B373" s="3" t="s">
        <v>705</v>
      </c>
      <c r="C373" s="6">
        <v>2</v>
      </c>
      <c r="D373" t="s">
        <v>4268</v>
      </c>
    </row>
    <row r="374" spans="2:4" x14ac:dyDescent="0.25">
      <c r="B374" s="3" t="s">
        <v>706</v>
      </c>
      <c r="C374" s="6">
        <v>2</v>
      </c>
      <c r="D374" t="s">
        <v>4268</v>
      </c>
    </row>
    <row r="375" spans="2:4" x14ac:dyDescent="0.25">
      <c r="B375" s="3" t="s">
        <v>707</v>
      </c>
      <c r="C375" s="6">
        <v>2</v>
      </c>
      <c r="D375" t="s">
        <v>4268</v>
      </c>
    </row>
    <row r="376" spans="2:4" x14ac:dyDescent="0.25">
      <c r="B376" s="3" t="s">
        <v>708</v>
      </c>
      <c r="C376" s="6">
        <v>2</v>
      </c>
      <c r="D376" t="s">
        <v>4268</v>
      </c>
    </row>
    <row r="377" spans="2:4" x14ac:dyDescent="0.25">
      <c r="B377" s="3" t="s">
        <v>709</v>
      </c>
      <c r="C377" s="6">
        <v>2</v>
      </c>
      <c r="D377" t="s">
        <v>4268</v>
      </c>
    </row>
    <row r="378" spans="2:4" x14ac:dyDescent="0.25">
      <c r="B378" s="53" t="s">
        <v>4269</v>
      </c>
      <c r="C378" s="6">
        <v>2</v>
      </c>
      <c r="D378" t="s">
        <v>4268</v>
      </c>
    </row>
    <row r="379" spans="2:4" x14ac:dyDescent="0.25">
      <c r="B379" s="3" t="s">
        <v>710</v>
      </c>
      <c r="C379" s="6">
        <v>2</v>
      </c>
      <c r="D379" t="s">
        <v>4268</v>
      </c>
    </row>
    <row r="380" spans="2:4" x14ac:dyDescent="0.25">
      <c r="B380" s="3" t="s">
        <v>711</v>
      </c>
      <c r="C380" s="6">
        <v>2</v>
      </c>
      <c r="D380" t="s">
        <v>4268</v>
      </c>
    </row>
    <row r="381" spans="2:4" x14ac:dyDescent="0.25">
      <c r="B381" s="3" t="s">
        <v>712</v>
      </c>
      <c r="C381" s="6">
        <v>2</v>
      </c>
      <c r="D381" t="s">
        <v>4268</v>
      </c>
    </row>
    <row r="382" spans="2:4" x14ac:dyDescent="0.25">
      <c r="B382" s="3" t="s">
        <v>713</v>
      </c>
      <c r="C382" s="6">
        <v>2</v>
      </c>
      <c r="D382" t="s">
        <v>4268</v>
      </c>
    </row>
    <row r="383" spans="2:4" x14ac:dyDescent="0.25">
      <c r="B383" s="3" t="s">
        <v>714</v>
      </c>
      <c r="C383" s="6">
        <v>2</v>
      </c>
      <c r="D383" t="s">
        <v>4268</v>
      </c>
    </row>
    <row r="384" spans="2:4" x14ac:dyDescent="0.25">
      <c r="B384" s="3" t="s">
        <v>715</v>
      </c>
      <c r="C384" s="6">
        <v>2</v>
      </c>
      <c r="D384" t="s">
        <v>4268</v>
      </c>
    </row>
    <row r="385" spans="2:4" x14ac:dyDescent="0.25">
      <c r="B385" s="3" t="s">
        <v>716</v>
      </c>
      <c r="C385" s="6">
        <v>2</v>
      </c>
      <c r="D385" t="s">
        <v>4268</v>
      </c>
    </row>
    <row r="386" spans="2:4" x14ac:dyDescent="0.25">
      <c r="B386" s="3" t="s">
        <v>717</v>
      </c>
      <c r="C386" s="6">
        <v>2</v>
      </c>
      <c r="D386" t="s">
        <v>4268</v>
      </c>
    </row>
    <row r="387" spans="2:4" x14ac:dyDescent="0.25">
      <c r="B387" s="3" t="s">
        <v>718</v>
      </c>
      <c r="C387" s="6">
        <v>2</v>
      </c>
      <c r="D387" t="s">
        <v>4268</v>
      </c>
    </row>
    <row r="388" spans="2:4" x14ac:dyDescent="0.25">
      <c r="B388" s="3" t="s">
        <v>719</v>
      </c>
      <c r="C388" s="6">
        <v>2</v>
      </c>
      <c r="D388" t="s">
        <v>4268</v>
      </c>
    </row>
    <row r="389" spans="2:4" x14ac:dyDescent="0.25">
      <c r="B389" s="3" t="s">
        <v>720</v>
      </c>
      <c r="C389" s="6">
        <v>2</v>
      </c>
      <c r="D389" t="s">
        <v>4268</v>
      </c>
    </row>
    <row r="390" spans="2:4" x14ac:dyDescent="0.25">
      <c r="B390" s="3" t="s">
        <v>721</v>
      </c>
      <c r="C390" s="6">
        <v>2</v>
      </c>
      <c r="D390" t="s">
        <v>4268</v>
      </c>
    </row>
    <row r="391" spans="2:4" x14ac:dyDescent="0.25">
      <c r="B391" s="3" t="s">
        <v>722</v>
      </c>
      <c r="C391" s="6">
        <v>2</v>
      </c>
      <c r="D391" t="s">
        <v>4268</v>
      </c>
    </row>
    <row r="392" spans="2:4" x14ac:dyDescent="0.25">
      <c r="B392" s="3" t="s">
        <v>723</v>
      </c>
      <c r="C392" s="6">
        <v>2</v>
      </c>
      <c r="D392" t="s">
        <v>4268</v>
      </c>
    </row>
    <row r="393" spans="2:4" x14ac:dyDescent="0.25">
      <c r="B393" s="3" t="s">
        <v>724</v>
      </c>
      <c r="C393" s="6">
        <v>2</v>
      </c>
      <c r="D393" t="s">
        <v>4268</v>
      </c>
    </row>
    <row r="394" spans="2:4" x14ac:dyDescent="0.25">
      <c r="B394" s="3" t="s">
        <v>4271</v>
      </c>
      <c r="C394" s="6">
        <v>2</v>
      </c>
      <c r="D394" t="s">
        <v>4268</v>
      </c>
    </row>
    <row r="395" spans="2:4" x14ac:dyDescent="0.25">
      <c r="B395" s="3" t="s">
        <v>725</v>
      </c>
      <c r="C395" s="6">
        <v>2</v>
      </c>
      <c r="D395" t="s">
        <v>4268</v>
      </c>
    </row>
    <row r="396" spans="2:4" x14ac:dyDescent="0.25">
      <c r="B396" s="3" t="s">
        <v>726</v>
      </c>
      <c r="C396" s="6">
        <v>2</v>
      </c>
      <c r="D396" t="s">
        <v>4268</v>
      </c>
    </row>
    <row r="397" spans="2:4" x14ac:dyDescent="0.25">
      <c r="B397" s="3" t="s">
        <v>727</v>
      </c>
      <c r="C397" s="6">
        <v>2</v>
      </c>
      <c r="D397" t="s">
        <v>4268</v>
      </c>
    </row>
    <row r="398" spans="2:4" x14ac:dyDescent="0.25">
      <c r="B398" s="3" t="s">
        <v>728</v>
      </c>
      <c r="C398" s="6">
        <v>2</v>
      </c>
      <c r="D398" t="s">
        <v>4268</v>
      </c>
    </row>
    <row r="399" spans="2:4" x14ac:dyDescent="0.25">
      <c r="B399" s="3" t="s">
        <v>729</v>
      </c>
      <c r="C399" s="6">
        <v>2</v>
      </c>
      <c r="D399" t="s">
        <v>4268</v>
      </c>
    </row>
    <row r="400" spans="2:4" x14ac:dyDescent="0.25">
      <c r="B400" s="3" t="s">
        <v>730</v>
      </c>
      <c r="C400" s="6">
        <v>2</v>
      </c>
      <c r="D400" t="s">
        <v>4268</v>
      </c>
    </row>
    <row r="401" spans="2:4" x14ac:dyDescent="0.25">
      <c r="B401" s="3" t="s">
        <v>731</v>
      </c>
      <c r="C401" s="6">
        <v>2</v>
      </c>
      <c r="D401" t="s">
        <v>4268</v>
      </c>
    </row>
    <row r="402" spans="2:4" x14ac:dyDescent="0.25">
      <c r="C402" s="6">
        <v>2</v>
      </c>
      <c r="D402" t="s">
        <v>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73D6-7ECF-446A-833A-E072AB51C5B3}">
  <dimension ref="A1:MH124"/>
  <sheetViews>
    <sheetView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U96" sqref="U96"/>
    </sheetView>
  </sheetViews>
  <sheetFormatPr defaultRowHeight="15" x14ac:dyDescent="0.25"/>
  <cols>
    <col min="1" max="1" width="4.5703125" customWidth="1"/>
    <col min="2" max="2" width="20.28515625" customWidth="1"/>
    <col min="3" max="3" width="17.28515625" customWidth="1"/>
    <col min="4" max="4" width="9.140625" customWidth="1"/>
    <col min="5" max="5" width="6.5703125" customWidth="1"/>
    <col min="6" max="6" width="9.140625" customWidth="1"/>
    <col min="7" max="7" width="10.85546875" customWidth="1"/>
    <col min="8" max="8" width="9.140625" customWidth="1"/>
    <col min="9" max="9" width="14.85546875" customWidth="1"/>
    <col min="10" max="10" width="17.5703125" customWidth="1"/>
    <col min="11" max="11" width="9.28515625" customWidth="1"/>
    <col min="12" max="12" width="8" customWidth="1"/>
    <col min="13" max="13" width="20.5703125" customWidth="1"/>
    <col min="14" max="14" width="16.85546875" customWidth="1"/>
    <col min="15" max="15" width="9.42578125" customWidth="1"/>
    <col min="16" max="16" width="15.42578125" style="1" customWidth="1"/>
    <col min="17" max="17" width="11.28515625" customWidth="1"/>
    <col min="18" max="18" width="9.140625" customWidth="1"/>
    <col min="19" max="19" width="10.85546875" customWidth="1"/>
    <col min="20" max="20" width="33" customWidth="1"/>
    <col min="21" max="21" width="13.140625" style="5" customWidth="1"/>
    <col min="22" max="22" width="6.42578125" style="2" customWidth="1"/>
    <col min="23" max="23" width="6.5703125" customWidth="1"/>
    <col min="24" max="26" width="9.140625" customWidth="1"/>
    <col min="27" max="29" width="9.140625" style="2" customWidth="1"/>
    <col min="30" max="30" width="13.7109375" style="3" customWidth="1"/>
    <col min="31" max="38" width="9.140625" customWidth="1"/>
    <col min="39" max="39" width="13.28515625" customWidth="1"/>
    <col min="40" max="40" width="12.85546875" style="5" customWidth="1"/>
    <col min="41" max="41" width="28.5703125" customWidth="1"/>
    <col min="42" max="59" width="9.140625" customWidth="1"/>
    <col min="60" max="60" width="9.42578125" customWidth="1"/>
    <col min="61" max="62" width="9.140625" customWidth="1"/>
    <col min="63" max="63" width="21.140625" customWidth="1"/>
    <col min="64" max="69" width="9.140625" customWidth="1"/>
    <col min="70" max="70" width="36.7109375" customWidth="1"/>
    <col min="71" max="71" width="15.7109375" customWidth="1"/>
    <col min="72" max="72" width="11.140625" customWidth="1"/>
    <col min="73" max="73" width="24.42578125" customWidth="1"/>
    <col min="74" max="74" width="29.140625" customWidth="1"/>
    <col min="75" max="75" width="8.85546875" customWidth="1"/>
    <col min="76" max="76" width="7.28515625" customWidth="1"/>
    <col min="77" max="77" width="29" customWidth="1"/>
    <col min="78" max="83" width="9.140625" customWidth="1"/>
    <col min="84" max="84" width="22.28515625" customWidth="1"/>
    <col min="88" max="89" width="6.140625" customWidth="1"/>
    <col min="90" max="90" width="7.140625" customWidth="1"/>
    <col min="91" max="91" width="6.85546875" customWidth="1"/>
    <col min="92" max="92" width="5.7109375" customWidth="1"/>
    <col min="93" max="93" width="7.42578125" customWidth="1"/>
    <col min="94" max="94" width="4.28515625" customWidth="1"/>
    <col min="95" max="95" width="5" customWidth="1"/>
    <col min="96" max="96" width="4.42578125" customWidth="1"/>
    <col min="97" max="97" width="3.5703125" customWidth="1"/>
    <col min="98" max="98" width="4.42578125" customWidth="1"/>
    <col min="99" max="99" width="3.42578125" customWidth="1"/>
    <col min="100" max="100" width="6.140625" customWidth="1"/>
  </cols>
  <sheetData>
    <row r="1" spans="1:82" x14ac:dyDescent="0.25">
      <c r="A1" t="s">
        <v>480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s="1" t="s">
        <v>16</v>
      </c>
      <c r="Q1" t="s">
        <v>17</v>
      </c>
      <c r="R1" t="s">
        <v>18</v>
      </c>
      <c r="S1" t="s">
        <v>19</v>
      </c>
      <c r="T1" t="s">
        <v>483</v>
      </c>
      <c r="U1" s="5" t="s">
        <v>482</v>
      </c>
      <c r="V1" s="2" t="s">
        <v>21</v>
      </c>
      <c r="W1" t="s">
        <v>22</v>
      </c>
      <c r="X1" t="s">
        <v>23</v>
      </c>
      <c r="Y1" t="s">
        <v>24</v>
      </c>
      <c r="Z1" t="s">
        <v>20</v>
      </c>
      <c r="AA1" s="2" t="s">
        <v>21</v>
      </c>
      <c r="AB1" s="2" t="s">
        <v>25</v>
      </c>
      <c r="AC1" s="2" t="s">
        <v>23</v>
      </c>
      <c r="AD1" s="3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6</v>
      </c>
      <c r="AN1" s="5" t="s">
        <v>482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37</v>
      </c>
      <c r="BG1" t="s">
        <v>35</v>
      </c>
      <c r="BH1" t="s">
        <v>36</v>
      </c>
      <c r="BI1" t="s">
        <v>484</v>
      </c>
      <c r="BJ1" t="s">
        <v>485</v>
      </c>
      <c r="BK1" t="s">
        <v>486</v>
      </c>
      <c r="BL1" t="s">
        <v>487</v>
      </c>
      <c r="BM1" t="s">
        <v>488</v>
      </c>
      <c r="BN1" t="s">
        <v>489</v>
      </c>
      <c r="BO1" t="s">
        <v>490</v>
      </c>
      <c r="BP1" t="s">
        <v>491</v>
      </c>
      <c r="BQ1" t="s">
        <v>6</v>
      </c>
      <c r="BR1" t="s">
        <v>492</v>
      </c>
      <c r="BS1" t="s">
        <v>493</v>
      </c>
      <c r="BT1" t="s">
        <v>6</v>
      </c>
      <c r="BU1" t="s">
        <v>494</v>
      </c>
      <c r="BV1" t="s">
        <v>495</v>
      </c>
      <c r="BW1" s="6" t="s">
        <v>496</v>
      </c>
      <c r="BX1" s="6" t="s">
        <v>597</v>
      </c>
      <c r="BY1" t="s">
        <v>497</v>
      </c>
      <c r="BZ1" t="s">
        <v>498</v>
      </c>
      <c r="CA1" t="s">
        <v>499</v>
      </c>
      <c r="CB1" t="s">
        <v>500</v>
      </c>
      <c r="CC1" t="s">
        <v>501</v>
      </c>
      <c r="CD1" t="s">
        <v>502</v>
      </c>
    </row>
    <row r="2" spans="1:82" x14ac:dyDescent="0.25">
      <c r="A2">
        <v>1</v>
      </c>
      <c r="B2" t="s">
        <v>55</v>
      </c>
      <c r="C2" t="s">
        <v>56</v>
      </c>
      <c r="D2" t="s">
        <v>57</v>
      </c>
      <c r="E2">
        <v>43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M2" t="s">
        <v>64</v>
      </c>
      <c r="N2" t="s">
        <v>65</v>
      </c>
      <c r="O2">
        <v>5</v>
      </c>
      <c r="P2" s="1" t="s">
        <v>66</v>
      </c>
      <c r="Q2" s="5">
        <f>200000/P2*100</f>
        <v>76.045627376425855</v>
      </c>
      <c r="R2" s="5">
        <v>24</v>
      </c>
      <c r="S2" s="1" t="s">
        <v>67</v>
      </c>
      <c r="T2" t="s">
        <v>68</v>
      </c>
      <c r="U2" s="7">
        <v>150000</v>
      </c>
      <c r="V2" s="2" t="s">
        <v>69</v>
      </c>
      <c r="W2">
        <v>0</v>
      </c>
      <c r="X2">
        <v>0</v>
      </c>
      <c r="Y2" t="s">
        <v>70</v>
      </c>
      <c r="Z2" t="s">
        <v>70</v>
      </c>
      <c r="AA2" s="2">
        <v>0</v>
      </c>
      <c r="AB2" s="2">
        <v>0</v>
      </c>
      <c r="AC2" s="2">
        <v>0</v>
      </c>
      <c r="AD2" s="3" t="s">
        <v>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 t="s">
        <v>65</v>
      </c>
      <c r="AN2" s="5">
        <v>63000</v>
      </c>
      <c r="AO2" t="s">
        <v>73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G2" t="s">
        <v>63</v>
      </c>
      <c r="BI2">
        <v>1</v>
      </c>
      <c r="BJ2" s="2">
        <v>0.75</v>
      </c>
      <c r="BK2" t="s">
        <v>503</v>
      </c>
      <c r="BL2">
        <v>0</v>
      </c>
      <c r="BM2">
        <v>0</v>
      </c>
      <c r="BN2">
        <v>0</v>
      </c>
      <c r="BO2">
        <v>1</v>
      </c>
      <c r="BP2">
        <v>0</v>
      </c>
      <c r="BR2" t="s">
        <v>504</v>
      </c>
      <c r="BS2" t="s">
        <v>505</v>
      </c>
      <c r="BT2">
        <v>1</v>
      </c>
      <c r="BU2" t="s">
        <v>506</v>
      </c>
      <c r="BV2" t="s">
        <v>507</v>
      </c>
      <c r="BW2">
        <v>2004</v>
      </c>
      <c r="BX2">
        <v>19</v>
      </c>
      <c r="BY2" t="s">
        <v>508</v>
      </c>
      <c r="BZ2">
        <v>1</v>
      </c>
      <c r="CA2">
        <v>0</v>
      </c>
      <c r="CB2">
        <v>0</v>
      </c>
      <c r="CC2">
        <v>0</v>
      </c>
      <c r="CD2">
        <v>0</v>
      </c>
    </row>
    <row r="3" spans="1:82" x14ac:dyDescent="0.25">
      <c r="A3">
        <v>2</v>
      </c>
      <c r="B3" t="s">
        <v>74</v>
      </c>
      <c r="C3" t="s">
        <v>75</v>
      </c>
      <c r="D3" t="s">
        <v>57</v>
      </c>
      <c r="E3">
        <v>58</v>
      </c>
      <c r="F3" t="s">
        <v>58</v>
      </c>
      <c r="G3" t="s">
        <v>76</v>
      </c>
      <c r="H3" t="s">
        <v>60</v>
      </c>
      <c r="I3" t="s">
        <v>61</v>
      </c>
      <c r="J3" t="s">
        <v>62</v>
      </c>
      <c r="K3" t="s">
        <v>63</v>
      </c>
      <c r="M3" t="s">
        <v>77</v>
      </c>
      <c r="N3" t="s">
        <v>78</v>
      </c>
      <c r="O3">
        <v>7</v>
      </c>
      <c r="P3" s="1" t="s">
        <v>79</v>
      </c>
      <c r="Q3" s="5">
        <v>95</v>
      </c>
      <c r="R3" s="5">
        <v>5</v>
      </c>
      <c r="S3" s="1" t="s">
        <v>80</v>
      </c>
      <c r="T3" t="s">
        <v>81</v>
      </c>
      <c r="U3" s="7">
        <v>30000</v>
      </c>
      <c r="V3" s="2" t="s">
        <v>69</v>
      </c>
      <c r="W3">
        <v>0</v>
      </c>
      <c r="X3">
        <v>0</v>
      </c>
      <c r="Y3" t="s">
        <v>70</v>
      </c>
      <c r="Z3" t="s">
        <v>70</v>
      </c>
      <c r="AA3" s="2">
        <v>0</v>
      </c>
      <c r="AB3" s="2">
        <v>0</v>
      </c>
      <c r="AC3" s="2">
        <v>0</v>
      </c>
      <c r="AD3" s="3" t="s">
        <v>71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 t="s">
        <v>78</v>
      </c>
      <c r="AN3" s="5">
        <v>10000</v>
      </c>
      <c r="AO3" t="s">
        <v>73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G3" t="s">
        <v>63</v>
      </c>
      <c r="BI3">
        <v>1</v>
      </c>
      <c r="BJ3" s="2">
        <v>0.36</v>
      </c>
      <c r="BK3" t="s">
        <v>509</v>
      </c>
      <c r="BL3">
        <v>0</v>
      </c>
      <c r="BM3">
        <v>1</v>
      </c>
      <c r="BN3">
        <v>0</v>
      </c>
      <c r="BO3">
        <v>0</v>
      </c>
      <c r="BP3">
        <v>0</v>
      </c>
      <c r="BR3" t="s">
        <v>510</v>
      </c>
      <c r="BS3" t="s">
        <v>511</v>
      </c>
      <c r="BU3" t="s">
        <v>512</v>
      </c>
      <c r="BV3" t="s">
        <v>513</v>
      </c>
      <c r="BW3">
        <v>2011</v>
      </c>
      <c r="BX3">
        <v>12</v>
      </c>
      <c r="BY3" t="s">
        <v>508</v>
      </c>
      <c r="BZ3">
        <v>1</v>
      </c>
      <c r="CA3">
        <v>0</v>
      </c>
      <c r="CB3">
        <v>0</v>
      </c>
      <c r="CC3">
        <v>0</v>
      </c>
      <c r="CD3">
        <v>0</v>
      </c>
    </row>
    <row r="4" spans="1:82" x14ac:dyDescent="0.25">
      <c r="A4">
        <v>3</v>
      </c>
      <c r="B4" t="s">
        <v>85</v>
      </c>
      <c r="C4" t="s">
        <v>86</v>
      </c>
      <c r="D4" t="s">
        <v>57</v>
      </c>
      <c r="E4">
        <v>25</v>
      </c>
      <c r="F4" t="s">
        <v>87</v>
      </c>
      <c r="G4" t="s">
        <v>59</v>
      </c>
      <c r="H4" t="s">
        <v>60</v>
      </c>
      <c r="I4" t="s">
        <v>88</v>
      </c>
      <c r="J4" t="s">
        <v>62</v>
      </c>
      <c r="K4" t="s">
        <v>63</v>
      </c>
      <c r="M4" t="s">
        <v>89</v>
      </c>
      <c r="N4" t="s">
        <v>90</v>
      </c>
      <c r="O4">
        <v>5</v>
      </c>
      <c r="P4" s="1" t="s">
        <v>91</v>
      </c>
      <c r="Q4" s="5">
        <v>100</v>
      </c>
      <c r="R4" s="5">
        <v>0</v>
      </c>
      <c r="S4" s="1">
        <v>0</v>
      </c>
      <c r="T4" t="s">
        <v>92</v>
      </c>
      <c r="U4" s="7">
        <v>40000</v>
      </c>
      <c r="V4" s="2" t="s">
        <v>69</v>
      </c>
      <c r="W4">
        <v>0</v>
      </c>
      <c r="X4">
        <v>0</v>
      </c>
      <c r="Y4" t="s">
        <v>70</v>
      </c>
      <c r="Z4" t="s">
        <v>70</v>
      </c>
      <c r="AA4" s="2">
        <v>0</v>
      </c>
      <c r="AB4" s="2">
        <v>0</v>
      </c>
      <c r="AC4" s="2">
        <v>0</v>
      </c>
      <c r="AD4" s="3" t="s">
        <v>93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70</v>
      </c>
      <c r="AN4" s="5" t="s">
        <v>72</v>
      </c>
      <c r="AO4" t="s">
        <v>94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G4" t="s">
        <v>63</v>
      </c>
      <c r="BI4">
        <v>1</v>
      </c>
      <c r="BJ4" s="2">
        <v>0.5</v>
      </c>
      <c r="BK4" t="s">
        <v>503</v>
      </c>
      <c r="BL4">
        <v>0</v>
      </c>
      <c r="BM4">
        <v>0</v>
      </c>
      <c r="BN4">
        <v>0</v>
      </c>
      <c r="BO4">
        <v>1</v>
      </c>
      <c r="BP4">
        <v>0</v>
      </c>
      <c r="BR4" t="s">
        <v>514</v>
      </c>
      <c r="BS4" t="s">
        <v>71</v>
      </c>
      <c r="BT4" t="s">
        <v>506</v>
      </c>
      <c r="BU4" t="s">
        <v>515</v>
      </c>
      <c r="BV4" t="s">
        <v>507</v>
      </c>
      <c r="BW4">
        <v>2016</v>
      </c>
      <c r="BX4">
        <v>7</v>
      </c>
      <c r="BY4" t="s">
        <v>508</v>
      </c>
      <c r="BZ4">
        <v>1</v>
      </c>
      <c r="CA4">
        <v>0</v>
      </c>
      <c r="CB4">
        <v>0</v>
      </c>
      <c r="CC4">
        <v>0</v>
      </c>
      <c r="CD4">
        <v>0</v>
      </c>
    </row>
    <row r="5" spans="1:82" x14ac:dyDescent="0.25">
      <c r="A5">
        <v>4</v>
      </c>
      <c r="B5" t="s">
        <v>95</v>
      </c>
      <c r="C5" t="s">
        <v>96</v>
      </c>
      <c r="D5" t="s">
        <v>97</v>
      </c>
      <c r="E5">
        <v>34</v>
      </c>
      <c r="F5" t="s">
        <v>58</v>
      </c>
      <c r="G5" t="s">
        <v>76</v>
      </c>
      <c r="H5" t="s">
        <v>60</v>
      </c>
      <c r="I5" t="s">
        <v>61</v>
      </c>
      <c r="J5" t="s">
        <v>62</v>
      </c>
      <c r="K5" t="s">
        <v>84</v>
      </c>
      <c r="L5" t="s">
        <v>98</v>
      </c>
      <c r="M5" t="s">
        <v>77</v>
      </c>
      <c r="N5" t="s">
        <v>99</v>
      </c>
      <c r="O5">
        <v>5</v>
      </c>
      <c r="P5" s="1" t="s">
        <v>100</v>
      </c>
      <c r="Q5" s="5">
        <v>35</v>
      </c>
      <c r="R5" s="5">
        <v>65</v>
      </c>
      <c r="S5" s="1" t="s">
        <v>82</v>
      </c>
      <c r="T5" t="s">
        <v>101</v>
      </c>
      <c r="U5" s="7">
        <v>150000</v>
      </c>
      <c r="V5" s="2" t="s">
        <v>69</v>
      </c>
      <c r="W5">
        <v>0</v>
      </c>
      <c r="X5">
        <v>0</v>
      </c>
      <c r="Y5" t="s">
        <v>70</v>
      </c>
      <c r="Z5" t="s">
        <v>70</v>
      </c>
      <c r="AA5" s="2">
        <v>0</v>
      </c>
      <c r="AB5" s="2">
        <v>0</v>
      </c>
      <c r="AC5" s="2">
        <v>0</v>
      </c>
      <c r="AD5" s="3" t="s">
        <v>71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 t="s">
        <v>99</v>
      </c>
      <c r="AN5" s="5">
        <v>30000</v>
      </c>
      <c r="AO5" t="s">
        <v>94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G5" t="s">
        <v>84</v>
      </c>
      <c r="BH5" t="s">
        <v>102</v>
      </c>
      <c r="BI5">
        <v>1</v>
      </c>
      <c r="BJ5" s="2">
        <v>0.25</v>
      </c>
      <c r="BK5" t="s">
        <v>516</v>
      </c>
      <c r="BL5">
        <v>1</v>
      </c>
      <c r="BM5">
        <v>0</v>
      </c>
      <c r="BN5">
        <v>0</v>
      </c>
      <c r="BO5">
        <v>0</v>
      </c>
      <c r="BP5">
        <v>0</v>
      </c>
      <c r="BR5" t="s">
        <v>517</v>
      </c>
      <c r="BS5" t="s">
        <v>71</v>
      </c>
      <c r="BT5" t="s">
        <v>506</v>
      </c>
      <c r="BU5" t="s">
        <v>515</v>
      </c>
      <c r="BV5" t="s">
        <v>507</v>
      </c>
      <c r="BW5">
        <v>2016</v>
      </c>
      <c r="BX5">
        <v>7</v>
      </c>
      <c r="BY5" t="s">
        <v>508</v>
      </c>
      <c r="BZ5">
        <v>1</v>
      </c>
      <c r="CA5">
        <v>0</v>
      </c>
      <c r="CB5">
        <v>0</v>
      </c>
      <c r="CC5">
        <v>0</v>
      </c>
      <c r="CD5">
        <v>0</v>
      </c>
    </row>
    <row r="6" spans="1:82" x14ac:dyDescent="0.25">
      <c r="A6">
        <v>5</v>
      </c>
      <c r="B6" t="s">
        <v>103</v>
      </c>
      <c r="C6" t="s">
        <v>104</v>
      </c>
      <c r="D6" t="s">
        <v>57</v>
      </c>
      <c r="E6">
        <v>31</v>
      </c>
      <c r="F6" t="s">
        <v>58</v>
      </c>
      <c r="G6" t="s">
        <v>105</v>
      </c>
      <c r="H6" t="s">
        <v>60</v>
      </c>
      <c r="I6" t="s">
        <v>106</v>
      </c>
      <c r="J6" t="s">
        <v>62</v>
      </c>
      <c r="K6" t="s">
        <v>63</v>
      </c>
      <c r="M6" t="s">
        <v>64</v>
      </c>
      <c r="N6" t="s">
        <v>65</v>
      </c>
      <c r="O6">
        <v>3</v>
      </c>
      <c r="P6" s="1" t="s">
        <v>107</v>
      </c>
      <c r="Q6" s="5">
        <v>70</v>
      </c>
      <c r="R6" s="5">
        <v>30</v>
      </c>
      <c r="S6" s="1" t="s">
        <v>108</v>
      </c>
      <c r="T6" t="s">
        <v>109</v>
      </c>
      <c r="U6" s="7">
        <v>70000</v>
      </c>
      <c r="V6" s="2" t="s">
        <v>110</v>
      </c>
      <c r="W6">
        <v>1</v>
      </c>
      <c r="X6">
        <v>1</v>
      </c>
      <c r="Y6" t="s">
        <v>70</v>
      </c>
      <c r="Z6" t="s">
        <v>70</v>
      </c>
      <c r="AA6" s="2">
        <v>0</v>
      </c>
      <c r="AB6" s="2">
        <v>0</v>
      </c>
      <c r="AC6" s="2">
        <v>0</v>
      </c>
      <c r="AD6" s="3" t="s">
        <v>71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 t="s">
        <v>65</v>
      </c>
      <c r="AN6" s="5">
        <v>30000</v>
      </c>
      <c r="AO6" t="s">
        <v>83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G6" t="s">
        <v>63</v>
      </c>
      <c r="BI6">
        <v>1</v>
      </c>
      <c r="BJ6" s="2">
        <v>1</v>
      </c>
      <c r="BK6" t="s">
        <v>516</v>
      </c>
      <c r="BL6">
        <v>1</v>
      </c>
      <c r="BM6">
        <v>0</v>
      </c>
      <c r="BN6">
        <v>0</v>
      </c>
      <c r="BO6">
        <v>0</v>
      </c>
      <c r="BP6">
        <v>0</v>
      </c>
      <c r="BR6" t="s">
        <v>518</v>
      </c>
      <c r="BS6" t="s">
        <v>519</v>
      </c>
      <c r="BU6" t="s">
        <v>520</v>
      </c>
      <c r="BV6" t="s">
        <v>521</v>
      </c>
      <c r="BW6">
        <v>2021</v>
      </c>
      <c r="BX6">
        <v>2</v>
      </c>
      <c r="BY6" t="s">
        <v>508</v>
      </c>
      <c r="BZ6">
        <v>1</v>
      </c>
      <c r="CA6">
        <v>0</v>
      </c>
      <c r="CB6">
        <v>0</v>
      </c>
      <c r="CC6">
        <v>0</v>
      </c>
      <c r="CD6">
        <v>0</v>
      </c>
    </row>
    <row r="7" spans="1:82" x14ac:dyDescent="0.25">
      <c r="A7">
        <v>6</v>
      </c>
      <c r="B7" t="s">
        <v>111</v>
      </c>
      <c r="C7" t="s">
        <v>112</v>
      </c>
      <c r="D7" t="s">
        <v>57</v>
      </c>
      <c r="E7">
        <v>31</v>
      </c>
      <c r="F7" t="s">
        <v>58</v>
      </c>
      <c r="G7" t="s">
        <v>76</v>
      </c>
      <c r="H7" t="s">
        <v>60</v>
      </c>
      <c r="I7" t="s">
        <v>113</v>
      </c>
      <c r="J7" t="s">
        <v>62</v>
      </c>
      <c r="K7" t="s">
        <v>63</v>
      </c>
      <c r="M7" t="s">
        <v>77</v>
      </c>
      <c r="N7" t="s">
        <v>90</v>
      </c>
      <c r="O7">
        <v>3</v>
      </c>
      <c r="P7" s="1" t="s">
        <v>114</v>
      </c>
      <c r="Q7" s="5">
        <v>100</v>
      </c>
      <c r="R7" s="5">
        <v>0</v>
      </c>
      <c r="S7" s="1">
        <v>0</v>
      </c>
      <c r="T7" t="s">
        <v>115</v>
      </c>
      <c r="U7" s="7">
        <v>150000</v>
      </c>
      <c r="V7" s="2" t="s">
        <v>69</v>
      </c>
      <c r="W7">
        <v>0</v>
      </c>
      <c r="X7">
        <v>0</v>
      </c>
      <c r="Y7" t="s">
        <v>70</v>
      </c>
      <c r="Z7" t="s">
        <v>70</v>
      </c>
      <c r="AA7" s="2">
        <v>0</v>
      </c>
      <c r="AB7" s="2">
        <v>0</v>
      </c>
      <c r="AC7" s="2">
        <v>0</v>
      </c>
      <c r="AD7" s="3" t="s">
        <v>70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70</v>
      </c>
      <c r="AN7" s="5" t="s">
        <v>72</v>
      </c>
      <c r="AO7" t="s">
        <v>73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G7" t="s">
        <v>63</v>
      </c>
      <c r="BI7">
        <v>1</v>
      </c>
      <c r="BJ7" s="2">
        <v>0.5</v>
      </c>
      <c r="BK7" t="s">
        <v>516</v>
      </c>
      <c r="BL7">
        <v>1</v>
      </c>
      <c r="BM7">
        <v>0</v>
      </c>
      <c r="BN7">
        <v>0</v>
      </c>
      <c r="BO7">
        <v>0</v>
      </c>
      <c r="BP7">
        <v>0</v>
      </c>
      <c r="BR7" t="s">
        <v>510</v>
      </c>
      <c r="BS7" t="s">
        <v>505</v>
      </c>
      <c r="BU7" t="s">
        <v>506</v>
      </c>
      <c r="BV7" t="s">
        <v>507</v>
      </c>
      <c r="BW7">
        <v>2019</v>
      </c>
      <c r="BX7">
        <v>4</v>
      </c>
      <c r="BY7" t="s">
        <v>508</v>
      </c>
      <c r="BZ7">
        <v>1</v>
      </c>
      <c r="CA7">
        <v>0</v>
      </c>
      <c r="CB7">
        <v>0</v>
      </c>
      <c r="CC7">
        <v>0</v>
      </c>
      <c r="CD7">
        <v>0</v>
      </c>
    </row>
    <row r="8" spans="1:82" x14ac:dyDescent="0.25">
      <c r="A8">
        <v>7</v>
      </c>
      <c r="B8" t="s">
        <v>116</v>
      </c>
      <c r="C8" t="s">
        <v>117</v>
      </c>
      <c r="D8" t="s">
        <v>57</v>
      </c>
      <c r="E8">
        <v>24</v>
      </c>
      <c r="F8" t="s">
        <v>481</v>
      </c>
      <c r="G8" t="s">
        <v>76</v>
      </c>
      <c r="H8" t="s">
        <v>60</v>
      </c>
      <c r="I8" t="s">
        <v>61</v>
      </c>
      <c r="J8" t="s">
        <v>62</v>
      </c>
      <c r="K8" t="s">
        <v>63</v>
      </c>
      <c r="M8" t="s">
        <v>77</v>
      </c>
      <c r="N8" t="s">
        <v>70</v>
      </c>
      <c r="O8">
        <v>4</v>
      </c>
      <c r="P8" s="1" t="s">
        <v>118</v>
      </c>
      <c r="Q8" s="5">
        <v>100</v>
      </c>
      <c r="R8" s="5">
        <v>0</v>
      </c>
      <c r="S8" s="1">
        <v>0</v>
      </c>
      <c r="T8" t="s">
        <v>119</v>
      </c>
      <c r="U8" s="7">
        <v>50000</v>
      </c>
      <c r="V8" s="2" t="s">
        <v>69</v>
      </c>
      <c r="W8">
        <v>0</v>
      </c>
      <c r="X8">
        <v>0</v>
      </c>
      <c r="Y8" t="s">
        <v>70</v>
      </c>
      <c r="Z8" t="s">
        <v>70</v>
      </c>
      <c r="AA8" s="2">
        <v>0</v>
      </c>
      <c r="AB8" s="2">
        <v>0</v>
      </c>
      <c r="AC8" s="2">
        <v>0</v>
      </c>
      <c r="AD8" s="3" t="s">
        <v>70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70</v>
      </c>
      <c r="AN8" s="5" t="s">
        <v>72</v>
      </c>
      <c r="AO8" t="s">
        <v>83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G8" t="s">
        <v>63</v>
      </c>
      <c r="BI8">
        <v>1</v>
      </c>
      <c r="BJ8" s="2">
        <v>1</v>
      </c>
      <c r="BK8" t="s">
        <v>516</v>
      </c>
      <c r="BL8">
        <v>1</v>
      </c>
      <c r="BM8">
        <v>0</v>
      </c>
      <c r="BN8">
        <v>0</v>
      </c>
      <c r="BO8">
        <v>0</v>
      </c>
      <c r="BP8">
        <v>0</v>
      </c>
      <c r="BR8" t="s">
        <v>522</v>
      </c>
      <c r="BS8" t="s">
        <v>71</v>
      </c>
      <c r="BT8" t="s">
        <v>523</v>
      </c>
      <c r="BU8" t="s">
        <v>524</v>
      </c>
      <c r="BV8" t="s">
        <v>507</v>
      </c>
      <c r="BW8">
        <v>2019</v>
      </c>
      <c r="BX8">
        <v>4</v>
      </c>
      <c r="BY8" t="s">
        <v>508</v>
      </c>
      <c r="BZ8">
        <v>1</v>
      </c>
      <c r="CA8">
        <v>0</v>
      </c>
      <c r="CB8">
        <v>0</v>
      </c>
      <c r="CC8">
        <v>0</v>
      </c>
      <c r="CD8">
        <v>0</v>
      </c>
    </row>
    <row r="9" spans="1:82" x14ac:dyDescent="0.25">
      <c r="A9">
        <v>8</v>
      </c>
      <c r="B9" t="s">
        <v>120</v>
      </c>
      <c r="C9" t="s">
        <v>121</v>
      </c>
      <c r="D9" t="s">
        <v>97</v>
      </c>
      <c r="E9">
        <v>44</v>
      </c>
      <c r="F9" t="s">
        <v>58</v>
      </c>
      <c r="G9" t="s">
        <v>122</v>
      </c>
      <c r="H9" t="s">
        <v>60</v>
      </c>
      <c r="I9" t="s">
        <v>113</v>
      </c>
      <c r="J9" t="s">
        <v>62</v>
      </c>
      <c r="K9" t="s">
        <v>84</v>
      </c>
      <c r="L9" t="s">
        <v>98</v>
      </c>
      <c r="M9" t="s">
        <v>123</v>
      </c>
      <c r="N9" t="s">
        <v>70</v>
      </c>
      <c r="O9">
        <v>7</v>
      </c>
      <c r="P9" s="1" t="s">
        <v>118</v>
      </c>
      <c r="Q9" s="5">
        <v>100</v>
      </c>
      <c r="R9" s="5">
        <v>0</v>
      </c>
      <c r="S9" s="1">
        <v>0</v>
      </c>
      <c r="T9" t="s">
        <v>124</v>
      </c>
      <c r="U9" s="7">
        <v>50000</v>
      </c>
      <c r="V9" s="2" t="s">
        <v>69</v>
      </c>
      <c r="W9">
        <v>0</v>
      </c>
      <c r="X9">
        <v>0</v>
      </c>
      <c r="Y9" t="s">
        <v>70</v>
      </c>
      <c r="Z9" t="s">
        <v>70</v>
      </c>
      <c r="AA9" s="2">
        <v>0</v>
      </c>
      <c r="AB9" s="2">
        <v>0</v>
      </c>
      <c r="AC9" s="2">
        <v>0</v>
      </c>
      <c r="AD9" s="3" t="s">
        <v>70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70</v>
      </c>
      <c r="AN9" s="5" t="s">
        <v>72</v>
      </c>
      <c r="AO9" t="s">
        <v>94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G9" t="s">
        <v>84</v>
      </c>
      <c r="BH9" t="s">
        <v>125</v>
      </c>
      <c r="BI9">
        <v>1</v>
      </c>
      <c r="BJ9" s="2">
        <v>2</v>
      </c>
      <c r="BK9" t="s">
        <v>503</v>
      </c>
      <c r="BL9">
        <v>0</v>
      </c>
      <c r="BM9">
        <v>0</v>
      </c>
      <c r="BN9">
        <v>0</v>
      </c>
      <c r="BO9">
        <v>1</v>
      </c>
      <c r="BP9">
        <v>0</v>
      </c>
      <c r="BR9" t="s">
        <v>525</v>
      </c>
      <c r="BS9" t="s">
        <v>505</v>
      </c>
      <c r="BU9" t="s">
        <v>512</v>
      </c>
      <c r="BV9" t="s">
        <v>507</v>
      </c>
      <c r="BW9">
        <v>1999</v>
      </c>
      <c r="BX9">
        <v>24</v>
      </c>
      <c r="BY9" t="s">
        <v>508</v>
      </c>
      <c r="BZ9">
        <v>1</v>
      </c>
      <c r="CA9">
        <v>0</v>
      </c>
      <c r="CB9">
        <v>0</v>
      </c>
      <c r="CC9">
        <v>0</v>
      </c>
      <c r="CD9">
        <v>0</v>
      </c>
    </row>
    <row r="10" spans="1:82" x14ac:dyDescent="0.25">
      <c r="A10">
        <v>9</v>
      </c>
      <c r="B10" t="s">
        <v>126</v>
      </c>
      <c r="C10" t="s">
        <v>70</v>
      </c>
      <c r="D10" t="s">
        <v>57</v>
      </c>
      <c r="E10">
        <v>67</v>
      </c>
      <c r="F10" t="s">
        <v>58</v>
      </c>
      <c r="G10" t="s">
        <v>105</v>
      </c>
      <c r="H10" t="s">
        <v>60</v>
      </c>
      <c r="I10" t="s">
        <v>61</v>
      </c>
      <c r="J10" t="s">
        <v>62</v>
      </c>
      <c r="K10" t="s">
        <v>63</v>
      </c>
      <c r="M10" t="s">
        <v>64</v>
      </c>
      <c r="N10" t="s">
        <v>70</v>
      </c>
      <c r="O10">
        <v>7</v>
      </c>
      <c r="P10" s="1" t="s">
        <v>107</v>
      </c>
      <c r="Q10" s="5">
        <v>80</v>
      </c>
      <c r="R10" s="5">
        <v>20</v>
      </c>
      <c r="S10" s="1">
        <v>0</v>
      </c>
      <c r="T10" t="s">
        <v>127</v>
      </c>
      <c r="U10" s="7">
        <v>100000</v>
      </c>
      <c r="V10" s="2" t="s">
        <v>128</v>
      </c>
      <c r="W10">
        <v>5</v>
      </c>
      <c r="X10">
        <v>5</v>
      </c>
      <c r="Y10" t="s">
        <v>70</v>
      </c>
      <c r="Z10" t="s">
        <v>70</v>
      </c>
      <c r="AA10" s="2">
        <v>0</v>
      </c>
      <c r="AB10" s="2">
        <v>0</v>
      </c>
      <c r="AC10" s="2">
        <v>0</v>
      </c>
      <c r="AD10" s="3" t="s">
        <v>70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70</v>
      </c>
      <c r="AN10" s="5" t="s">
        <v>72</v>
      </c>
      <c r="AO10" t="s">
        <v>129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G10" t="s">
        <v>63</v>
      </c>
      <c r="BI10">
        <v>1</v>
      </c>
      <c r="BJ10" s="2">
        <v>1</v>
      </c>
      <c r="BK10" t="s">
        <v>509</v>
      </c>
      <c r="BL10">
        <v>0</v>
      </c>
      <c r="BM10">
        <v>1</v>
      </c>
      <c r="BN10">
        <v>0</v>
      </c>
      <c r="BO10">
        <v>0</v>
      </c>
      <c r="BP10">
        <v>0</v>
      </c>
      <c r="BR10" t="s">
        <v>526</v>
      </c>
      <c r="BS10" t="s">
        <v>505</v>
      </c>
      <c r="BU10" t="s">
        <v>512</v>
      </c>
      <c r="BV10" t="s">
        <v>507</v>
      </c>
      <c r="BW10">
        <v>1982</v>
      </c>
      <c r="BX10">
        <v>41</v>
      </c>
      <c r="BY10" t="s">
        <v>508</v>
      </c>
      <c r="BZ10">
        <v>1</v>
      </c>
      <c r="CA10">
        <v>0</v>
      </c>
      <c r="CB10">
        <v>0</v>
      </c>
      <c r="CC10">
        <v>0</v>
      </c>
      <c r="CD10">
        <v>0</v>
      </c>
    </row>
    <row r="11" spans="1:82" x14ac:dyDescent="0.25">
      <c r="A11">
        <v>10</v>
      </c>
      <c r="B11" t="s">
        <v>130</v>
      </c>
      <c r="C11" t="s">
        <v>131</v>
      </c>
      <c r="D11" t="s">
        <v>97</v>
      </c>
      <c r="E11">
        <v>41</v>
      </c>
      <c r="F11" t="s">
        <v>58</v>
      </c>
      <c r="G11" t="s">
        <v>105</v>
      </c>
      <c r="H11" t="s">
        <v>60</v>
      </c>
      <c r="I11" t="s">
        <v>88</v>
      </c>
      <c r="J11" t="s">
        <v>62</v>
      </c>
      <c r="K11" t="s">
        <v>84</v>
      </c>
      <c r="L11" t="s">
        <v>98</v>
      </c>
      <c r="M11" t="s">
        <v>64</v>
      </c>
      <c r="N11" t="s">
        <v>70</v>
      </c>
      <c r="O11">
        <v>6</v>
      </c>
      <c r="P11" s="1" t="s">
        <v>132</v>
      </c>
      <c r="Q11" s="5">
        <v>100</v>
      </c>
      <c r="R11" s="5">
        <v>0</v>
      </c>
      <c r="S11" s="1">
        <v>0</v>
      </c>
      <c r="T11" t="s">
        <v>115</v>
      </c>
      <c r="U11" s="7">
        <v>200000</v>
      </c>
      <c r="V11" s="2" t="s">
        <v>133</v>
      </c>
      <c r="W11">
        <v>5</v>
      </c>
      <c r="X11">
        <v>10</v>
      </c>
      <c r="Y11" t="s">
        <v>70</v>
      </c>
      <c r="Z11" t="s">
        <v>70</v>
      </c>
      <c r="AA11" s="2">
        <v>0</v>
      </c>
      <c r="AB11" s="2">
        <v>0</v>
      </c>
      <c r="AC11" s="2">
        <v>0</v>
      </c>
      <c r="AD11" s="3" t="s">
        <v>70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70</v>
      </c>
      <c r="AN11" s="5" t="s">
        <v>72</v>
      </c>
      <c r="AO11" t="s">
        <v>83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G11" t="s">
        <v>63</v>
      </c>
      <c r="BI11">
        <v>1</v>
      </c>
      <c r="BJ11" s="2">
        <v>1.25</v>
      </c>
      <c r="BK11" t="s">
        <v>509</v>
      </c>
      <c r="BL11">
        <v>0</v>
      </c>
      <c r="BM11">
        <v>1</v>
      </c>
      <c r="BN11">
        <v>0</v>
      </c>
      <c r="BO11">
        <v>0</v>
      </c>
      <c r="BP11">
        <v>0</v>
      </c>
      <c r="BR11" t="s">
        <v>527</v>
      </c>
      <c r="BS11" t="s">
        <v>505</v>
      </c>
      <c r="BU11" t="s">
        <v>512</v>
      </c>
      <c r="BV11" t="s">
        <v>513</v>
      </c>
      <c r="BW11">
        <v>2007</v>
      </c>
      <c r="BX11">
        <v>16</v>
      </c>
      <c r="BY11" t="s">
        <v>508</v>
      </c>
      <c r="BZ11">
        <v>1</v>
      </c>
      <c r="CA11">
        <v>0</v>
      </c>
      <c r="CB11">
        <v>0</v>
      </c>
      <c r="CC11">
        <v>0</v>
      </c>
      <c r="CD11">
        <v>0</v>
      </c>
    </row>
    <row r="12" spans="1:82" x14ac:dyDescent="0.25">
      <c r="A12">
        <v>11</v>
      </c>
      <c r="B12" t="s">
        <v>134</v>
      </c>
      <c r="C12" t="s">
        <v>135</v>
      </c>
      <c r="D12" t="s">
        <v>97</v>
      </c>
      <c r="E12">
        <v>50</v>
      </c>
      <c r="F12" t="s">
        <v>87</v>
      </c>
      <c r="G12" t="s">
        <v>76</v>
      </c>
      <c r="H12" t="s">
        <v>60</v>
      </c>
      <c r="I12" t="s">
        <v>113</v>
      </c>
      <c r="J12" t="s">
        <v>62</v>
      </c>
      <c r="K12" t="s">
        <v>63</v>
      </c>
      <c r="M12" t="s">
        <v>64</v>
      </c>
      <c r="N12" t="s">
        <v>70</v>
      </c>
      <c r="O12">
        <v>1</v>
      </c>
      <c r="P12" s="1" t="s">
        <v>136</v>
      </c>
      <c r="Q12" s="5">
        <v>100</v>
      </c>
      <c r="R12" s="5">
        <v>0</v>
      </c>
      <c r="S12" s="1">
        <v>0</v>
      </c>
      <c r="T12" t="s">
        <v>137</v>
      </c>
      <c r="U12" s="7">
        <v>30000</v>
      </c>
      <c r="V12" s="2" t="s">
        <v>128</v>
      </c>
      <c r="W12">
        <v>5</v>
      </c>
      <c r="X12">
        <v>5</v>
      </c>
      <c r="Y12" t="s">
        <v>70</v>
      </c>
      <c r="Z12" t="s">
        <v>70</v>
      </c>
      <c r="AA12" s="2">
        <v>0</v>
      </c>
      <c r="AB12" s="2">
        <v>0</v>
      </c>
      <c r="AC12" s="2">
        <v>0</v>
      </c>
      <c r="AD12" s="3" t="s">
        <v>70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70</v>
      </c>
      <c r="AN12" s="5" t="s">
        <v>72</v>
      </c>
      <c r="AO12" t="s">
        <v>73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G12" t="s">
        <v>63</v>
      </c>
      <c r="BI12">
        <v>1</v>
      </c>
      <c r="BJ12" s="2">
        <v>0.25</v>
      </c>
      <c r="BK12" t="s">
        <v>509</v>
      </c>
      <c r="BL12">
        <v>0</v>
      </c>
      <c r="BM12">
        <v>1</v>
      </c>
      <c r="BN12">
        <v>0</v>
      </c>
      <c r="BO12">
        <v>0</v>
      </c>
      <c r="BP12">
        <v>0</v>
      </c>
      <c r="BR12" t="s">
        <v>528</v>
      </c>
      <c r="BS12" t="s">
        <v>511</v>
      </c>
      <c r="BU12" t="s">
        <v>506</v>
      </c>
      <c r="BV12" t="s">
        <v>507</v>
      </c>
      <c r="BW12">
        <v>2017</v>
      </c>
      <c r="BX12">
        <v>6</v>
      </c>
      <c r="BY12" t="s">
        <v>508</v>
      </c>
      <c r="BZ12">
        <v>1</v>
      </c>
      <c r="CA12">
        <v>0</v>
      </c>
      <c r="CB12">
        <v>0</v>
      </c>
      <c r="CC12">
        <v>0</v>
      </c>
      <c r="CD12">
        <v>0</v>
      </c>
    </row>
    <row r="13" spans="1:82" x14ac:dyDescent="0.25">
      <c r="A13">
        <v>12</v>
      </c>
      <c r="B13" t="s">
        <v>138</v>
      </c>
      <c r="C13" t="s">
        <v>70</v>
      </c>
      <c r="D13" t="s">
        <v>57</v>
      </c>
      <c r="E13">
        <v>38</v>
      </c>
      <c r="F13" t="s">
        <v>58</v>
      </c>
      <c r="G13" t="s">
        <v>76</v>
      </c>
      <c r="H13" t="s">
        <v>60</v>
      </c>
      <c r="I13" t="s">
        <v>139</v>
      </c>
      <c r="J13" t="s">
        <v>62</v>
      </c>
      <c r="K13" t="s">
        <v>63</v>
      </c>
      <c r="M13" t="s">
        <v>64</v>
      </c>
      <c r="N13" t="s">
        <v>70</v>
      </c>
      <c r="O13">
        <v>3</v>
      </c>
      <c r="P13" s="1" t="s">
        <v>100</v>
      </c>
      <c r="Q13" s="5">
        <v>70</v>
      </c>
      <c r="R13" s="5">
        <v>30</v>
      </c>
      <c r="S13" s="1">
        <v>0</v>
      </c>
      <c r="T13" t="s">
        <v>140</v>
      </c>
      <c r="U13" s="7">
        <v>50000</v>
      </c>
      <c r="V13" s="2" t="s">
        <v>110</v>
      </c>
      <c r="W13">
        <v>1</v>
      </c>
      <c r="X13">
        <v>1</v>
      </c>
      <c r="Y13" t="s">
        <v>70</v>
      </c>
      <c r="Z13" t="s">
        <v>70</v>
      </c>
      <c r="AA13" s="2">
        <v>0</v>
      </c>
      <c r="AB13" s="2">
        <v>0</v>
      </c>
      <c r="AC13" s="2">
        <v>0</v>
      </c>
      <c r="AD13" s="3" t="s">
        <v>70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70</v>
      </c>
      <c r="AN13" s="5" t="s">
        <v>72</v>
      </c>
      <c r="AO13" t="s">
        <v>83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G13" t="s">
        <v>63</v>
      </c>
      <c r="BI13">
        <v>1</v>
      </c>
      <c r="BJ13" s="2">
        <v>0.25</v>
      </c>
      <c r="BK13" t="s">
        <v>503</v>
      </c>
      <c r="BL13">
        <v>0</v>
      </c>
      <c r="BM13">
        <v>0</v>
      </c>
      <c r="BN13">
        <v>0</v>
      </c>
      <c r="BO13">
        <v>1</v>
      </c>
      <c r="BP13">
        <v>0</v>
      </c>
      <c r="BR13" t="s">
        <v>529</v>
      </c>
      <c r="BS13" t="s">
        <v>530</v>
      </c>
      <c r="BU13" t="s">
        <v>515</v>
      </c>
      <c r="BV13" t="s">
        <v>513</v>
      </c>
      <c r="BW13">
        <v>2004</v>
      </c>
      <c r="BX13">
        <v>19</v>
      </c>
      <c r="BY13" t="s">
        <v>508</v>
      </c>
      <c r="BZ13">
        <v>1</v>
      </c>
      <c r="CA13">
        <v>0</v>
      </c>
      <c r="CB13">
        <v>0</v>
      </c>
      <c r="CC13">
        <v>0</v>
      </c>
      <c r="CD13">
        <v>0</v>
      </c>
    </row>
    <row r="14" spans="1:82" x14ac:dyDescent="0.25">
      <c r="A14">
        <v>13</v>
      </c>
      <c r="B14" t="s">
        <v>141</v>
      </c>
      <c r="C14" t="s">
        <v>142</v>
      </c>
      <c r="D14" t="s">
        <v>57</v>
      </c>
      <c r="E14">
        <v>54</v>
      </c>
      <c r="F14" t="s">
        <v>58</v>
      </c>
      <c r="G14" t="s">
        <v>105</v>
      </c>
      <c r="H14" t="s">
        <v>60</v>
      </c>
      <c r="I14" t="s">
        <v>61</v>
      </c>
      <c r="J14" t="s">
        <v>62</v>
      </c>
      <c r="K14" t="s">
        <v>63</v>
      </c>
      <c r="M14" t="s">
        <v>64</v>
      </c>
      <c r="N14" t="s">
        <v>70</v>
      </c>
      <c r="O14">
        <v>6</v>
      </c>
      <c r="P14" s="1" t="s">
        <v>143</v>
      </c>
      <c r="Q14" s="5">
        <v>70</v>
      </c>
      <c r="R14" s="5">
        <v>30</v>
      </c>
      <c r="S14" s="1">
        <v>0</v>
      </c>
      <c r="T14" t="s">
        <v>115</v>
      </c>
      <c r="U14" s="7">
        <v>130000</v>
      </c>
      <c r="V14" s="2" t="s">
        <v>128</v>
      </c>
      <c r="W14">
        <v>5</v>
      </c>
      <c r="X14">
        <v>5</v>
      </c>
      <c r="Y14" t="s">
        <v>70</v>
      </c>
      <c r="Z14" t="s">
        <v>70</v>
      </c>
      <c r="AA14" s="2">
        <v>0</v>
      </c>
      <c r="AB14" s="2">
        <v>0</v>
      </c>
      <c r="AC14" s="2">
        <v>0</v>
      </c>
      <c r="AD14" s="3" t="s">
        <v>70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70</v>
      </c>
      <c r="AN14" s="5" t="s">
        <v>72</v>
      </c>
      <c r="AO14" t="s">
        <v>83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G14" t="s">
        <v>63</v>
      </c>
      <c r="BI14">
        <v>1</v>
      </c>
      <c r="BJ14" s="2">
        <v>1.25</v>
      </c>
      <c r="BK14" t="s">
        <v>503</v>
      </c>
      <c r="BL14">
        <v>0</v>
      </c>
      <c r="BM14">
        <v>0</v>
      </c>
      <c r="BN14">
        <v>0</v>
      </c>
      <c r="BO14">
        <v>1</v>
      </c>
      <c r="BP14">
        <v>0</v>
      </c>
      <c r="BR14" t="s">
        <v>527</v>
      </c>
      <c r="BS14" t="s">
        <v>511</v>
      </c>
      <c r="BU14" t="s">
        <v>515</v>
      </c>
      <c r="BV14" t="s">
        <v>507</v>
      </c>
      <c r="BW14">
        <v>1992</v>
      </c>
      <c r="BX14">
        <v>31</v>
      </c>
      <c r="BY14" t="s">
        <v>508</v>
      </c>
      <c r="BZ14">
        <v>1</v>
      </c>
      <c r="CA14">
        <v>0</v>
      </c>
      <c r="CB14">
        <v>0</v>
      </c>
      <c r="CC14">
        <v>0</v>
      </c>
      <c r="CD14">
        <v>0</v>
      </c>
    </row>
    <row r="15" spans="1:82" x14ac:dyDescent="0.25">
      <c r="A15">
        <v>14</v>
      </c>
      <c r="B15" t="s">
        <v>144</v>
      </c>
      <c r="C15" t="s">
        <v>145</v>
      </c>
      <c r="D15" t="s">
        <v>57</v>
      </c>
      <c r="E15">
        <v>52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M15" t="s">
        <v>146</v>
      </c>
      <c r="N15" t="s">
        <v>70</v>
      </c>
      <c r="O15">
        <v>5</v>
      </c>
      <c r="P15" s="1" t="s">
        <v>147</v>
      </c>
      <c r="Q15" s="5">
        <v>82</v>
      </c>
      <c r="R15" s="5">
        <v>18</v>
      </c>
      <c r="S15" s="1">
        <v>0</v>
      </c>
      <c r="T15" t="s">
        <v>81</v>
      </c>
      <c r="U15" s="7">
        <v>130000</v>
      </c>
      <c r="V15" s="2" t="s">
        <v>69</v>
      </c>
      <c r="W15">
        <v>0</v>
      </c>
      <c r="X15">
        <v>0</v>
      </c>
      <c r="Y15" t="s">
        <v>148</v>
      </c>
      <c r="Z15" t="s">
        <v>149</v>
      </c>
      <c r="AA15" s="2" t="s">
        <v>69</v>
      </c>
      <c r="AB15" s="2">
        <v>0</v>
      </c>
      <c r="AC15" s="2">
        <v>0</v>
      </c>
      <c r="AD15" s="3" t="s">
        <v>70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t="s">
        <v>70</v>
      </c>
      <c r="AN15" s="5" t="s">
        <v>72</v>
      </c>
      <c r="AO15" t="s">
        <v>94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G15" t="s">
        <v>63</v>
      </c>
      <c r="BI15">
        <v>1</v>
      </c>
      <c r="BJ15" s="2">
        <v>0.25</v>
      </c>
      <c r="BK15" t="s">
        <v>516</v>
      </c>
      <c r="BL15">
        <v>1</v>
      </c>
      <c r="BM15">
        <v>0</v>
      </c>
      <c r="BN15">
        <v>0</v>
      </c>
      <c r="BO15">
        <v>0</v>
      </c>
      <c r="BP15">
        <v>0</v>
      </c>
      <c r="BR15" t="s">
        <v>527</v>
      </c>
      <c r="BS15" t="s">
        <v>511</v>
      </c>
      <c r="BU15" t="s">
        <v>512</v>
      </c>
      <c r="BV15" t="s">
        <v>513</v>
      </c>
      <c r="BW15">
        <v>1998</v>
      </c>
      <c r="BX15">
        <v>25</v>
      </c>
      <c r="BY15" t="s">
        <v>508</v>
      </c>
      <c r="BZ15">
        <v>1</v>
      </c>
      <c r="CA15">
        <v>0</v>
      </c>
      <c r="CB15">
        <v>0</v>
      </c>
      <c r="CC15">
        <v>0</v>
      </c>
      <c r="CD15">
        <v>0</v>
      </c>
    </row>
    <row r="16" spans="1:82" x14ac:dyDescent="0.25">
      <c r="A16">
        <v>15</v>
      </c>
      <c r="B16" t="s">
        <v>150</v>
      </c>
      <c r="C16" t="s">
        <v>151</v>
      </c>
      <c r="D16" t="s">
        <v>97</v>
      </c>
      <c r="E16">
        <v>24</v>
      </c>
      <c r="F16" t="s">
        <v>87</v>
      </c>
      <c r="G16" t="s">
        <v>76</v>
      </c>
      <c r="H16" t="s">
        <v>60</v>
      </c>
      <c r="I16" t="s">
        <v>113</v>
      </c>
      <c r="J16" t="s">
        <v>62</v>
      </c>
      <c r="K16" t="s">
        <v>84</v>
      </c>
      <c r="L16" t="s">
        <v>98</v>
      </c>
      <c r="M16" t="s">
        <v>89</v>
      </c>
      <c r="N16" t="s">
        <v>70</v>
      </c>
      <c r="O16">
        <v>7</v>
      </c>
      <c r="P16" s="1" t="s">
        <v>91</v>
      </c>
      <c r="Q16" s="5">
        <v>80</v>
      </c>
      <c r="R16" s="5">
        <v>20</v>
      </c>
      <c r="S16" s="1">
        <v>0</v>
      </c>
      <c r="T16" t="s">
        <v>316</v>
      </c>
      <c r="U16" s="7">
        <v>30000</v>
      </c>
      <c r="V16" s="2">
        <v>50</v>
      </c>
      <c r="W16">
        <v>30</v>
      </c>
      <c r="X16">
        <v>20</v>
      </c>
      <c r="Y16" t="s">
        <v>70</v>
      </c>
      <c r="Z16" t="s">
        <v>70</v>
      </c>
      <c r="AA16" s="2">
        <v>0</v>
      </c>
      <c r="AB16" s="2">
        <v>0</v>
      </c>
      <c r="AC16" s="2">
        <v>0</v>
      </c>
      <c r="AD16" s="3" t="s">
        <v>70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70</v>
      </c>
      <c r="AN16" s="5" t="s">
        <v>72</v>
      </c>
      <c r="AO16" t="s">
        <v>94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G16" t="s">
        <v>63</v>
      </c>
      <c r="BI16">
        <v>1</v>
      </c>
      <c r="BJ16" s="2">
        <v>0.75</v>
      </c>
      <c r="BK16" t="s">
        <v>531</v>
      </c>
      <c r="BL16">
        <v>0</v>
      </c>
      <c r="BM16">
        <v>0</v>
      </c>
      <c r="BN16">
        <v>1</v>
      </c>
      <c r="BO16">
        <v>0</v>
      </c>
      <c r="BP16">
        <v>0</v>
      </c>
      <c r="BR16" t="s">
        <v>532</v>
      </c>
      <c r="BS16" t="s">
        <v>519</v>
      </c>
      <c r="BU16" t="s">
        <v>533</v>
      </c>
      <c r="BV16" t="s">
        <v>521</v>
      </c>
      <c r="BW16">
        <v>2019</v>
      </c>
      <c r="BX16">
        <v>4</v>
      </c>
      <c r="BY16" t="s">
        <v>508</v>
      </c>
      <c r="BZ16">
        <v>1</v>
      </c>
      <c r="CA16">
        <v>0</v>
      </c>
      <c r="CB16">
        <v>0</v>
      </c>
      <c r="CC16">
        <v>0</v>
      </c>
      <c r="CD16">
        <v>0</v>
      </c>
    </row>
    <row r="17" spans="1:82" x14ac:dyDescent="0.25">
      <c r="A17">
        <v>16</v>
      </c>
      <c r="B17" t="s">
        <v>153</v>
      </c>
      <c r="C17" t="s">
        <v>154</v>
      </c>
      <c r="D17" t="s">
        <v>97</v>
      </c>
      <c r="E17">
        <v>64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 t="s">
        <v>84</v>
      </c>
      <c r="L17" t="s">
        <v>98</v>
      </c>
      <c r="M17" t="s">
        <v>89</v>
      </c>
      <c r="N17" t="s">
        <v>70</v>
      </c>
      <c r="O17">
        <v>3</v>
      </c>
      <c r="P17" s="1" t="s">
        <v>118</v>
      </c>
      <c r="Q17" s="5">
        <f>35000/P17*100</f>
        <v>70</v>
      </c>
      <c r="R17" s="5">
        <v>30</v>
      </c>
      <c r="S17" s="1">
        <v>0</v>
      </c>
      <c r="T17" t="s">
        <v>316</v>
      </c>
      <c r="U17" s="7">
        <v>35000</v>
      </c>
      <c r="V17" s="2">
        <v>80</v>
      </c>
      <c r="W17">
        <v>15</v>
      </c>
      <c r="X17">
        <v>5</v>
      </c>
      <c r="Y17" t="s">
        <v>70</v>
      </c>
      <c r="Z17" t="s">
        <v>70</v>
      </c>
      <c r="AA17" s="2">
        <v>0</v>
      </c>
      <c r="AB17" s="2">
        <v>0</v>
      </c>
      <c r="AC17" s="2">
        <v>0</v>
      </c>
      <c r="AD17" s="3" t="s">
        <v>70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70</v>
      </c>
      <c r="AN17" s="5" t="s">
        <v>72</v>
      </c>
      <c r="AO17" t="s">
        <v>73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G17" t="s">
        <v>63</v>
      </c>
      <c r="BI17">
        <v>1</v>
      </c>
      <c r="BJ17" s="2">
        <v>1</v>
      </c>
      <c r="BK17" t="s">
        <v>509</v>
      </c>
      <c r="BL17">
        <v>0</v>
      </c>
      <c r="BM17">
        <v>1</v>
      </c>
      <c r="BN17">
        <v>0</v>
      </c>
      <c r="BO17">
        <v>0</v>
      </c>
      <c r="BP17">
        <v>0</v>
      </c>
      <c r="BR17" t="s">
        <v>534</v>
      </c>
      <c r="BS17" t="s">
        <v>519</v>
      </c>
      <c r="BU17" t="s">
        <v>533</v>
      </c>
      <c r="BV17" t="s">
        <v>521</v>
      </c>
      <c r="BW17">
        <v>2006</v>
      </c>
      <c r="BX17">
        <v>17</v>
      </c>
      <c r="BY17" t="s">
        <v>508</v>
      </c>
      <c r="BZ17">
        <v>1</v>
      </c>
      <c r="CA17">
        <v>0</v>
      </c>
      <c r="CB17">
        <v>0</v>
      </c>
      <c r="CC17">
        <v>0</v>
      </c>
      <c r="CD17">
        <v>0</v>
      </c>
    </row>
    <row r="18" spans="1:82" x14ac:dyDescent="0.25">
      <c r="A18">
        <v>17</v>
      </c>
      <c r="B18" t="s">
        <v>156</v>
      </c>
      <c r="C18" t="s">
        <v>157</v>
      </c>
      <c r="D18" t="s">
        <v>97</v>
      </c>
      <c r="E18">
        <v>35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M18" t="s">
        <v>146</v>
      </c>
      <c r="N18" t="s">
        <v>70</v>
      </c>
      <c r="O18">
        <v>3</v>
      </c>
      <c r="P18" s="1" t="s">
        <v>107</v>
      </c>
      <c r="Q18" s="5">
        <v>100</v>
      </c>
      <c r="R18" s="5">
        <v>0</v>
      </c>
      <c r="S18" s="1">
        <v>0</v>
      </c>
      <c r="T18" t="s">
        <v>316</v>
      </c>
      <c r="U18" s="7">
        <v>100000</v>
      </c>
      <c r="V18" s="2">
        <v>90</v>
      </c>
      <c r="W18">
        <v>5</v>
      </c>
      <c r="X18">
        <v>5</v>
      </c>
      <c r="Y18" t="s">
        <v>70</v>
      </c>
      <c r="Z18" t="s">
        <v>70</v>
      </c>
      <c r="AA18" s="2">
        <v>0</v>
      </c>
      <c r="AB18" s="2">
        <v>0</v>
      </c>
      <c r="AC18" s="2">
        <v>0</v>
      </c>
      <c r="AD18" s="3" t="s">
        <v>70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70</v>
      </c>
      <c r="AN18" s="5" t="s">
        <v>72</v>
      </c>
      <c r="AO18" t="s">
        <v>94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G18" t="s">
        <v>63</v>
      </c>
      <c r="BI18">
        <v>1</v>
      </c>
      <c r="BJ18" s="2">
        <v>1.25</v>
      </c>
      <c r="BK18" t="s">
        <v>503</v>
      </c>
      <c r="BL18">
        <v>0</v>
      </c>
      <c r="BM18">
        <v>0</v>
      </c>
      <c r="BN18">
        <v>0</v>
      </c>
      <c r="BO18">
        <v>1</v>
      </c>
      <c r="BP18">
        <v>0</v>
      </c>
      <c r="BR18" t="s">
        <v>535</v>
      </c>
      <c r="BS18" t="s">
        <v>511</v>
      </c>
      <c r="BU18" t="s">
        <v>515</v>
      </c>
      <c r="BV18" t="s">
        <v>507</v>
      </c>
      <c r="BW18">
        <v>2012</v>
      </c>
      <c r="BX18">
        <v>11</v>
      </c>
      <c r="BY18" t="s">
        <v>508</v>
      </c>
      <c r="BZ18">
        <v>1</v>
      </c>
      <c r="CA18">
        <v>0</v>
      </c>
      <c r="CB18">
        <v>0</v>
      </c>
      <c r="CC18">
        <v>0</v>
      </c>
      <c r="CD18">
        <v>0</v>
      </c>
    </row>
    <row r="19" spans="1:82" x14ac:dyDescent="0.25">
      <c r="A19">
        <v>18</v>
      </c>
      <c r="B19" t="s">
        <v>158</v>
      </c>
      <c r="C19" t="s">
        <v>159</v>
      </c>
      <c r="D19" t="s">
        <v>97</v>
      </c>
      <c r="E19">
        <v>31</v>
      </c>
      <c r="F19" t="s">
        <v>481</v>
      </c>
      <c r="G19" t="s">
        <v>76</v>
      </c>
      <c r="H19" t="s">
        <v>60</v>
      </c>
      <c r="I19" t="s">
        <v>88</v>
      </c>
      <c r="J19" t="s">
        <v>62</v>
      </c>
      <c r="K19" t="s">
        <v>84</v>
      </c>
      <c r="L19" t="s">
        <v>98</v>
      </c>
      <c r="M19" t="s">
        <v>160</v>
      </c>
      <c r="N19" t="s">
        <v>70</v>
      </c>
      <c r="O19">
        <v>4</v>
      </c>
      <c r="P19" s="1" t="s">
        <v>161</v>
      </c>
      <c r="Q19" s="5">
        <v>100</v>
      </c>
      <c r="R19" s="5">
        <v>0</v>
      </c>
      <c r="S19" s="1">
        <v>0</v>
      </c>
      <c r="T19" t="s">
        <v>162</v>
      </c>
      <c r="U19" s="7">
        <v>900000</v>
      </c>
      <c r="V19" s="2">
        <v>100</v>
      </c>
      <c r="W19">
        <v>0</v>
      </c>
      <c r="X19">
        <v>0</v>
      </c>
      <c r="Y19" t="s">
        <v>70</v>
      </c>
      <c r="Z19" t="s">
        <v>70</v>
      </c>
      <c r="AA19" s="2">
        <v>0</v>
      </c>
      <c r="AB19" s="2">
        <v>0</v>
      </c>
      <c r="AC19" s="2">
        <v>0</v>
      </c>
      <c r="AD19" s="3" t="s">
        <v>70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70</v>
      </c>
      <c r="AN19" s="5" t="s">
        <v>72</v>
      </c>
      <c r="AO19" t="s">
        <v>94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G19" t="s">
        <v>63</v>
      </c>
      <c r="BI19">
        <v>1</v>
      </c>
      <c r="BJ19" s="2">
        <v>0.25</v>
      </c>
      <c r="BK19" t="s">
        <v>531</v>
      </c>
      <c r="BL19">
        <v>0</v>
      </c>
      <c r="BM19">
        <v>0</v>
      </c>
      <c r="BN19">
        <v>1</v>
      </c>
      <c r="BO19">
        <v>0</v>
      </c>
      <c r="BP19">
        <v>0</v>
      </c>
      <c r="BR19" t="s">
        <v>536</v>
      </c>
      <c r="BS19" t="s">
        <v>511</v>
      </c>
      <c r="BU19" t="s">
        <v>512</v>
      </c>
      <c r="BV19" t="s">
        <v>507</v>
      </c>
      <c r="BW19">
        <v>2000</v>
      </c>
      <c r="BX19">
        <v>23</v>
      </c>
      <c r="BY19" t="s">
        <v>508</v>
      </c>
      <c r="BZ19">
        <v>1</v>
      </c>
      <c r="CA19">
        <v>0</v>
      </c>
      <c r="CB19">
        <v>0</v>
      </c>
      <c r="CC19">
        <v>0</v>
      </c>
      <c r="CD19">
        <v>0</v>
      </c>
    </row>
    <row r="20" spans="1:82" x14ac:dyDescent="0.25">
      <c r="A20">
        <v>19</v>
      </c>
      <c r="B20" t="s">
        <v>163</v>
      </c>
      <c r="C20" t="s">
        <v>164</v>
      </c>
      <c r="D20" t="s">
        <v>97</v>
      </c>
      <c r="E20">
        <v>31</v>
      </c>
      <c r="F20" t="s">
        <v>58</v>
      </c>
      <c r="G20" t="s">
        <v>59</v>
      </c>
      <c r="H20" t="s">
        <v>60</v>
      </c>
      <c r="I20" t="s">
        <v>113</v>
      </c>
      <c r="J20" t="s">
        <v>62</v>
      </c>
      <c r="K20" t="s">
        <v>84</v>
      </c>
      <c r="L20" t="s">
        <v>98</v>
      </c>
      <c r="M20" t="s">
        <v>146</v>
      </c>
      <c r="N20" t="s">
        <v>70</v>
      </c>
      <c r="O20">
        <v>4</v>
      </c>
      <c r="P20" s="1" t="s">
        <v>118</v>
      </c>
      <c r="Q20" s="5">
        <v>100</v>
      </c>
      <c r="R20" s="5">
        <v>0</v>
      </c>
      <c r="S20" s="1" t="s">
        <v>165</v>
      </c>
      <c r="T20" t="s">
        <v>70</v>
      </c>
      <c r="U20" s="7" t="s">
        <v>165</v>
      </c>
      <c r="V20" s="2">
        <v>0</v>
      </c>
      <c r="W20">
        <v>0</v>
      </c>
      <c r="X20">
        <v>0</v>
      </c>
      <c r="Y20" t="s">
        <v>81</v>
      </c>
      <c r="Z20" t="s">
        <v>166</v>
      </c>
      <c r="AA20" s="2" t="s">
        <v>133</v>
      </c>
      <c r="AB20" s="2" t="s">
        <v>167</v>
      </c>
      <c r="AC20" s="2" t="s">
        <v>165</v>
      </c>
      <c r="AD20" s="3" t="s">
        <v>70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t="s">
        <v>70</v>
      </c>
      <c r="AN20" s="5" t="s">
        <v>72</v>
      </c>
      <c r="AO20" t="s">
        <v>94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G20" t="s">
        <v>63</v>
      </c>
      <c r="BI20">
        <v>1</v>
      </c>
      <c r="BJ20" s="2">
        <v>0.1875</v>
      </c>
      <c r="BK20" t="s">
        <v>503</v>
      </c>
      <c r="BL20">
        <v>0</v>
      </c>
      <c r="BM20">
        <v>0</v>
      </c>
      <c r="BN20">
        <v>0</v>
      </c>
      <c r="BO20">
        <v>1</v>
      </c>
      <c r="BP20">
        <v>0</v>
      </c>
      <c r="BR20" t="s">
        <v>162</v>
      </c>
      <c r="BS20" t="s">
        <v>71</v>
      </c>
      <c r="BT20" t="s">
        <v>521</v>
      </c>
      <c r="BU20" t="s">
        <v>521</v>
      </c>
      <c r="BV20" t="s">
        <v>521</v>
      </c>
      <c r="BW20">
        <v>2010</v>
      </c>
      <c r="BX20">
        <v>13</v>
      </c>
      <c r="BY20" t="s">
        <v>508</v>
      </c>
      <c r="BZ20">
        <v>1</v>
      </c>
      <c r="CA20">
        <v>0</v>
      </c>
      <c r="CB20">
        <v>0</v>
      </c>
      <c r="CC20">
        <v>0</v>
      </c>
      <c r="CD20">
        <v>0</v>
      </c>
    </row>
    <row r="21" spans="1:82" x14ac:dyDescent="0.25">
      <c r="A21">
        <v>20</v>
      </c>
      <c r="B21" t="s">
        <v>168</v>
      </c>
      <c r="C21" t="s">
        <v>169</v>
      </c>
      <c r="D21" t="s">
        <v>97</v>
      </c>
      <c r="E21">
        <v>36</v>
      </c>
      <c r="F21" t="s">
        <v>481</v>
      </c>
      <c r="G21" t="s">
        <v>76</v>
      </c>
      <c r="H21" t="s">
        <v>60</v>
      </c>
      <c r="I21" t="s">
        <v>113</v>
      </c>
      <c r="J21" t="s">
        <v>62</v>
      </c>
      <c r="K21" t="s">
        <v>63</v>
      </c>
      <c r="M21" t="s">
        <v>146</v>
      </c>
      <c r="N21" t="s">
        <v>70</v>
      </c>
      <c r="O21">
        <v>7</v>
      </c>
      <c r="P21" s="1" t="s">
        <v>170</v>
      </c>
      <c r="Q21" s="5">
        <v>100</v>
      </c>
      <c r="R21" s="5">
        <v>0</v>
      </c>
      <c r="S21" s="1" t="s">
        <v>165</v>
      </c>
      <c r="T21" t="s">
        <v>171</v>
      </c>
      <c r="U21" s="7">
        <v>22000</v>
      </c>
      <c r="V21" s="2">
        <v>75</v>
      </c>
      <c r="W21">
        <v>20</v>
      </c>
      <c r="X21">
        <v>5</v>
      </c>
      <c r="Y21" t="s">
        <v>70</v>
      </c>
      <c r="Z21" t="s">
        <v>70</v>
      </c>
      <c r="AA21" s="2" t="s">
        <v>165</v>
      </c>
      <c r="AB21" s="2" t="s">
        <v>165</v>
      </c>
      <c r="AC21" s="2" t="s">
        <v>165</v>
      </c>
      <c r="AD21" s="3" t="s">
        <v>70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t="s">
        <v>70</v>
      </c>
      <c r="AN21" s="5" t="s">
        <v>72</v>
      </c>
      <c r="AO21" t="s">
        <v>94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G21" t="s">
        <v>63</v>
      </c>
      <c r="BI21">
        <v>1</v>
      </c>
      <c r="BJ21" s="2">
        <v>0.5</v>
      </c>
      <c r="BK21" t="s">
        <v>503</v>
      </c>
      <c r="BL21">
        <v>0</v>
      </c>
      <c r="BM21">
        <v>0</v>
      </c>
      <c r="BN21">
        <v>0</v>
      </c>
      <c r="BO21">
        <v>1</v>
      </c>
      <c r="BP21">
        <v>0</v>
      </c>
      <c r="BR21" t="s">
        <v>537</v>
      </c>
      <c r="BS21" t="s">
        <v>505</v>
      </c>
      <c r="BU21" t="s">
        <v>512</v>
      </c>
      <c r="BV21" t="s">
        <v>513</v>
      </c>
      <c r="BW21">
        <v>2021</v>
      </c>
      <c r="BX21">
        <v>2</v>
      </c>
      <c r="BY21" t="s">
        <v>508</v>
      </c>
      <c r="BZ21">
        <v>1</v>
      </c>
      <c r="CA21">
        <v>0</v>
      </c>
      <c r="CB21">
        <v>0</v>
      </c>
      <c r="CC21">
        <v>0</v>
      </c>
      <c r="CD21">
        <v>0</v>
      </c>
    </row>
    <row r="22" spans="1:82" x14ac:dyDescent="0.25">
      <c r="A22">
        <v>21</v>
      </c>
      <c r="B22" t="s">
        <v>172</v>
      </c>
      <c r="C22" t="s">
        <v>70</v>
      </c>
      <c r="D22" t="s">
        <v>57</v>
      </c>
      <c r="E22">
        <v>50</v>
      </c>
      <c r="F22" t="s">
        <v>58</v>
      </c>
      <c r="G22" t="s">
        <v>105</v>
      </c>
      <c r="H22" t="s">
        <v>60</v>
      </c>
      <c r="I22" t="s">
        <v>61</v>
      </c>
      <c r="J22" t="s">
        <v>62</v>
      </c>
      <c r="K22" t="s">
        <v>63</v>
      </c>
      <c r="M22" t="s">
        <v>146</v>
      </c>
      <c r="N22" t="s">
        <v>70</v>
      </c>
      <c r="O22">
        <v>8</v>
      </c>
      <c r="P22" s="1" t="s">
        <v>173</v>
      </c>
      <c r="Q22" s="5">
        <v>100</v>
      </c>
      <c r="R22" s="5">
        <v>0</v>
      </c>
      <c r="S22" s="1">
        <v>0</v>
      </c>
      <c r="T22" t="s">
        <v>115</v>
      </c>
      <c r="U22" s="7">
        <v>160000</v>
      </c>
      <c r="V22" s="2">
        <v>95</v>
      </c>
      <c r="W22">
        <v>2</v>
      </c>
      <c r="X22">
        <v>3</v>
      </c>
      <c r="Y22" t="s">
        <v>70</v>
      </c>
      <c r="Z22" t="s">
        <v>70</v>
      </c>
      <c r="AA22" s="2">
        <v>0</v>
      </c>
      <c r="AB22" s="2">
        <v>0</v>
      </c>
      <c r="AC22" s="2">
        <v>0</v>
      </c>
      <c r="AD22" s="3" t="s">
        <v>70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70</v>
      </c>
      <c r="AN22" s="5" t="s">
        <v>72</v>
      </c>
      <c r="AO22" t="s">
        <v>94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G22" t="s">
        <v>63</v>
      </c>
      <c r="BI22">
        <v>1</v>
      </c>
      <c r="BJ22" s="2">
        <v>0.75</v>
      </c>
      <c r="BK22" t="s">
        <v>503</v>
      </c>
      <c r="BL22">
        <v>0</v>
      </c>
      <c r="BM22">
        <v>0</v>
      </c>
      <c r="BN22">
        <v>0</v>
      </c>
      <c r="BO22">
        <v>1</v>
      </c>
      <c r="BP22">
        <v>0</v>
      </c>
      <c r="BR22" t="s">
        <v>538</v>
      </c>
      <c r="BS22" t="s">
        <v>505</v>
      </c>
      <c r="BT22">
        <v>1</v>
      </c>
      <c r="BU22" t="s">
        <v>512</v>
      </c>
      <c r="BV22" t="s">
        <v>507</v>
      </c>
      <c r="BW22">
        <v>2000</v>
      </c>
      <c r="BX22">
        <v>23</v>
      </c>
      <c r="BY22" t="s">
        <v>508</v>
      </c>
      <c r="BZ22">
        <v>1</v>
      </c>
      <c r="CA22">
        <v>0</v>
      </c>
      <c r="CB22">
        <v>0</v>
      </c>
      <c r="CC22">
        <v>0</v>
      </c>
      <c r="CD22">
        <v>0</v>
      </c>
    </row>
    <row r="23" spans="1:82" x14ac:dyDescent="0.25">
      <c r="A23">
        <v>22</v>
      </c>
      <c r="B23" t="s">
        <v>174</v>
      </c>
      <c r="C23" t="s">
        <v>175</v>
      </c>
      <c r="D23" t="s">
        <v>57</v>
      </c>
      <c r="E23">
        <v>67</v>
      </c>
      <c r="F23" t="s">
        <v>58</v>
      </c>
      <c r="G23" t="s">
        <v>105</v>
      </c>
      <c r="H23" t="s">
        <v>60</v>
      </c>
      <c r="I23" t="s">
        <v>61</v>
      </c>
      <c r="J23" t="s">
        <v>62</v>
      </c>
      <c r="K23" t="s">
        <v>63</v>
      </c>
      <c r="M23" t="s">
        <v>146</v>
      </c>
      <c r="N23" t="s">
        <v>70</v>
      </c>
      <c r="O23">
        <v>6</v>
      </c>
      <c r="P23" s="1" t="s">
        <v>173</v>
      </c>
      <c r="Q23" s="5">
        <v>40</v>
      </c>
      <c r="R23" s="5">
        <v>60</v>
      </c>
      <c r="S23" s="1">
        <v>0</v>
      </c>
      <c r="T23" t="s">
        <v>124</v>
      </c>
      <c r="U23" s="7">
        <v>60000</v>
      </c>
      <c r="V23" s="2">
        <v>95</v>
      </c>
      <c r="W23">
        <v>3</v>
      </c>
      <c r="X23">
        <v>2</v>
      </c>
      <c r="Y23" t="s">
        <v>70</v>
      </c>
      <c r="Z23" t="s">
        <v>70</v>
      </c>
      <c r="AA23" s="2">
        <v>0</v>
      </c>
      <c r="AB23" s="2">
        <v>0</v>
      </c>
      <c r="AC23" s="2">
        <v>0</v>
      </c>
      <c r="AD23" s="3" t="s">
        <v>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 t="s">
        <v>65</v>
      </c>
      <c r="AN23" s="5">
        <v>100000</v>
      </c>
      <c r="AO23" t="s">
        <v>177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G23" t="s">
        <v>63</v>
      </c>
      <c r="BI23">
        <v>1</v>
      </c>
      <c r="BJ23" s="2">
        <v>1.5</v>
      </c>
      <c r="BK23" t="s">
        <v>531</v>
      </c>
      <c r="BL23">
        <v>0</v>
      </c>
      <c r="BM23">
        <v>0</v>
      </c>
      <c r="BN23">
        <v>1</v>
      </c>
      <c r="BO23">
        <v>0</v>
      </c>
      <c r="BP23">
        <v>0</v>
      </c>
      <c r="BR23" t="s">
        <v>539</v>
      </c>
      <c r="BS23" t="s">
        <v>519</v>
      </c>
      <c r="BU23" t="s">
        <v>520</v>
      </c>
      <c r="BV23" t="s">
        <v>521</v>
      </c>
      <c r="BW23">
        <v>1994</v>
      </c>
      <c r="BX23">
        <v>29</v>
      </c>
      <c r="BY23" t="s">
        <v>508</v>
      </c>
      <c r="BZ23">
        <v>1</v>
      </c>
      <c r="CA23">
        <v>0</v>
      </c>
      <c r="CB23">
        <v>0</v>
      </c>
      <c r="CC23">
        <v>0</v>
      </c>
      <c r="CD23">
        <v>0</v>
      </c>
    </row>
    <row r="24" spans="1:82" x14ac:dyDescent="0.25">
      <c r="A24">
        <v>23</v>
      </c>
      <c r="B24" t="s">
        <v>178</v>
      </c>
      <c r="C24" t="s">
        <v>179</v>
      </c>
      <c r="D24" t="s">
        <v>57</v>
      </c>
      <c r="E24">
        <v>28</v>
      </c>
      <c r="F24" t="s">
        <v>58</v>
      </c>
      <c r="G24" t="s">
        <v>105</v>
      </c>
      <c r="H24" t="s">
        <v>60</v>
      </c>
      <c r="I24" t="s">
        <v>113</v>
      </c>
      <c r="J24" t="s">
        <v>62</v>
      </c>
      <c r="K24" t="s">
        <v>63</v>
      </c>
      <c r="M24" t="s">
        <v>146</v>
      </c>
      <c r="N24" t="s">
        <v>70</v>
      </c>
      <c r="O24">
        <v>4</v>
      </c>
      <c r="P24" s="1" t="s">
        <v>107</v>
      </c>
      <c r="Q24" s="5">
        <v>100</v>
      </c>
      <c r="R24" s="5">
        <v>0</v>
      </c>
      <c r="S24" s="1">
        <v>0</v>
      </c>
      <c r="T24" t="s">
        <v>180</v>
      </c>
      <c r="U24" s="7">
        <v>100000</v>
      </c>
      <c r="V24" s="2">
        <v>95</v>
      </c>
      <c r="W24">
        <v>2</v>
      </c>
      <c r="X24">
        <v>3</v>
      </c>
      <c r="Y24" t="s">
        <v>70</v>
      </c>
      <c r="Z24" t="s">
        <v>70</v>
      </c>
      <c r="AA24" s="2">
        <v>0</v>
      </c>
      <c r="AB24" s="2">
        <v>0</v>
      </c>
      <c r="AC24" s="2">
        <v>0</v>
      </c>
      <c r="AD24" s="3" t="s">
        <v>70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>
        <v>0</v>
      </c>
      <c r="AM24" t="s">
        <v>70</v>
      </c>
      <c r="AN24" s="5" t="s">
        <v>72</v>
      </c>
      <c r="AO24" t="s">
        <v>83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G24" t="s">
        <v>63</v>
      </c>
      <c r="BI24">
        <v>1</v>
      </c>
      <c r="BJ24" s="2">
        <v>0.5</v>
      </c>
      <c r="BK24" t="s">
        <v>503</v>
      </c>
      <c r="BL24">
        <v>0</v>
      </c>
      <c r="BM24">
        <v>0</v>
      </c>
      <c r="BN24">
        <v>0</v>
      </c>
      <c r="BO24">
        <v>1</v>
      </c>
      <c r="BP24">
        <v>0</v>
      </c>
      <c r="BR24" t="s">
        <v>540</v>
      </c>
      <c r="BS24" t="s">
        <v>530</v>
      </c>
      <c r="BU24" t="s">
        <v>515</v>
      </c>
      <c r="BV24" t="s">
        <v>507</v>
      </c>
      <c r="BW24">
        <v>2017</v>
      </c>
      <c r="BX24">
        <v>6</v>
      </c>
      <c r="BY24" t="s">
        <v>508</v>
      </c>
      <c r="BZ24">
        <v>1</v>
      </c>
      <c r="CA24">
        <v>0</v>
      </c>
      <c r="CB24">
        <v>0</v>
      </c>
      <c r="CC24">
        <v>0</v>
      </c>
      <c r="CD24">
        <v>0</v>
      </c>
    </row>
    <row r="25" spans="1:82" x14ac:dyDescent="0.25">
      <c r="A25">
        <v>24</v>
      </c>
      <c r="B25" t="s">
        <v>181</v>
      </c>
      <c r="C25" t="s">
        <v>70</v>
      </c>
      <c r="D25" t="s">
        <v>57</v>
      </c>
      <c r="E25">
        <v>58</v>
      </c>
      <c r="F25" t="s">
        <v>58</v>
      </c>
      <c r="G25" t="s">
        <v>59</v>
      </c>
      <c r="H25" t="s">
        <v>60</v>
      </c>
      <c r="I25" t="s">
        <v>61</v>
      </c>
      <c r="J25" t="s">
        <v>62</v>
      </c>
      <c r="K25" t="s">
        <v>63</v>
      </c>
      <c r="M25" t="s">
        <v>146</v>
      </c>
      <c r="N25" t="s">
        <v>70</v>
      </c>
      <c r="O25">
        <v>3</v>
      </c>
      <c r="P25" s="1" t="s">
        <v>82</v>
      </c>
      <c r="Q25" s="5">
        <v>100</v>
      </c>
      <c r="R25" s="5">
        <v>0</v>
      </c>
      <c r="S25" s="1">
        <v>0</v>
      </c>
      <c r="T25" t="s">
        <v>182</v>
      </c>
      <c r="U25" s="7">
        <v>20000</v>
      </c>
      <c r="V25" s="2">
        <v>75</v>
      </c>
      <c r="W25">
        <v>15</v>
      </c>
      <c r="X25">
        <v>10</v>
      </c>
      <c r="Y25" t="s">
        <v>70</v>
      </c>
      <c r="Z25" t="s">
        <v>70</v>
      </c>
      <c r="AA25" s="2">
        <v>0</v>
      </c>
      <c r="AB25" s="2">
        <v>0</v>
      </c>
      <c r="AC25" s="2">
        <v>0</v>
      </c>
      <c r="AD25" s="3" t="s">
        <v>70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>
        <v>0</v>
      </c>
      <c r="AM25" t="s">
        <v>70</v>
      </c>
      <c r="AN25" s="5" t="s">
        <v>72</v>
      </c>
      <c r="AO25" t="s">
        <v>73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G25" t="s">
        <v>63</v>
      </c>
      <c r="BI25">
        <v>1</v>
      </c>
      <c r="BJ25" s="2">
        <v>2</v>
      </c>
      <c r="BK25" t="s">
        <v>509</v>
      </c>
      <c r="BL25">
        <v>0</v>
      </c>
      <c r="BM25">
        <v>1</v>
      </c>
      <c r="BN25">
        <v>0</v>
      </c>
      <c r="BO25">
        <v>0</v>
      </c>
      <c r="BP25">
        <v>0</v>
      </c>
      <c r="BR25" t="s">
        <v>541</v>
      </c>
      <c r="BS25" t="s">
        <v>511</v>
      </c>
      <c r="BU25" t="s">
        <v>515</v>
      </c>
      <c r="BV25" t="s">
        <v>507</v>
      </c>
      <c r="BW25">
        <v>1983</v>
      </c>
      <c r="BX25">
        <v>40</v>
      </c>
      <c r="BY25" t="s">
        <v>508</v>
      </c>
      <c r="BZ25">
        <v>1</v>
      </c>
      <c r="CA25">
        <v>0</v>
      </c>
      <c r="CB25">
        <v>0</v>
      </c>
      <c r="CC25">
        <v>0</v>
      </c>
      <c r="CD25">
        <v>0</v>
      </c>
    </row>
    <row r="26" spans="1:82" x14ac:dyDescent="0.25">
      <c r="A26">
        <v>25</v>
      </c>
      <c r="B26" t="s">
        <v>183</v>
      </c>
      <c r="C26" t="s">
        <v>184</v>
      </c>
      <c r="D26" t="s">
        <v>57</v>
      </c>
      <c r="E26">
        <v>26</v>
      </c>
      <c r="F26" t="s">
        <v>87</v>
      </c>
      <c r="G26" t="s">
        <v>76</v>
      </c>
      <c r="H26" t="s">
        <v>60</v>
      </c>
      <c r="I26" t="s">
        <v>113</v>
      </c>
      <c r="J26" t="s">
        <v>62</v>
      </c>
      <c r="K26" t="s">
        <v>63</v>
      </c>
      <c r="M26" t="s">
        <v>146</v>
      </c>
      <c r="N26" t="s">
        <v>70</v>
      </c>
      <c r="O26">
        <v>3</v>
      </c>
      <c r="P26" s="1" t="s">
        <v>118</v>
      </c>
      <c r="Q26" s="5">
        <v>100</v>
      </c>
      <c r="R26" s="5">
        <v>0</v>
      </c>
      <c r="S26" s="1">
        <v>0</v>
      </c>
      <c r="T26" t="s">
        <v>185</v>
      </c>
      <c r="U26" s="7">
        <v>50000</v>
      </c>
      <c r="V26" s="2">
        <v>80</v>
      </c>
      <c r="W26">
        <v>15</v>
      </c>
      <c r="X26">
        <v>5</v>
      </c>
      <c r="Y26" t="s">
        <v>70</v>
      </c>
      <c r="Z26" t="s">
        <v>70</v>
      </c>
      <c r="AA26" s="2">
        <v>0</v>
      </c>
      <c r="AB26" s="2">
        <v>0</v>
      </c>
      <c r="AC26" s="2">
        <v>0</v>
      </c>
      <c r="AD26" s="3" t="s">
        <v>70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>
        <v>0</v>
      </c>
      <c r="AM26" t="s">
        <v>70</v>
      </c>
      <c r="AN26" s="5" t="s">
        <v>72</v>
      </c>
      <c r="AO26" t="s">
        <v>94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 t="s">
        <v>63</v>
      </c>
      <c r="BI26">
        <v>1</v>
      </c>
      <c r="BJ26" s="2">
        <v>0.75</v>
      </c>
      <c r="BK26" t="s">
        <v>531</v>
      </c>
      <c r="BL26">
        <v>0</v>
      </c>
      <c r="BM26">
        <v>0</v>
      </c>
      <c r="BN26">
        <v>1</v>
      </c>
      <c r="BO26">
        <v>0</v>
      </c>
      <c r="BP26">
        <v>0</v>
      </c>
      <c r="BR26" t="s">
        <v>542</v>
      </c>
      <c r="BS26" t="s">
        <v>519</v>
      </c>
      <c r="BU26" t="s">
        <v>533</v>
      </c>
      <c r="BV26" t="s">
        <v>521</v>
      </c>
      <c r="BW26">
        <v>2022</v>
      </c>
      <c r="BX26">
        <v>1</v>
      </c>
      <c r="BY26" t="s">
        <v>508</v>
      </c>
      <c r="BZ26">
        <v>1</v>
      </c>
      <c r="CA26">
        <v>0</v>
      </c>
      <c r="CB26">
        <v>0</v>
      </c>
      <c r="CC26">
        <v>0</v>
      </c>
      <c r="CD26">
        <v>0</v>
      </c>
    </row>
    <row r="27" spans="1:82" x14ac:dyDescent="0.25">
      <c r="A27">
        <v>26</v>
      </c>
      <c r="B27" t="s">
        <v>186</v>
      </c>
      <c r="C27" t="s">
        <v>187</v>
      </c>
      <c r="D27" t="s">
        <v>57</v>
      </c>
      <c r="E27">
        <v>42</v>
      </c>
      <c r="F27" t="s">
        <v>58</v>
      </c>
      <c r="G27" t="s">
        <v>59</v>
      </c>
      <c r="H27" t="s">
        <v>60</v>
      </c>
      <c r="I27" t="s">
        <v>61</v>
      </c>
      <c r="J27" t="s">
        <v>62</v>
      </c>
      <c r="K27" t="s">
        <v>63</v>
      </c>
      <c r="M27" t="s">
        <v>146</v>
      </c>
      <c r="N27" t="s">
        <v>70</v>
      </c>
      <c r="O27">
        <v>8</v>
      </c>
      <c r="P27" s="1" t="s">
        <v>107</v>
      </c>
      <c r="Q27" s="5">
        <v>100</v>
      </c>
      <c r="R27" s="5">
        <v>0</v>
      </c>
      <c r="S27" s="1">
        <v>0</v>
      </c>
      <c r="T27" t="s">
        <v>188</v>
      </c>
      <c r="U27" s="7">
        <v>30000</v>
      </c>
      <c r="V27" s="2">
        <v>80</v>
      </c>
      <c r="W27">
        <v>10</v>
      </c>
      <c r="X27">
        <v>10</v>
      </c>
      <c r="Y27" t="s">
        <v>70</v>
      </c>
      <c r="Z27" t="s">
        <v>70</v>
      </c>
      <c r="AA27" s="2">
        <v>0</v>
      </c>
      <c r="AB27" s="2">
        <v>0</v>
      </c>
      <c r="AC27" s="2">
        <v>0</v>
      </c>
      <c r="AD27" s="3" t="s">
        <v>70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>
        <v>0</v>
      </c>
      <c r="AM27" t="s">
        <v>70</v>
      </c>
      <c r="AN27" s="5" t="s">
        <v>72</v>
      </c>
      <c r="AO27" t="s">
        <v>94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 t="s">
        <v>63</v>
      </c>
      <c r="BI27">
        <v>1</v>
      </c>
      <c r="BJ27" s="2">
        <v>0.75</v>
      </c>
      <c r="BK27" t="s">
        <v>531</v>
      </c>
      <c r="BL27">
        <v>0</v>
      </c>
      <c r="BM27">
        <v>0</v>
      </c>
      <c r="BN27">
        <v>1</v>
      </c>
      <c r="BO27">
        <v>0</v>
      </c>
      <c r="BP27">
        <v>0</v>
      </c>
      <c r="BR27" t="s">
        <v>543</v>
      </c>
      <c r="BS27" t="s">
        <v>511</v>
      </c>
      <c r="BU27" t="s">
        <v>512</v>
      </c>
      <c r="BV27" t="s">
        <v>507</v>
      </c>
      <c r="BW27">
        <v>2004</v>
      </c>
      <c r="BX27">
        <v>19</v>
      </c>
      <c r="BY27" t="s">
        <v>508</v>
      </c>
      <c r="BZ27">
        <v>1</v>
      </c>
      <c r="CA27">
        <v>0</v>
      </c>
      <c r="CB27">
        <v>0</v>
      </c>
      <c r="CC27">
        <v>0</v>
      </c>
      <c r="CD27">
        <v>0</v>
      </c>
    </row>
    <row r="28" spans="1:82" x14ac:dyDescent="0.25">
      <c r="A28">
        <v>27</v>
      </c>
      <c r="B28" t="s">
        <v>189</v>
      </c>
      <c r="C28" t="s">
        <v>190</v>
      </c>
      <c r="D28" t="s">
        <v>97</v>
      </c>
      <c r="E28">
        <v>28</v>
      </c>
      <c r="F28" t="s">
        <v>58</v>
      </c>
      <c r="G28" t="s">
        <v>76</v>
      </c>
      <c r="H28" t="s">
        <v>60</v>
      </c>
      <c r="I28" t="s">
        <v>113</v>
      </c>
      <c r="J28" t="s">
        <v>62</v>
      </c>
      <c r="K28" t="s">
        <v>84</v>
      </c>
      <c r="L28" t="s">
        <v>191</v>
      </c>
      <c r="M28" t="s">
        <v>146</v>
      </c>
      <c r="N28" t="s">
        <v>70</v>
      </c>
      <c r="O28">
        <v>6</v>
      </c>
      <c r="P28" s="1" t="s">
        <v>176</v>
      </c>
      <c r="Q28" s="5">
        <v>100</v>
      </c>
      <c r="R28" s="5">
        <v>0</v>
      </c>
      <c r="S28" s="1">
        <v>0</v>
      </c>
      <c r="T28" t="s">
        <v>192</v>
      </c>
      <c r="U28" s="7">
        <v>45000</v>
      </c>
      <c r="V28" s="2">
        <v>90</v>
      </c>
      <c r="W28">
        <v>5</v>
      </c>
      <c r="X28">
        <v>5</v>
      </c>
      <c r="Y28" t="s">
        <v>193</v>
      </c>
      <c r="Z28" t="s">
        <v>194</v>
      </c>
      <c r="AA28" s="2">
        <v>0</v>
      </c>
      <c r="AB28" s="2">
        <v>0</v>
      </c>
      <c r="AC28" s="2">
        <v>0</v>
      </c>
      <c r="AD28" s="3" t="s">
        <v>70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>
        <v>0</v>
      </c>
      <c r="AM28" t="s">
        <v>70</v>
      </c>
      <c r="AN28" s="5" t="s">
        <v>72</v>
      </c>
      <c r="AO28" t="s">
        <v>94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 t="s">
        <v>63</v>
      </c>
      <c r="BI28">
        <v>1</v>
      </c>
      <c r="BJ28" s="2">
        <v>0.75</v>
      </c>
      <c r="BK28" t="s">
        <v>531</v>
      </c>
      <c r="BL28">
        <v>0</v>
      </c>
      <c r="BM28">
        <v>0</v>
      </c>
      <c r="BN28">
        <v>1</v>
      </c>
      <c r="BO28">
        <v>0</v>
      </c>
      <c r="BP28">
        <v>0</v>
      </c>
      <c r="BR28" t="s">
        <v>534</v>
      </c>
      <c r="BS28" t="s">
        <v>71</v>
      </c>
      <c r="BT28" t="s">
        <v>544</v>
      </c>
      <c r="BU28" t="s">
        <v>545</v>
      </c>
      <c r="BV28" t="s">
        <v>507</v>
      </c>
      <c r="BW28">
        <v>2019</v>
      </c>
      <c r="BX28">
        <v>4</v>
      </c>
      <c r="BY28" t="s">
        <v>508</v>
      </c>
      <c r="BZ28">
        <v>1</v>
      </c>
      <c r="CA28">
        <v>0</v>
      </c>
      <c r="CB28">
        <v>0</v>
      </c>
      <c r="CC28">
        <v>0</v>
      </c>
      <c r="CD28">
        <v>0</v>
      </c>
    </row>
    <row r="29" spans="1:82" x14ac:dyDescent="0.25">
      <c r="A29">
        <v>28</v>
      </c>
      <c r="B29" t="s">
        <v>195</v>
      </c>
      <c r="C29" t="s">
        <v>196</v>
      </c>
      <c r="D29" t="s">
        <v>57</v>
      </c>
      <c r="E29">
        <v>33</v>
      </c>
      <c r="F29" t="s">
        <v>481</v>
      </c>
      <c r="G29" t="s">
        <v>105</v>
      </c>
      <c r="H29" t="s">
        <v>60</v>
      </c>
      <c r="I29" t="s">
        <v>88</v>
      </c>
      <c r="J29" t="s">
        <v>62</v>
      </c>
      <c r="K29" t="s">
        <v>63</v>
      </c>
      <c r="M29" t="s">
        <v>146</v>
      </c>
      <c r="N29" t="s">
        <v>70</v>
      </c>
      <c r="O29">
        <v>3</v>
      </c>
      <c r="P29" s="1" t="s">
        <v>197</v>
      </c>
      <c r="Q29" s="5">
        <v>100</v>
      </c>
      <c r="R29" s="5">
        <v>0</v>
      </c>
      <c r="S29" s="1">
        <v>0</v>
      </c>
      <c r="T29" t="s">
        <v>198</v>
      </c>
      <c r="U29" s="7">
        <v>175000</v>
      </c>
      <c r="V29" s="2">
        <v>85</v>
      </c>
      <c r="W29">
        <v>5</v>
      </c>
      <c r="X29">
        <v>10</v>
      </c>
      <c r="Y29" t="s">
        <v>70</v>
      </c>
      <c r="Z29" t="s">
        <v>70</v>
      </c>
      <c r="AA29" s="2">
        <v>0</v>
      </c>
      <c r="AB29" s="2">
        <v>0</v>
      </c>
      <c r="AC29" s="2">
        <v>0</v>
      </c>
      <c r="AD29" s="3" t="s">
        <v>70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>
        <v>0</v>
      </c>
      <c r="AM29" t="s">
        <v>70</v>
      </c>
      <c r="AN29" s="5" t="s">
        <v>72</v>
      </c>
      <c r="AO29" t="s">
        <v>94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 t="s">
        <v>63</v>
      </c>
      <c r="BI29">
        <v>1</v>
      </c>
      <c r="BJ29" s="2">
        <v>0.5</v>
      </c>
      <c r="BK29" t="s">
        <v>509</v>
      </c>
      <c r="BL29">
        <v>0</v>
      </c>
      <c r="BM29">
        <v>1</v>
      </c>
      <c r="BN29">
        <v>0</v>
      </c>
      <c r="BO29">
        <v>0</v>
      </c>
      <c r="BP29">
        <v>0</v>
      </c>
      <c r="BR29" t="s">
        <v>546</v>
      </c>
      <c r="BS29" t="s">
        <v>71</v>
      </c>
      <c r="BT29" t="s">
        <v>506</v>
      </c>
      <c r="BU29" t="s">
        <v>515</v>
      </c>
      <c r="BV29" t="s">
        <v>507</v>
      </c>
      <c r="BW29">
        <v>2018</v>
      </c>
      <c r="BX29">
        <v>5</v>
      </c>
      <c r="BY29" t="s">
        <v>508</v>
      </c>
      <c r="BZ29">
        <v>1</v>
      </c>
      <c r="CA29">
        <v>0</v>
      </c>
      <c r="CB29">
        <v>0</v>
      </c>
      <c r="CC29">
        <v>0</v>
      </c>
      <c r="CD29">
        <v>0</v>
      </c>
    </row>
    <row r="30" spans="1:82" x14ac:dyDescent="0.25">
      <c r="A30">
        <v>29</v>
      </c>
      <c r="B30" t="s">
        <v>199</v>
      </c>
      <c r="C30" t="s">
        <v>200</v>
      </c>
      <c r="D30" t="s">
        <v>57</v>
      </c>
      <c r="E30">
        <v>33</v>
      </c>
      <c r="F30" t="s">
        <v>58</v>
      </c>
      <c r="G30" t="s">
        <v>201</v>
      </c>
      <c r="H30" t="s">
        <v>60</v>
      </c>
      <c r="I30" t="s">
        <v>61</v>
      </c>
      <c r="J30" t="s">
        <v>62</v>
      </c>
      <c r="K30" t="s">
        <v>63</v>
      </c>
      <c r="M30" t="s">
        <v>146</v>
      </c>
      <c r="N30" t="s">
        <v>70</v>
      </c>
      <c r="O30">
        <v>4</v>
      </c>
      <c r="P30" s="1" t="s">
        <v>173</v>
      </c>
      <c r="Q30" s="5">
        <v>100</v>
      </c>
      <c r="R30" s="5">
        <v>0</v>
      </c>
      <c r="S30" s="1">
        <v>0</v>
      </c>
      <c r="T30" t="s">
        <v>127</v>
      </c>
      <c r="U30" s="7">
        <v>160000</v>
      </c>
      <c r="V30" s="2">
        <v>90</v>
      </c>
      <c r="W30">
        <v>5</v>
      </c>
      <c r="X30">
        <v>5</v>
      </c>
      <c r="Y30" t="s">
        <v>70</v>
      </c>
      <c r="Z30" t="s">
        <v>70</v>
      </c>
      <c r="AA30" s="2">
        <v>0</v>
      </c>
      <c r="AB30" s="2">
        <v>0</v>
      </c>
      <c r="AC30" s="2">
        <v>0</v>
      </c>
      <c r="AD30" s="3" t="s">
        <v>70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>
        <v>0</v>
      </c>
      <c r="AM30" t="s">
        <v>70</v>
      </c>
      <c r="AN30" s="5" t="s">
        <v>72</v>
      </c>
      <c r="AO30" t="s">
        <v>202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 t="s">
        <v>63</v>
      </c>
      <c r="BI30">
        <v>1</v>
      </c>
      <c r="BJ30" s="2">
        <v>0.5</v>
      </c>
      <c r="BK30" t="s">
        <v>509</v>
      </c>
      <c r="BL30">
        <v>0</v>
      </c>
      <c r="BM30">
        <v>1</v>
      </c>
      <c r="BN30">
        <v>0</v>
      </c>
      <c r="BO30">
        <v>0</v>
      </c>
      <c r="BP30">
        <v>0</v>
      </c>
      <c r="BR30" t="s">
        <v>547</v>
      </c>
      <c r="BS30" t="s">
        <v>511</v>
      </c>
      <c r="BU30" t="s">
        <v>512</v>
      </c>
      <c r="BV30" t="s">
        <v>507</v>
      </c>
      <c r="BW30">
        <v>2015</v>
      </c>
      <c r="BX30">
        <v>8</v>
      </c>
      <c r="BY30" t="s">
        <v>508</v>
      </c>
      <c r="BZ30">
        <v>1</v>
      </c>
      <c r="CA30">
        <v>0</v>
      </c>
      <c r="CB30">
        <v>0</v>
      </c>
      <c r="CC30">
        <v>0</v>
      </c>
      <c r="CD30">
        <v>0</v>
      </c>
    </row>
    <row r="31" spans="1:82" x14ac:dyDescent="0.25">
      <c r="A31">
        <v>30</v>
      </c>
      <c r="B31" t="s">
        <v>203</v>
      </c>
      <c r="C31" t="s">
        <v>204</v>
      </c>
      <c r="D31" t="s">
        <v>97</v>
      </c>
      <c r="E31">
        <v>46</v>
      </c>
      <c r="F31" t="s">
        <v>58</v>
      </c>
      <c r="G31" t="s">
        <v>105</v>
      </c>
      <c r="H31" t="s">
        <v>60</v>
      </c>
      <c r="I31" t="s">
        <v>113</v>
      </c>
      <c r="J31" t="s">
        <v>62</v>
      </c>
      <c r="K31" t="s">
        <v>84</v>
      </c>
      <c r="L31" t="s">
        <v>98</v>
      </c>
      <c r="M31" t="s">
        <v>146</v>
      </c>
      <c r="N31" t="s">
        <v>70</v>
      </c>
      <c r="O31">
        <v>10</v>
      </c>
      <c r="P31" s="1" t="s">
        <v>79</v>
      </c>
      <c r="Q31" s="5">
        <v>90</v>
      </c>
      <c r="R31" s="5">
        <v>10</v>
      </c>
      <c r="S31" s="1">
        <v>0</v>
      </c>
      <c r="T31" t="s">
        <v>115</v>
      </c>
      <c r="U31" s="7">
        <v>70000</v>
      </c>
      <c r="V31" s="2">
        <v>90</v>
      </c>
      <c r="W31">
        <v>5</v>
      </c>
      <c r="X31">
        <v>5</v>
      </c>
      <c r="Y31" t="s">
        <v>70</v>
      </c>
      <c r="Z31" t="s">
        <v>70</v>
      </c>
      <c r="AA31" s="2">
        <v>0</v>
      </c>
      <c r="AB31" s="2">
        <v>0</v>
      </c>
      <c r="AC31" s="2">
        <v>0</v>
      </c>
      <c r="AD31" s="3" t="s">
        <v>70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>
        <v>0</v>
      </c>
      <c r="AM31" t="s">
        <v>70</v>
      </c>
      <c r="AN31" s="5" t="s">
        <v>72</v>
      </c>
      <c r="AO31" t="s">
        <v>73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 t="s">
        <v>63</v>
      </c>
      <c r="BI31">
        <v>1</v>
      </c>
      <c r="BJ31" s="2">
        <v>0.5</v>
      </c>
      <c r="BK31" t="s">
        <v>503</v>
      </c>
      <c r="BL31">
        <v>0</v>
      </c>
      <c r="BM31">
        <v>0</v>
      </c>
      <c r="BN31">
        <v>0</v>
      </c>
      <c r="BO31">
        <v>1</v>
      </c>
      <c r="BP31">
        <v>0</v>
      </c>
      <c r="BR31" t="s">
        <v>538</v>
      </c>
      <c r="BS31" t="s">
        <v>511</v>
      </c>
      <c r="BU31" t="s">
        <v>512</v>
      </c>
      <c r="BV31" t="s">
        <v>507</v>
      </c>
      <c r="BW31">
        <v>2018</v>
      </c>
      <c r="BX31">
        <v>5</v>
      </c>
      <c r="BY31" t="s">
        <v>508</v>
      </c>
      <c r="BZ31">
        <v>1</v>
      </c>
      <c r="CA31">
        <v>0</v>
      </c>
      <c r="CB31">
        <v>0</v>
      </c>
      <c r="CC31">
        <v>0</v>
      </c>
      <c r="CD31">
        <v>0</v>
      </c>
    </row>
    <row r="32" spans="1:82" x14ac:dyDescent="0.25">
      <c r="A32">
        <v>31</v>
      </c>
      <c r="B32" t="s">
        <v>205</v>
      </c>
      <c r="C32" t="s">
        <v>206</v>
      </c>
      <c r="D32" t="s">
        <v>57</v>
      </c>
      <c r="E32">
        <v>30</v>
      </c>
      <c r="F32" t="s">
        <v>58</v>
      </c>
      <c r="G32" t="s">
        <v>76</v>
      </c>
      <c r="H32" t="s">
        <v>60</v>
      </c>
      <c r="I32" t="s">
        <v>113</v>
      </c>
      <c r="J32" t="s">
        <v>62</v>
      </c>
      <c r="K32" t="s">
        <v>63</v>
      </c>
      <c r="M32" t="s">
        <v>146</v>
      </c>
      <c r="N32" t="s">
        <v>70</v>
      </c>
      <c r="O32">
        <v>5</v>
      </c>
      <c r="P32" s="1" t="s">
        <v>207</v>
      </c>
      <c r="Q32" s="5">
        <f>300000/P32*100</f>
        <v>75.949367088607602</v>
      </c>
      <c r="R32" s="5">
        <v>24</v>
      </c>
      <c r="S32" s="1" t="s">
        <v>208</v>
      </c>
      <c r="T32" t="s">
        <v>209</v>
      </c>
      <c r="U32" s="7">
        <v>300000</v>
      </c>
      <c r="V32" s="2">
        <v>100</v>
      </c>
      <c r="W32">
        <v>0</v>
      </c>
      <c r="X32">
        <v>0</v>
      </c>
      <c r="Y32" t="s">
        <v>210</v>
      </c>
      <c r="Z32" t="s">
        <v>211</v>
      </c>
      <c r="AA32" s="2" t="s">
        <v>69</v>
      </c>
      <c r="AB32" s="2" t="s">
        <v>165</v>
      </c>
      <c r="AC32" s="2" t="s">
        <v>165</v>
      </c>
      <c r="AD32" s="3" t="s">
        <v>70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>
        <v>0</v>
      </c>
      <c r="AM32" t="s">
        <v>70</v>
      </c>
      <c r="AN32" s="5" t="s">
        <v>72</v>
      </c>
      <c r="AO32" t="s">
        <v>73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 t="s">
        <v>63</v>
      </c>
      <c r="BI32">
        <v>1</v>
      </c>
      <c r="BJ32" s="2">
        <v>0.75</v>
      </c>
      <c r="BK32" t="s">
        <v>503</v>
      </c>
      <c r="BL32">
        <v>0</v>
      </c>
      <c r="BM32">
        <v>0</v>
      </c>
      <c r="BN32">
        <v>0</v>
      </c>
      <c r="BO32">
        <v>1</v>
      </c>
      <c r="BP32">
        <v>0</v>
      </c>
      <c r="BR32" t="s">
        <v>548</v>
      </c>
      <c r="BS32" t="s">
        <v>511</v>
      </c>
      <c r="BT32" t="s">
        <v>549</v>
      </c>
      <c r="BU32" t="s">
        <v>515</v>
      </c>
      <c r="BV32" t="s">
        <v>507</v>
      </c>
      <c r="BW32">
        <v>2017</v>
      </c>
      <c r="BX32">
        <v>6</v>
      </c>
      <c r="BY32" t="s">
        <v>508</v>
      </c>
      <c r="BZ32">
        <v>1</v>
      </c>
      <c r="CA32">
        <v>0</v>
      </c>
      <c r="CB32">
        <v>0</v>
      </c>
      <c r="CC32">
        <v>0</v>
      </c>
      <c r="CD32">
        <v>0</v>
      </c>
    </row>
    <row r="33" spans="1:82" x14ac:dyDescent="0.25">
      <c r="A33">
        <v>32</v>
      </c>
      <c r="B33" t="s">
        <v>212</v>
      </c>
      <c r="C33" t="s">
        <v>213</v>
      </c>
      <c r="D33" t="s">
        <v>97</v>
      </c>
      <c r="E33">
        <v>45</v>
      </c>
      <c r="F33" t="s">
        <v>58</v>
      </c>
      <c r="G33" t="s">
        <v>59</v>
      </c>
      <c r="H33" t="s">
        <v>60</v>
      </c>
      <c r="I33" t="s">
        <v>61</v>
      </c>
      <c r="J33" t="s">
        <v>62</v>
      </c>
      <c r="K33" t="s">
        <v>84</v>
      </c>
      <c r="L33" t="s">
        <v>98</v>
      </c>
      <c r="M33" t="s">
        <v>146</v>
      </c>
      <c r="N33" t="s">
        <v>70</v>
      </c>
      <c r="O33">
        <v>6</v>
      </c>
      <c r="P33" s="1" t="s">
        <v>214</v>
      </c>
      <c r="Q33" s="5">
        <v>100</v>
      </c>
      <c r="R33" s="5">
        <v>0</v>
      </c>
      <c r="S33" s="1" t="s">
        <v>208</v>
      </c>
      <c r="T33" t="s">
        <v>215</v>
      </c>
      <c r="U33" s="7">
        <v>120000</v>
      </c>
      <c r="V33" s="2">
        <v>100</v>
      </c>
      <c r="W33">
        <v>0</v>
      </c>
      <c r="X33">
        <v>0</v>
      </c>
      <c r="Y33" t="s">
        <v>165</v>
      </c>
      <c r="Z33" t="s">
        <v>70</v>
      </c>
      <c r="AA33" s="2" t="s">
        <v>165</v>
      </c>
      <c r="AB33" s="2" t="s">
        <v>165</v>
      </c>
      <c r="AC33" s="2" t="s">
        <v>165</v>
      </c>
      <c r="AD33" s="3" t="s">
        <v>70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>
        <v>0</v>
      </c>
      <c r="AM33" t="s">
        <v>70</v>
      </c>
      <c r="AN33" s="5" t="s">
        <v>72</v>
      </c>
      <c r="AO33" t="s">
        <v>73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G33" t="s">
        <v>63</v>
      </c>
      <c r="BI33">
        <v>1</v>
      </c>
      <c r="BJ33" s="2">
        <v>2</v>
      </c>
      <c r="BK33" t="s">
        <v>503</v>
      </c>
      <c r="BL33">
        <v>0</v>
      </c>
      <c r="BM33">
        <v>0</v>
      </c>
      <c r="BN33">
        <v>0</v>
      </c>
      <c r="BO33">
        <v>1</v>
      </c>
      <c r="BP33">
        <v>0</v>
      </c>
      <c r="BR33" t="s">
        <v>550</v>
      </c>
      <c r="BS33" t="s">
        <v>511</v>
      </c>
      <c r="BU33" t="s">
        <v>512</v>
      </c>
      <c r="BV33" t="s">
        <v>507</v>
      </c>
      <c r="BW33">
        <v>2019</v>
      </c>
      <c r="BX33">
        <v>4</v>
      </c>
      <c r="BY33" t="s">
        <v>508</v>
      </c>
      <c r="BZ33">
        <v>1</v>
      </c>
      <c r="CA33">
        <v>0</v>
      </c>
      <c r="CB33">
        <v>0</v>
      </c>
      <c r="CC33">
        <v>0</v>
      </c>
      <c r="CD33">
        <v>0</v>
      </c>
    </row>
    <row r="34" spans="1:82" x14ac:dyDescent="0.25">
      <c r="A34">
        <v>33</v>
      </c>
      <c r="B34" t="s">
        <v>216</v>
      </c>
      <c r="C34" t="s">
        <v>217</v>
      </c>
      <c r="D34" t="s">
        <v>57</v>
      </c>
      <c r="E34">
        <v>34</v>
      </c>
      <c r="F34" t="s">
        <v>58</v>
      </c>
      <c r="G34" t="s">
        <v>76</v>
      </c>
      <c r="H34" t="s">
        <v>60</v>
      </c>
      <c r="I34" t="s">
        <v>113</v>
      </c>
      <c r="J34" t="s">
        <v>62</v>
      </c>
      <c r="K34" t="s">
        <v>63</v>
      </c>
      <c r="M34" t="s">
        <v>146</v>
      </c>
      <c r="N34" t="s">
        <v>70</v>
      </c>
      <c r="O34">
        <v>4</v>
      </c>
      <c r="P34" s="1" t="s">
        <v>118</v>
      </c>
      <c r="Q34" s="5">
        <v>100</v>
      </c>
      <c r="R34" s="5">
        <v>0</v>
      </c>
      <c r="S34" s="1">
        <v>0</v>
      </c>
      <c r="T34" t="s">
        <v>182</v>
      </c>
      <c r="U34" s="7">
        <v>30000</v>
      </c>
      <c r="V34" s="2">
        <v>90</v>
      </c>
      <c r="W34">
        <v>5</v>
      </c>
      <c r="X34">
        <v>5</v>
      </c>
      <c r="Y34" t="s">
        <v>70</v>
      </c>
      <c r="Z34" t="s">
        <v>70</v>
      </c>
      <c r="AA34" s="2">
        <v>0</v>
      </c>
      <c r="AB34" s="2">
        <v>0</v>
      </c>
      <c r="AC34" s="2">
        <v>0</v>
      </c>
      <c r="AD34" s="3" t="s">
        <v>70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>
        <v>0</v>
      </c>
      <c r="AM34" t="s">
        <v>70</v>
      </c>
      <c r="AN34" s="5" t="s">
        <v>72</v>
      </c>
      <c r="AO34" t="s">
        <v>73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G34" t="s">
        <v>63</v>
      </c>
      <c r="BI34">
        <v>1</v>
      </c>
      <c r="BJ34" s="2">
        <v>0.75</v>
      </c>
      <c r="BK34" t="s">
        <v>531</v>
      </c>
      <c r="BL34">
        <v>0</v>
      </c>
      <c r="BM34">
        <v>0</v>
      </c>
      <c r="BN34">
        <v>1</v>
      </c>
      <c r="BO34">
        <v>0</v>
      </c>
      <c r="BP34">
        <v>0</v>
      </c>
      <c r="BR34" t="s">
        <v>551</v>
      </c>
      <c r="BS34" t="s">
        <v>511</v>
      </c>
      <c r="BU34" t="s">
        <v>533</v>
      </c>
      <c r="BV34" t="s">
        <v>521</v>
      </c>
      <c r="BW34">
        <v>2017</v>
      </c>
      <c r="BX34">
        <v>6</v>
      </c>
      <c r="BY34" t="s">
        <v>508</v>
      </c>
      <c r="BZ34">
        <v>1</v>
      </c>
      <c r="CA34">
        <v>0</v>
      </c>
      <c r="CB34">
        <v>0</v>
      </c>
      <c r="CC34">
        <v>0</v>
      </c>
      <c r="CD34">
        <v>0</v>
      </c>
    </row>
    <row r="35" spans="1:82" x14ac:dyDescent="0.25">
      <c r="A35">
        <v>34</v>
      </c>
      <c r="B35" t="s">
        <v>218</v>
      </c>
      <c r="C35" t="s">
        <v>219</v>
      </c>
      <c r="D35" t="s">
        <v>57</v>
      </c>
      <c r="E35">
        <v>25</v>
      </c>
      <c r="F35" t="s">
        <v>58</v>
      </c>
      <c r="G35" t="s">
        <v>76</v>
      </c>
      <c r="H35" t="s">
        <v>60</v>
      </c>
      <c r="I35" t="s">
        <v>61</v>
      </c>
      <c r="J35" t="s">
        <v>62</v>
      </c>
      <c r="K35" t="s">
        <v>63</v>
      </c>
      <c r="M35" t="s">
        <v>146</v>
      </c>
      <c r="N35" t="s">
        <v>70</v>
      </c>
      <c r="O35">
        <v>4</v>
      </c>
      <c r="P35" s="1" t="s">
        <v>118</v>
      </c>
      <c r="Q35" s="5">
        <v>100</v>
      </c>
      <c r="R35" s="5">
        <v>0</v>
      </c>
      <c r="S35" s="1">
        <v>0</v>
      </c>
      <c r="T35" t="s">
        <v>220</v>
      </c>
      <c r="U35" s="7">
        <v>45000</v>
      </c>
      <c r="V35" s="2">
        <v>50</v>
      </c>
      <c r="W35">
        <v>30</v>
      </c>
      <c r="X35">
        <v>20</v>
      </c>
      <c r="Y35" t="s">
        <v>70</v>
      </c>
      <c r="Z35" t="s">
        <v>70</v>
      </c>
      <c r="AA35" s="2">
        <v>0</v>
      </c>
      <c r="AB35" s="2">
        <v>0</v>
      </c>
      <c r="AC35" s="2">
        <v>0</v>
      </c>
      <c r="AD35" s="3" t="s">
        <v>70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>
        <v>0</v>
      </c>
      <c r="AM35" t="s">
        <v>70</v>
      </c>
      <c r="AN35" s="5" t="s">
        <v>72</v>
      </c>
      <c r="AO35" t="s">
        <v>83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G35" t="s">
        <v>63</v>
      </c>
      <c r="BI35">
        <v>1</v>
      </c>
      <c r="BJ35" s="2">
        <v>0.75</v>
      </c>
      <c r="BK35" t="s">
        <v>509</v>
      </c>
      <c r="BL35">
        <v>0</v>
      </c>
      <c r="BM35">
        <v>1</v>
      </c>
      <c r="BN35">
        <v>0</v>
      </c>
      <c r="BO35">
        <v>0</v>
      </c>
      <c r="BP35">
        <v>0</v>
      </c>
      <c r="BR35" t="s">
        <v>552</v>
      </c>
      <c r="BS35" t="s">
        <v>519</v>
      </c>
      <c r="BU35" t="s">
        <v>533</v>
      </c>
      <c r="BV35" t="s">
        <v>521</v>
      </c>
      <c r="BW35">
        <v>2017</v>
      </c>
      <c r="BX35">
        <v>6</v>
      </c>
      <c r="BY35" t="s">
        <v>508</v>
      </c>
      <c r="BZ35">
        <v>1</v>
      </c>
      <c r="CA35">
        <v>0</v>
      </c>
      <c r="CB35">
        <v>0</v>
      </c>
      <c r="CC35">
        <v>0</v>
      </c>
      <c r="CD35">
        <v>0</v>
      </c>
    </row>
    <row r="36" spans="1:82" x14ac:dyDescent="0.25">
      <c r="A36">
        <v>35</v>
      </c>
      <c r="B36" t="s">
        <v>222</v>
      </c>
      <c r="C36" t="s">
        <v>223</v>
      </c>
      <c r="D36" t="s">
        <v>57</v>
      </c>
      <c r="E36">
        <v>45</v>
      </c>
      <c r="F36" t="s">
        <v>58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M36" t="s">
        <v>146</v>
      </c>
      <c r="N36" t="s">
        <v>224</v>
      </c>
      <c r="O36">
        <v>4</v>
      </c>
      <c r="P36" s="1" t="s">
        <v>225</v>
      </c>
      <c r="Q36" s="5">
        <v>100</v>
      </c>
      <c r="R36" s="5">
        <v>0</v>
      </c>
      <c r="S36" s="1">
        <v>4500</v>
      </c>
      <c r="T36" t="s">
        <v>152</v>
      </c>
      <c r="U36" s="7">
        <v>45000</v>
      </c>
      <c r="V36" s="2">
        <v>70</v>
      </c>
      <c r="W36">
        <v>20</v>
      </c>
      <c r="X36">
        <v>10</v>
      </c>
      <c r="Y36" t="s">
        <v>70</v>
      </c>
      <c r="Z36" t="s">
        <v>70</v>
      </c>
      <c r="AA36" s="2">
        <v>0</v>
      </c>
      <c r="AB36" s="2">
        <v>0</v>
      </c>
      <c r="AC36" s="2">
        <v>0</v>
      </c>
      <c r="AD36" s="3" t="s">
        <v>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 t="s">
        <v>224</v>
      </c>
      <c r="AN36" s="5">
        <v>4200</v>
      </c>
      <c r="AO36" t="s">
        <v>94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G36" t="s">
        <v>63</v>
      </c>
      <c r="BI36">
        <v>1</v>
      </c>
      <c r="BJ36" s="2">
        <v>0.75</v>
      </c>
      <c r="BK36" t="s">
        <v>531</v>
      </c>
      <c r="BL36">
        <v>0</v>
      </c>
      <c r="BM36">
        <v>0</v>
      </c>
      <c r="BN36">
        <v>1</v>
      </c>
      <c r="BO36">
        <v>0</v>
      </c>
      <c r="BP36">
        <v>0</v>
      </c>
      <c r="BR36" t="s">
        <v>553</v>
      </c>
      <c r="BS36" t="s">
        <v>519</v>
      </c>
      <c r="BU36" t="s">
        <v>533</v>
      </c>
      <c r="BV36" t="s">
        <v>521</v>
      </c>
      <c r="BW36">
        <v>2011</v>
      </c>
      <c r="BX36">
        <v>12</v>
      </c>
      <c r="BY36" t="s">
        <v>508</v>
      </c>
      <c r="BZ36">
        <v>1</v>
      </c>
      <c r="CA36">
        <v>0</v>
      </c>
      <c r="CB36">
        <v>0</v>
      </c>
      <c r="CC36">
        <v>0</v>
      </c>
      <c r="CD36">
        <v>0</v>
      </c>
    </row>
    <row r="37" spans="1:82" x14ac:dyDescent="0.25">
      <c r="A37">
        <v>36</v>
      </c>
      <c r="B37" t="s">
        <v>226</v>
      </c>
      <c r="C37" t="s">
        <v>227</v>
      </c>
      <c r="D37" t="s">
        <v>57</v>
      </c>
      <c r="E37">
        <v>39</v>
      </c>
      <c r="F37" t="s">
        <v>58</v>
      </c>
      <c r="G37" t="s">
        <v>76</v>
      </c>
      <c r="H37" t="s">
        <v>60</v>
      </c>
      <c r="I37" t="s">
        <v>61</v>
      </c>
      <c r="J37" t="s">
        <v>62</v>
      </c>
      <c r="K37" t="s">
        <v>63</v>
      </c>
      <c r="M37" t="s">
        <v>146</v>
      </c>
      <c r="N37" t="s">
        <v>70</v>
      </c>
      <c r="O37">
        <v>4</v>
      </c>
      <c r="P37" s="1" t="s">
        <v>118</v>
      </c>
      <c r="Q37" s="5">
        <f>44000/P37*100</f>
        <v>88</v>
      </c>
      <c r="R37" s="5">
        <v>12</v>
      </c>
      <c r="S37" s="1">
        <v>6000</v>
      </c>
      <c r="T37" t="s">
        <v>140</v>
      </c>
      <c r="U37" s="7">
        <v>44000</v>
      </c>
      <c r="V37" s="2">
        <v>80</v>
      </c>
      <c r="W37">
        <v>0</v>
      </c>
      <c r="X37">
        <v>20</v>
      </c>
      <c r="Y37" t="s">
        <v>70</v>
      </c>
      <c r="Z37" t="s">
        <v>70</v>
      </c>
      <c r="AA37" s="2" t="s">
        <v>165</v>
      </c>
      <c r="AB37" s="2" t="s">
        <v>165</v>
      </c>
      <c r="AC37" s="2" t="s">
        <v>228</v>
      </c>
      <c r="AD37" s="3" t="s">
        <v>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 t="s">
        <v>229</v>
      </c>
      <c r="AN37" s="5">
        <v>6000</v>
      </c>
      <c r="AO37" t="s">
        <v>94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G37" t="s">
        <v>63</v>
      </c>
      <c r="BI37">
        <v>1</v>
      </c>
      <c r="BJ37" s="2">
        <v>1</v>
      </c>
      <c r="BK37" t="s">
        <v>531</v>
      </c>
      <c r="BL37">
        <v>0</v>
      </c>
      <c r="BM37">
        <v>0</v>
      </c>
      <c r="BN37">
        <v>1</v>
      </c>
      <c r="BO37">
        <v>0</v>
      </c>
      <c r="BP37">
        <v>0</v>
      </c>
      <c r="BR37" t="s">
        <v>140</v>
      </c>
      <c r="BS37" t="s">
        <v>511</v>
      </c>
      <c r="BU37" t="s">
        <v>515</v>
      </c>
      <c r="BV37" t="s">
        <v>507</v>
      </c>
      <c r="BW37">
        <v>2017</v>
      </c>
      <c r="BX37">
        <v>6</v>
      </c>
      <c r="BY37" t="s">
        <v>508</v>
      </c>
      <c r="BZ37">
        <v>1</v>
      </c>
      <c r="CA37">
        <v>0</v>
      </c>
      <c r="CB37">
        <v>0</v>
      </c>
      <c r="CC37">
        <v>0</v>
      </c>
      <c r="CD37">
        <v>0</v>
      </c>
    </row>
    <row r="38" spans="1:82" x14ac:dyDescent="0.25">
      <c r="A38">
        <v>37</v>
      </c>
      <c r="B38" t="s">
        <v>230</v>
      </c>
      <c r="C38" t="s">
        <v>231</v>
      </c>
      <c r="D38" t="s">
        <v>97</v>
      </c>
      <c r="E38">
        <v>39</v>
      </c>
      <c r="F38" t="s">
        <v>481</v>
      </c>
      <c r="G38" t="s">
        <v>59</v>
      </c>
      <c r="H38" t="s">
        <v>60</v>
      </c>
      <c r="I38" t="s">
        <v>113</v>
      </c>
      <c r="J38" t="s">
        <v>62</v>
      </c>
      <c r="K38" t="s">
        <v>63</v>
      </c>
      <c r="M38" t="s">
        <v>146</v>
      </c>
      <c r="N38" t="s">
        <v>70</v>
      </c>
      <c r="O38">
        <v>3</v>
      </c>
      <c r="P38" s="1" t="s">
        <v>118</v>
      </c>
      <c r="Q38" s="5">
        <v>0</v>
      </c>
      <c r="R38" s="5">
        <v>100</v>
      </c>
      <c r="S38" s="1" t="s">
        <v>208</v>
      </c>
      <c r="T38" t="s">
        <v>316</v>
      </c>
      <c r="U38" s="7">
        <v>50000</v>
      </c>
      <c r="V38" s="2">
        <v>0</v>
      </c>
      <c r="W38">
        <v>0</v>
      </c>
      <c r="X38">
        <v>0</v>
      </c>
      <c r="Y38" t="s">
        <v>232</v>
      </c>
      <c r="Z38" t="s">
        <v>118</v>
      </c>
      <c r="AA38" s="2" t="s">
        <v>69</v>
      </c>
      <c r="AB38" s="2" t="s">
        <v>165</v>
      </c>
      <c r="AC38" s="2" t="s">
        <v>165</v>
      </c>
      <c r="AD38" s="3" t="s">
        <v>70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70</v>
      </c>
      <c r="AN38" s="5" t="s">
        <v>72</v>
      </c>
      <c r="AO38" t="s">
        <v>94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G38" t="s">
        <v>63</v>
      </c>
      <c r="BI38">
        <v>1</v>
      </c>
      <c r="BJ38" s="2">
        <v>0.25</v>
      </c>
      <c r="BK38" t="s">
        <v>503</v>
      </c>
      <c r="BL38">
        <v>0</v>
      </c>
      <c r="BM38">
        <v>0</v>
      </c>
      <c r="BN38">
        <v>0</v>
      </c>
      <c r="BO38">
        <v>1</v>
      </c>
      <c r="BP38">
        <v>0</v>
      </c>
      <c r="BR38" t="s">
        <v>554</v>
      </c>
      <c r="BS38" t="s">
        <v>511</v>
      </c>
      <c r="BT38" t="s">
        <v>555</v>
      </c>
      <c r="BV38" t="s">
        <v>521</v>
      </c>
      <c r="BW38">
        <v>2015</v>
      </c>
      <c r="BX38">
        <v>8</v>
      </c>
      <c r="BY38" t="s">
        <v>508</v>
      </c>
      <c r="BZ38">
        <v>1</v>
      </c>
      <c r="CA38">
        <v>0</v>
      </c>
      <c r="CB38">
        <v>0</v>
      </c>
      <c r="CC38">
        <v>0</v>
      </c>
      <c r="CD38">
        <v>0</v>
      </c>
    </row>
    <row r="39" spans="1:82" x14ac:dyDescent="0.25">
      <c r="A39">
        <v>38</v>
      </c>
      <c r="B39" t="s">
        <v>233</v>
      </c>
      <c r="C39" t="s">
        <v>70</v>
      </c>
      <c r="D39" t="s">
        <v>57</v>
      </c>
      <c r="E39">
        <v>59</v>
      </c>
      <c r="F39" t="s">
        <v>58</v>
      </c>
      <c r="G39" t="s">
        <v>76</v>
      </c>
      <c r="H39" t="s">
        <v>60</v>
      </c>
      <c r="I39" t="s">
        <v>61</v>
      </c>
      <c r="J39" t="s">
        <v>62</v>
      </c>
      <c r="K39" t="s">
        <v>63</v>
      </c>
      <c r="M39" t="s">
        <v>146</v>
      </c>
      <c r="N39" t="s">
        <v>234</v>
      </c>
      <c r="O39">
        <v>3</v>
      </c>
      <c r="P39" s="1" t="s">
        <v>235</v>
      </c>
      <c r="Q39" s="5">
        <v>100</v>
      </c>
      <c r="R39" s="5">
        <v>0</v>
      </c>
      <c r="S39" s="1">
        <v>0</v>
      </c>
      <c r="T39" t="s">
        <v>316</v>
      </c>
      <c r="U39" s="7">
        <v>5000</v>
      </c>
      <c r="V39" s="2">
        <v>50</v>
      </c>
      <c r="W39">
        <v>30</v>
      </c>
      <c r="X39">
        <v>20</v>
      </c>
      <c r="Y39" t="s">
        <v>237</v>
      </c>
      <c r="Z39" t="s">
        <v>236</v>
      </c>
      <c r="AA39" s="2">
        <v>0</v>
      </c>
      <c r="AB39" s="2">
        <v>0</v>
      </c>
      <c r="AC39" s="2">
        <v>0</v>
      </c>
      <c r="AD39" s="3" t="s">
        <v>70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70</v>
      </c>
      <c r="AN39" s="5" t="s">
        <v>72</v>
      </c>
      <c r="AO39" t="s">
        <v>94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G39" t="s">
        <v>63</v>
      </c>
      <c r="BI39">
        <v>1</v>
      </c>
      <c r="BJ39" s="2">
        <v>0.75</v>
      </c>
      <c r="BK39" t="s">
        <v>531</v>
      </c>
      <c r="BL39">
        <v>0</v>
      </c>
      <c r="BM39">
        <v>0</v>
      </c>
      <c r="BN39">
        <v>1</v>
      </c>
      <c r="BO39">
        <v>0</v>
      </c>
      <c r="BP39">
        <v>0</v>
      </c>
      <c r="BR39" t="s">
        <v>534</v>
      </c>
      <c r="BS39" t="s">
        <v>511</v>
      </c>
      <c r="BU39" t="s">
        <v>512</v>
      </c>
      <c r="BV39" t="s">
        <v>507</v>
      </c>
      <c r="BW39">
        <v>1998</v>
      </c>
      <c r="BX39">
        <v>25</v>
      </c>
      <c r="BY39" t="s">
        <v>508</v>
      </c>
      <c r="BZ39">
        <v>1</v>
      </c>
      <c r="CA39">
        <v>0</v>
      </c>
      <c r="CB39">
        <v>0</v>
      </c>
      <c r="CC39">
        <v>0</v>
      </c>
      <c r="CD39">
        <v>0</v>
      </c>
    </row>
    <row r="40" spans="1:82" x14ac:dyDescent="0.25">
      <c r="A40">
        <v>39</v>
      </c>
      <c r="B40" t="s">
        <v>238</v>
      </c>
      <c r="C40" t="s">
        <v>239</v>
      </c>
      <c r="D40" t="s">
        <v>57</v>
      </c>
      <c r="E40">
        <v>49</v>
      </c>
      <c r="F40" t="s">
        <v>58</v>
      </c>
      <c r="G40" t="s">
        <v>76</v>
      </c>
      <c r="H40" t="s">
        <v>60</v>
      </c>
      <c r="I40" t="s">
        <v>113</v>
      </c>
      <c r="J40" t="s">
        <v>62</v>
      </c>
      <c r="K40" t="s">
        <v>63</v>
      </c>
      <c r="M40" t="s">
        <v>146</v>
      </c>
      <c r="N40" t="s">
        <v>70</v>
      </c>
      <c r="O40">
        <v>5</v>
      </c>
      <c r="P40" s="1" t="s">
        <v>118</v>
      </c>
      <c r="Q40" s="5">
        <v>100</v>
      </c>
      <c r="R40" s="5">
        <v>0</v>
      </c>
      <c r="S40" s="1">
        <v>0</v>
      </c>
      <c r="T40" t="s">
        <v>316</v>
      </c>
      <c r="U40" s="7">
        <v>30000</v>
      </c>
      <c r="V40" s="2">
        <v>50</v>
      </c>
      <c r="W40">
        <v>30</v>
      </c>
      <c r="X40">
        <v>20</v>
      </c>
      <c r="Y40" t="s">
        <v>70</v>
      </c>
      <c r="Z40" t="s">
        <v>70</v>
      </c>
      <c r="AA40" s="2">
        <v>0</v>
      </c>
      <c r="AB40" s="2">
        <v>0</v>
      </c>
      <c r="AC40" s="2">
        <v>0</v>
      </c>
      <c r="AD40" s="3" t="s">
        <v>70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70</v>
      </c>
      <c r="AN40" s="5" t="s">
        <v>72</v>
      </c>
      <c r="AO40" t="s">
        <v>94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G40" t="s">
        <v>63</v>
      </c>
      <c r="BI40">
        <v>1</v>
      </c>
      <c r="BJ40" s="2">
        <v>0.5</v>
      </c>
      <c r="BK40" t="s">
        <v>503</v>
      </c>
      <c r="BL40">
        <v>0</v>
      </c>
      <c r="BM40">
        <v>0</v>
      </c>
      <c r="BN40">
        <v>0</v>
      </c>
      <c r="BO40">
        <v>1</v>
      </c>
      <c r="BP40">
        <v>0</v>
      </c>
      <c r="BR40" t="s">
        <v>556</v>
      </c>
      <c r="BS40" t="s">
        <v>511</v>
      </c>
      <c r="BU40" t="s">
        <v>521</v>
      </c>
      <c r="BV40" t="s">
        <v>557</v>
      </c>
      <c r="BW40">
        <v>2021</v>
      </c>
      <c r="BX40">
        <v>2</v>
      </c>
      <c r="BY40" t="s">
        <v>508</v>
      </c>
      <c r="BZ40">
        <v>1</v>
      </c>
      <c r="CA40">
        <v>0</v>
      </c>
      <c r="CB40">
        <v>0</v>
      </c>
      <c r="CC40">
        <v>0</v>
      </c>
      <c r="CD40">
        <v>0</v>
      </c>
    </row>
    <row r="41" spans="1:82" x14ac:dyDescent="0.25">
      <c r="A41">
        <v>40</v>
      </c>
      <c r="B41" t="s">
        <v>240</v>
      </c>
      <c r="C41" t="s">
        <v>241</v>
      </c>
      <c r="D41" t="s">
        <v>57</v>
      </c>
      <c r="E41">
        <v>43</v>
      </c>
      <c r="F41" t="s">
        <v>87</v>
      </c>
      <c r="G41" t="s">
        <v>76</v>
      </c>
      <c r="H41" t="s">
        <v>60</v>
      </c>
      <c r="I41" t="s">
        <v>61</v>
      </c>
      <c r="J41" t="s">
        <v>62</v>
      </c>
      <c r="K41" t="s">
        <v>63</v>
      </c>
      <c r="M41" t="s">
        <v>146</v>
      </c>
      <c r="N41" t="s">
        <v>242</v>
      </c>
      <c r="O41">
        <v>4</v>
      </c>
      <c r="P41" s="1" t="s">
        <v>243</v>
      </c>
      <c r="Q41" s="5">
        <v>100</v>
      </c>
      <c r="R41" s="5">
        <v>0</v>
      </c>
      <c r="S41" s="1" t="s">
        <v>235</v>
      </c>
      <c r="T41" t="s">
        <v>316</v>
      </c>
      <c r="U41" s="7">
        <v>20000</v>
      </c>
      <c r="V41" s="2">
        <v>20</v>
      </c>
      <c r="W41">
        <v>50</v>
      </c>
      <c r="X41">
        <v>30</v>
      </c>
      <c r="Y41" t="s">
        <v>244</v>
      </c>
      <c r="Z41" t="s">
        <v>245</v>
      </c>
      <c r="AA41" s="2">
        <v>50</v>
      </c>
      <c r="AB41" s="2">
        <v>30</v>
      </c>
      <c r="AC41" s="2">
        <v>20</v>
      </c>
      <c r="AD41" s="3" t="s">
        <v>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 t="s">
        <v>224</v>
      </c>
      <c r="AN41" s="5">
        <v>10000</v>
      </c>
      <c r="AO41" t="s">
        <v>94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G41" t="s">
        <v>63</v>
      </c>
      <c r="BI41">
        <v>1</v>
      </c>
      <c r="BJ41" s="2">
        <v>0.75</v>
      </c>
      <c r="BK41" t="s">
        <v>531</v>
      </c>
      <c r="BL41">
        <v>0</v>
      </c>
      <c r="BM41">
        <v>0</v>
      </c>
      <c r="BN41">
        <v>1</v>
      </c>
      <c r="BO41">
        <v>0</v>
      </c>
      <c r="BP41">
        <v>0</v>
      </c>
      <c r="BR41" t="s">
        <v>534</v>
      </c>
      <c r="BS41" t="s">
        <v>511</v>
      </c>
      <c r="BU41" t="s">
        <v>512</v>
      </c>
      <c r="BV41" t="s">
        <v>507</v>
      </c>
      <c r="BW41">
        <v>2020</v>
      </c>
      <c r="BX41">
        <v>3</v>
      </c>
      <c r="BY41" t="s">
        <v>508</v>
      </c>
      <c r="BZ41">
        <v>1</v>
      </c>
      <c r="CA41">
        <v>0</v>
      </c>
      <c r="CB41">
        <v>0</v>
      </c>
      <c r="CC41">
        <v>0</v>
      </c>
      <c r="CD41">
        <v>0</v>
      </c>
    </row>
    <row r="42" spans="1:82" x14ac:dyDescent="0.25">
      <c r="A42">
        <v>41</v>
      </c>
      <c r="B42" t="s">
        <v>246</v>
      </c>
      <c r="C42" t="s">
        <v>247</v>
      </c>
      <c r="D42" t="s">
        <v>57</v>
      </c>
      <c r="E42">
        <v>23</v>
      </c>
      <c r="F42" t="s">
        <v>87</v>
      </c>
      <c r="G42" t="s">
        <v>76</v>
      </c>
      <c r="H42" t="s">
        <v>60</v>
      </c>
      <c r="I42" t="s">
        <v>248</v>
      </c>
      <c r="J42" t="s">
        <v>62</v>
      </c>
      <c r="K42" t="s">
        <v>63</v>
      </c>
      <c r="M42" t="s">
        <v>146</v>
      </c>
      <c r="N42" t="s">
        <v>70</v>
      </c>
      <c r="O42">
        <v>3</v>
      </c>
      <c r="P42" s="1" t="s">
        <v>118</v>
      </c>
      <c r="Q42" s="5">
        <v>100</v>
      </c>
      <c r="R42" s="5">
        <v>0</v>
      </c>
      <c r="S42" s="1" t="s">
        <v>208</v>
      </c>
      <c r="T42" t="s">
        <v>316</v>
      </c>
      <c r="U42" s="7">
        <v>50000</v>
      </c>
      <c r="V42" s="2">
        <v>90</v>
      </c>
      <c r="W42">
        <v>5</v>
      </c>
      <c r="X42">
        <v>5</v>
      </c>
      <c r="Y42" t="s">
        <v>70</v>
      </c>
      <c r="Z42" t="s">
        <v>70</v>
      </c>
      <c r="AA42" s="2" t="s">
        <v>165</v>
      </c>
      <c r="AB42" s="2" t="s">
        <v>165</v>
      </c>
      <c r="AC42" s="2" t="s">
        <v>165</v>
      </c>
      <c r="AD42" s="3" t="s">
        <v>70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70</v>
      </c>
      <c r="AN42" s="5" t="s">
        <v>72</v>
      </c>
      <c r="AO42" t="s">
        <v>94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G42" t="s">
        <v>63</v>
      </c>
      <c r="BI42">
        <v>1</v>
      </c>
      <c r="BJ42" s="2">
        <v>0.5</v>
      </c>
      <c r="BK42" t="s">
        <v>503</v>
      </c>
      <c r="BL42">
        <v>0</v>
      </c>
      <c r="BM42">
        <v>0</v>
      </c>
      <c r="BN42">
        <v>0</v>
      </c>
      <c r="BO42">
        <v>1</v>
      </c>
      <c r="BP42">
        <v>0</v>
      </c>
      <c r="BR42" t="s">
        <v>553</v>
      </c>
      <c r="BS42" t="s">
        <v>71</v>
      </c>
      <c r="BT42" t="s">
        <v>521</v>
      </c>
      <c r="BU42" t="s">
        <v>521</v>
      </c>
      <c r="BV42" t="s">
        <v>521</v>
      </c>
      <c r="BW42">
        <v>2017</v>
      </c>
      <c r="BX42">
        <v>6</v>
      </c>
      <c r="BY42" t="s">
        <v>508</v>
      </c>
      <c r="BZ42">
        <v>1</v>
      </c>
      <c r="CA42">
        <v>0</v>
      </c>
      <c r="CB42">
        <v>0</v>
      </c>
      <c r="CC42">
        <v>0</v>
      </c>
      <c r="CD42">
        <v>0</v>
      </c>
    </row>
    <row r="43" spans="1:82" x14ac:dyDescent="0.25">
      <c r="A43">
        <v>42</v>
      </c>
      <c r="B43" t="s">
        <v>249</v>
      </c>
      <c r="C43" t="s">
        <v>70</v>
      </c>
      <c r="D43" t="s">
        <v>97</v>
      </c>
      <c r="E43">
        <v>49</v>
      </c>
      <c r="F43" t="s">
        <v>58</v>
      </c>
      <c r="G43" t="s">
        <v>76</v>
      </c>
      <c r="H43" t="s">
        <v>250</v>
      </c>
      <c r="I43" t="s">
        <v>61</v>
      </c>
      <c r="J43" t="s">
        <v>62</v>
      </c>
      <c r="K43" t="s">
        <v>84</v>
      </c>
      <c r="L43" t="s">
        <v>98</v>
      </c>
      <c r="M43" t="s">
        <v>146</v>
      </c>
      <c r="N43" t="s">
        <v>70</v>
      </c>
      <c r="O43">
        <v>2</v>
      </c>
      <c r="P43" s="1" t="s">
        <v>161</v>
      </c>
      <c r="Q43" s="5">
        <f>43000/P43*100</f>
        <v>78.181818181818187</v>
      </c>
      <c r="R43" s="5">
        <v>22</v>
      </c>
      <c r="S43" s="1" t="s">
        <v>251</v>
      </c>
      <c r="T43" t="s">
        <v>148</v>
      </c>
      <c r="U43" s="7">
        <v>43000</v>
      </c>
      <c r="V43" s="2">
        <v>100</v>
      </c>
      <c r="W43">
        <v>0</v>
      </c>
      <c r="X43">
        <v>0</v>
      </c>
      <c r="Y43" t="s">
        <v>70</v>
      </c>
      <c r="Z43" t="s">
        <v>70</v>
      </c>
      <c r="AA43" s="2" t="s">
        <v>165</v>
      </c>
      <c r="AB43" s="2" t="s">
        <v>165</v>
      </c>
      <c r="AC43" s="2" t="s">
        <v>165</v>
      </c>
      <c r="AD43" s="3" t="s">
        <v>70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70</v>
      </c>
      <c r="AN43" s="5" t="s">
        <v>72</v>
      </c>
      <c r="AO43" t="s">
        <v>94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G43" t="s">
        <v>63</v>
      </c>
      <c r="BI43">
        <v>1</v>
      </c>
      <c r="BJ43" s="2">
        <v>0.25</v>
      </c>
      <c r="BK43" t="s">
        <v>531</v>
      </c>
      <c r="BL43">
        <v>0</v>
      </c>
      <c r="BM43">
        <v>0</v>
      </c>
      <c r="BN43">
        <v>1</v>
      </c>
      <c r="BO43">
        <v>0</v>
      </c>
      <c r="BP43">
        <v>0</v>
      </c>
      <c r="BR43" t="s">
        <v>140</v>
      </c>
      <c r="BS43" t="s">
        <v>505</v>
      </c>
      <c r="BU43" t="s">
        <v>512</v>
      </c>
      <c r="BV43" t="s">
        <v>507</v>
      </c>
      <c r="BW43">
        <v>1970</v>
      </c>
      <c r="BX43">
        <v>53</v>
      </c>
      <c r="BY43" t="s">
        <v>508</v>
      </c>
      <c r="BZ43">
        <v>1</v>
      </c>
      <c r="CA43">
        <v>0</v>
      </c>
      <c r="CB43">
        <v>0</v>
      </c>
      <c r="CC43">
        <v>0</v>
      </c>
      <c r="CD43">
        <v>0</v>
      </c>
    </row>
    <row r="44" spans="1:82" x14ac:dyDescent="0.25">
      <c r="A44">
        <v>43</v>
      </c>
      <c r="B44" t="s">
        <v>253</v>
      </c>
      <c r="C44" t="s">
        <v>254</v>
      </c>
      <c r="D44" t="s">
        <v>97</v>
      </c>
      <c r="E44">
        <v>53</v>
      </c>
      <c r="F44" t="s">
        <v>58</v>
      </c>
      <c r="G44" t="s">
        <v>255</v>
      </c>
      <c r="H44" t="s">
        <v>60</v>
      </c>
      <c r="I44" t="s">
        <v>61</v>
      </c>
      <c r="J44" t="s">
        <v>62</v>
      </c>
      <c r="K44" t="s">
        <v>63</v>
      </c>
      <c r="M44" t="s">
        <v>146</v>
      </c>
      <c r="N44" t="s">
        <v>256</v>
      </c>
      <c r="O44">
        <v>7</v>
      </c>
      <c r="P44" s="1" t="s">
        <v>243</v>
      </c>
      <c r="Q44" s="5">
        <v>70</v>
      </c>
      <c r="R44" s="5">
        <v>30</v>
      </c>
      <c r="S44" s="1">
        <f>P44*0.3</f>
        <v>6000</v>
      </c>
      <c r="T44" t="s">
        <v>257</v>
      </c>
      <c r="U44" s="7">
        <v>16000</v>
      </c>
      <c r="V44" s="2">
        <v>100</v>
      </c>
      <c r="W44">
        <v>0</v>
      </c>
      <c r="X44">
        <v>0</v>
      </c>
      <c r="Y44" t="s">
        <v>70</v>
      </c>
      <c r="Z44" t="s">
        <v>70</v>
      </c>
      <c r="AA44" s="2">
        <v>0</v>
      </c>
      <c r="AB44" s="2">
        <v>0</v>
      </c>
      <c r="AC44" s="2">
        <v>0</v>
      </c>
      <c r="AD44" s="3" t="s">
        <v>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 t="s">
        <v>256</v>
      </c>
      <c r="AN44" s="5">
        <v>9600</v>
      </c>
      <c r="AO44" t="s">
        <v>94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G44" t="s">
        <v>63</v>
      </c>
      <c r="BI44">
        <v>1</v>
      </c>
      <c r="BJ44" s="2">
        <v>0.5</v>
      </c>
      <c r="BK44" t="s">
        <v>509</v>
      </c>
      <c r="BL44">
        <v>0</v>
      </c>
      <c r="BM44">
        <v>1</v>
      </c>
      <c r="BN44">
        <v>0</v>
      </c>
      <c r="BO44">
        <v>0</v>
      </c>
      <c r="BP44">
        <v>0</v>
      </c>
      <c r="BR44" t="s">
        <v>527</v>
      </c>
      <c r="BS44" t="s">
        <v>519</v>
      </c>
      <c r="BV44" t="s">
        <v>521</v>
      </c>
      <c r="BW44">
        <v>2022</v>
      </c>
      <c r="BX44">
        <v>1</v>
      </c>
      <c r="BY44" t="s">
        <v>508</v>
      </c>
      <c r="BZ44">
        <v>1</v>
      </c>
      <c r="CA44">
        <v>0</v>
      </c>
      <c r="CB44">
        <v>0</v>
      </c>
      <c r="CC44">
        <v>0</v>
      </c>
      <c r="CD44">
        <v>0</v>
      </c>
    </row>
    <row r="45" spans="1:82" x14ac:dyDescent="0.25">
      <c r="A45">
        <v>44</v>
      </c>
      <c r="B45" t="s">
        <v>259</v>
      </c>
      <c r="C45" t="s">
        <v>260</v>
      </c>
      <c r="D45" t="s">
        <v>97</v>
      </c>
      <c r="E45">
        <v>33</v>
      </c>
      <c r="F45" t="s">
        <v>58</v>
      </c>
      <c r="G45" t="s">
        <v>105</v>
      </c>
      <c r="H45" t="s">
        <v>60</v>
      </c>
      <c r="I45" t="s">
        <v>113</v>
      </c>
      <c r="J45" t="s">
        <v>62</v>
      </c>
      <c r="K45" t="s">
        <v>84</v>
      </c>
      <c r="L45" t="s">
        <v>98</v>
      </c>
      <c r="M45" t="s">
        <v>146</v>
      </c>
      <c r="N45" t="s">
        <v>70</v>
      </c>
      <c r="O45">
        <v>4</v>
      </c>
      <c r="P45" s="1" t="s">
        <v>211</v>
      </c>
      <c r="Q45" s="5">
        <v>100</v>
      </c>
      <c r="R45" s="5">
        <v>0</v>
      </c>
      <c r="S45" s="1">
        <v>0</v>
      </c>
      <c r="T45" t="s">
        <v>261</v>
      </c>
      <c r="U45" s="7">
        <v>95000</v>
      </c>
      <c r="V45" s="2">
        <v>95</v>
      </c>
      <c r="W45">
        <v>3</v>
      </c>
      <c r="X45">
        <v>2</v>
      </c>
      <c r="Y45" t="s">
        <v>70</v>
      </c>
      <c r="Z45" t="s">
        <v>70</v>
      </c>
      <c r="AA45" s="2">
        <v>0</v>
      </c>
      <c r="AB45" s="2">
        <v>0</v>
      </c>
      <c r="AC45" s="2">
        <v>0</v>
      </c>
      <c r="AD45" s="3" t="s">
        <v>70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t="s">
        <v>70</v>
      </c>
      <c r="AN45" s="5" t="s">
        <v>72</v>
      </c>
      <c r="AO45" t="s">
        <v>94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G45" t="s">
        <v>63</v>
      </c>
      <c r="BI45">
        <v>1</v>
      </c>
      <c r="BJ45" s="2">
        <v>0.75</v>
      </c>
      <c r="BK45" t="s">
        <v>503</v>
      </c>
      <c r="BL45">
        <v>0</v>
      </c>
      <c r="BM45">
        <v>0</v>
      </c>
      <c r="BN45">
        <v>0</v>
      </c>
      <c r="BO45">
        <v>1</v>
      </c>
      <c r="BP45">
        <v>0</v>
      </c>
      <c r="BR45" t="s">
        <v>558</v>
      </c>
      <c r="BS45" t="s">
        <v>505</v>
      </c>
      <c r="BU45" t="s">
        <v>512</v>
      </c>
      <c r="BV45" t="s">
        <v>507</v>
      </c>
      <c r="BW45">
        <v>2009</v>
      </c>
      <c r="BX45">
        <v>14</v>
      </c>
      <c r="BY45" t="s">
        <v>508</v>
      </c>
      <c r="BZ45">
        <v>1</v>
      </c>
      <c r="CA45">
        <v>0</v>
      </c>
      <c r="CB45">
        <v>0</v>
      </c>
      <c r="CC45">
        <v>0</v>
      </c>
      <c r="CD45">
        <v>0</v>
      </c>
    </row>
    <row r="46" spans="1:82" x14ac:dyDescent="0.25">
      <c r="A46">
        <v>45</v>
      </c>
      <c r="B46" t="s">
        <v>262</v>
      </c>
      <c r="C46" t="s">
        <v>263</v>
      </c>
      <c r="D46" t="s">
        <v>97</v>
      </c>
      <c r="E46">
        <v>45</v>
      </c>
      <c r="F46" t="s">
        <v>58</v>
      </c>
      <c r="G46" t="s">
        <v>105</v>
      </c>
      <c r="H46" t="s">
        <v>60</v>
      </c>
      <c r="I46" t="s">
        <v>113</v>
      </c>
      <c r="J46" t="s">
        <v>62</v>
      </c>
      <c r="K46" t="s">
        <v>84</v>
      </c>
      <c r="L46" t="s">
        <v>98</v>
      </c>
      <c r="M46" t="s">
        <v>146</v>
      </c>
      <c r="N46" t="s">
        <v>70</v>
      </c>
      <c r="O46">
        <v>5</v>
      </c>
      <c r="P46" s="1" t="s">
        <v>264</v>
      </c>
      <c r="Q46" s="5">
        <v>100</v>
      </c>
      <c r="R46" s="5">
        <v>0</v>
      </c>
      <c r="S46" s="1">
        <v>0</v>
      </c>
      <c r="T46" t="s">
        <v>265</v>
      </c>
      <c r="U46" s="7">
        <v>450000</v>
      </c>
      <c r="V46" s="2">
        <v>100</v>
      </c>
      <c r="W46">
        <v>2</v>
      </c>
      <c r="X46">
        <v>0</v>
      </c>
      <c r="Y46" t="s">
        <v>70</v>
      </c>
      <c r="Z46" t="s">
        <v>70</v>
      </c>
      <c r="AA46" s="2">
        <v>0</v>
      </c>
      <c r="AB46" s="2">
        <v>0</v>
      </c>
      <c r="AC46" s="2">
        <v>0</v>
      </c>
      <c r="AD46" s="3" t="s">
        <v>70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t="s">
        <v>70</v>
      </c>
      <c r="AN46" s="5" t="s">
        <v>72</v>
      </c>
      <c r="AO46" t="s">
        <v>266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G46" t="s">
        <v>63</v>
      </c>
      <c r="BI46">
        <v>1</v>
      </c>
      <c r="BJ46" s="2">
        <v>1</v>
      </c>
      <c r="BK46" t="s">
        <v>503</v>
      </c>
      <c r="BL46">
        <v>0</v>
      </c>
      <c r="BM46">
        <v>0</v>
      </c>
      <c r="BN46">
        <v>0</v>
      </c>
      <c r="BO46">
        <v>1</v>
      </c>
      <c r="BP46">
        <v>0</v>
      </c>
      <c r="BR46" t="s">
        <v>559</v>
      </c>
      <c r="BS46" t="s">
        <v>511</v>
      </c>
      <c r="BU46" t="s">
        <v>506</v>
      </c>
      <c r="BV46" t="s">
        <v>507</v>
      </c>
      <c r="BW46">
        <v>2004</v>
      </c>
      <c r="BX46">
        <v>19</v>
      </c>
      <c r="BY46" t="s">
        <v>508</v>
      </c>
      <c r="BZ46">
        <v>1</v>
      </c>
      <c r="CA46">
        <v>0</v>
      </c>
      <c r="CB46">
        <v>0</v>
      </c>
      <c r="CC46">
        <v>0</v>
      </c>
      <c r="CD46">
        <v>0</v>
      </c>
    </row>
    <row r="47" spans="1:82" x14ac:dyDescent="0.25">
      <c r="A47">
        <v>46</v>
      </c>
      <c r="B47" t="s">
        <v>267</v>
      </c>
      <c r="C47" t="s">
        <v>268</v>
      </c>
      <c r="D47" t="s">
        <v>97</v>
      </c>
      <c r="E47">
        <v>61</v>
      </c>
      <c r="F47" t="s">
        <v>58</v>
      </c>
      <c r="G47" t="s">
        <v>59</v>
      </c>
      <c r="H47" t="s">
        <v>250</v>
      </c>
      <c r="I47" t="s">
        <v>61</v>
      </c>
      <c r="J47" t="s">
        <v>62</v>
      </c>
      <c r="K47" t="s">
        <v>63</v>
      </c>
      <c r="M47" t="s">
        <v>146</v>
      </c>
      <c r="N47" t="s">
        <v>269</v>
      </c>
      <c r="O47">
        <v>3</v>
      </c>
      <c r="P47" s="1" t="s">
        <v>100</v>
      </c>
      <c r="Q47" s="5">
        <v>30</v>
      </c>
      <c r="R47" s="5">
        <v>70</v>
      </c>
      <c r="S47" s="1" t="s">
        <v>118</v>
      </c>
      <c r="T47" t="s">
        <v>270</v>
      </c>
      <c r="U47" s="7">
        <v>25000</v>
      </c>
      <c r="V47" s="2">
        <v>75</v>
      </c>
      <c r="W47">
        <v>13</v>
      </c>
      <c r="X47">
        <v>12</v>
      </c>
      <c r="Y47" t="s">
        <v>70</v>
      </c>
      <c r="Z47" t="s">
        <v>70</v>
      </c>
      <c r="AA47" s="2">
        <v>0</v>
      </c>
      <c r="AB47" s="2">
        <v>0</v>
      </c>
      <c r="AC47" s="2">
        <v>0</v>
      </c>
      <c r="AD47" s="3" t="s">
        <v>71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 t="s">
        <v>269</v>
      </c>
      <c r="AN47" s="5">
        <v>50000</v>
      </c>
      <c r="AO47" t="s">
        <v>73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G47" t="s">
        <v>63</v>
      </c>
      <c r="BI47">
        <v>1</v>
      </c>
      <c r="BJ47" s="2">
        <v>0.25</v>
      </c>
      <c r="BK47" t="s">
        <v>509</v>
      </c>
      <c r="BL47">
        <v>0</v>
      </c>
      <c r="BM47">
        <v>1</v>
      </c>
      <c r="BN47">
        <v>0</v>
      </c>
      <c r="BO47">
        <v>0</v>
      </c>
      <c r="BP47">
        <v>0</v>
      </c>
      <c r="BR47" t="s">
        <v>560</v>
      </c>
      <c r="BS47" t="s">
        <v>511</v>
      </c>
      <c r="BU47" t="s">
        <v>512</v>
      </c>
      <c r="BV47" t="s">
        <v>507</v>
      </c>
      <c r="BW47">
        <v>2010</v>
      </c>
      <c r="BX47">
        <v>13</v>
      </c>
      <c r="BY47" t="s">
        <v>561</v>
      </c>
      <c r="BZ47">
        <v>1</v>
      </c>
      <c r="CA47">
        <v>0</v>
      </c>
      <c r="CB47">
        <v>0</v>
      </c>
      <c r="CC47">
        <v>0</v>
      </c>
      <c r="CD47">
        <v>1</v>
      </c>
    </row>
    <row r="48" spans="1:82" x14ac:dyDescent="0.25">
      <c r="A48">
        <v>47</v>
      </c>
      <c r="B48" t="s">
        <v>272</v>
      </c>
      <c r="C48" t="s">
        <v>273</v>
      </c>
      <c r="D48" t="s">
        <v>57</v>
      </c>
      <c r="E48">
        <v>46</v>
      </c>
      <c r="F48" t="s">
        <v>58</v>
      </c>
      <c r="G48" t="s">
        <v>105</v>
      </c>
      <c r="H48" t="s">
        <v>60</v>
      </c>
      <c r="I48" t="s">
        <v>61</v>
      </c>
      <c r="J48" t="s">
        <v>62</v>
      </c>
      <c r="K48" t="s">
        <v>63</v>
      </c>
      <c r="M48" t="s">
        <v>146</v>
      </c>
      <c r="N48" t="s">
        <v>70</v>
      </c>
      <c r="O48">
        <v>6</v>
      </c>
      <c r="P48" s="1" t="s">
        <v>274</v>
      </c>
      <c r="Q48" s="5">
        <v>80</v>
      </c>
      <c r="R48" s="5">
        <v>20</v>
      </c>
      <c r="S48" s="1" t="s">
        <v>275</v>
      </c>
      <c r="T48" t="s">
        <v>276</v>
      </c>
      <c r="U48" s="7">
        <v>240000</v>
      </c>
      <c r="V48" s="2">
        <v>95</v>
      </c>
      <c r="W48">
        <v>3</v>
      </c>
      <c r="X48">
        <v>2</v>
      </c>
      <c r="Y48" t="s">
        <v>70</v>
      </c>
      <c r="Z48" t="s">
        <v>70</v>
      </c>
      <c r="AA48" s="2">
        <v>0</v>
      </c>
      <c r="AB48" s="2">
        <v>0</v>
      </c>
      <c r="AC48" s="2">
        <v>0</v>
      </c>
      <c r="AD48" s="3" t="s">
        <v>70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t="s">
        <v>70</v>
      </c>
      <c r="AN48" s="5" t="s">
        <v>72</v>
      </c>
      <c r="AO48" t="s">
        <v>129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G48" t="s">
        <v>63</v>
      </c>
      <c r="BI48">
        <v>1</v>
      </c>
      <c r="BJ48" s="2">
        <v>0.8</v>
      </c>
      <c r="BK48" t="s">
        <v>509</v>
      </c>
      <c r="BL48">
        <v>0</v>
      </c>
      <c r="BM48">
        <v>1</v>
      </c>
      <c r="BN48">
        <v>0</v>
      </c>
      <c r="BO48">
        <v>0</v>
      </c>
      <c r="BP48">
        <v>0</v>
      </c>
      <c r="BR48" t="s">
        <v>527</v>
      </c>
      <c r="BS48" t="s">
        <v>505</v>
      </c>
      <c r="BU48" t="s">
        <v>512</v>
      </c>
      <c r="BV48" t="s">
        <v>507</v>
      </c>
      <c r="BW48">
        <v>2011</v>
      </c>
      <c r="BX48">
        <v>12</v>
      </c>
      <c r="BY48" t="s">
        <v>508</v>
      </c>
      <c r="BZ48">
        <v>1</v>
      </c>
      <c r="CA48">
        <v>0</v>
      </c>
      <c r="CB48">
        <v>0</v>
      </c>
      <c r="CC48">
        <v>0</v>
      </c>
      <c r="CD48">
        <v>0</v>
      </c>
    </row>
    <row r="49" spans="1:82" x14ac:dyDescent="0.25">
      <c r="A49">
        <v>48</v>
      </c>
      <c r="B49" t="s">
        <v>277</v>
      </c>
      <c r="C49" t="s">
        <v>278</v>
      </c>
      <c r="D49" t="s">
        <v>97</v>
      </c>
      <c r="E49">
        <v>31</v>
      </c>
      <c r="F49" t="s">
        <v>58</v>
      </c>
      <c r="G49" t="s">
        <v>105</v>
      </c>
      <c r="H49" t="s">
        <v>60</v>
      </c>
      <c r="I49" t="s">
        <v>279</v>
      </c>
      <c r="J49" t="s">
        <v>62</v>
      </c>
      <c r="K49" t="s">
        <v>84</v>
      </c>
      <c r="L49" t="s">
        <v>98</v>
      </c>
      <c r="M49" t="s">
        <v>280</v>
      </c>
      <c r="N49" t="s">
        <v>70</v>
      </c>
      <c r="O49">
        <v>4</v>
      </c>
      <c r="P49" s="1" t="s">
        <v>281</v>
      </c>
      <c r="Q49" s="5">
        <v>100</v>
      </c>
      <c r="R49" s="5">
        <v>0</v>
      </c>
      <c r="S49" s="1">
        <v>0</v>
      </c>
      <c r="T49" t="s">
        <v>282</v>
      </c>
      <c r="U49" s="7">
        <v>180000</v>
      </c>
      <c r="V49" s="2" t="s">
        <v>128</v>
      </c>
      <c r="W49">
        <v>5</v>
      </c>
      <c r="X49">
        <v>5</v>
      </c>
      <c r="Y49" t="s">
        <v>70</v>
      </c>
      <c r="Z49" t="s">
        <v>70</v>
      </c>
      <c r="AA49" s="2">
        <v>0</v>
      </c>
      <c r="AB49" s="2">
        <v>0</v>
      </c>
      <c r="AC49" s="2">
        <v>0</v>
      </c>
      <c r="AD49" s="3" t="s">
        <v>70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t="s">
        <v>70</v>
      </c>
      <c r="AN49" s="5" t="s">
        <v>72</v>
      </c>
      <c r="AO49" t="s">
        <v>71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 t="s">
        <v>283</v>
      </c>
      <c r="BG49" t="s">
        <v>63</v>
      </c>
      <c r="BI49">
        <v>1</v>
      </c>
      <c r="BJ49" s="2">
        <v>0.75</v>
      </c>
      <c r="BK49" t="s">
        <v>509</v>
      </c>
      <c r="BL49">
        <v>0</v>
      </c>
      <c r="BM49">
        <v>1</v>
      </c>
      <c r="BN49">
        <v>0</v>
      </c>
      <c r="BO49">
        <v>0</v>
      </c>
      <c r="BP49">
        <v>0</v>
      </c>
      <c r="BR49" t="s">
        <v>562</v>
      </c>
      <c r="BS49" t="s">
        <v>505</v>
      </c>
      <c r="BU49" t="s">
        <v>512</v>
      </c>
      <c r="BV49" t="s">
        <v>507</v>
      </c>
      <c r="BW49">
        <v>2016</v>
      </c>
      <c r="BX49">
        <v>7</v>
      </c>
      <c r="BY49" t="s">
        <v>508</v>
      </c>
      <c r="BZ49">
        <v>1</v>
      </c>
      <c r="CA49">
        <v>0</v>
      </c>
      <c r="CB49">
        <v>0</v>
      </c>
      <c r="CC49">
        <v>0</v>
      </c>
      <c r="CD49">
        <v>0</v>
      </c>
    </row>
    <row r="50" spans="1:82" x14ac:dyDescent="0.25">
      <c r="A50">
        <v>49</v>
      </c>
      <c r="B50" t="s">
        <v>284</v>
      </c>
      <c r="C50" t="s">
        <v>70</v>
      </c>
      <c r="D50" t="s">
        <v>57</v>
      </c>
      <c r="E50">
        <v>52</v>
      </c>
      <c r="F50" t="s">
        <v>58</v>
      </c>
      <c r="G50" t="s">
        <v>105</v>
      </c>
      <c r="H50" t="s">
        <v>60</v>
      </c>
      <c r="I50" t="s">
        <v>113</v>
      </c>
      <c r="J50" t="s">
        <v>62</v>
      </c>
      <c r="K50" t="s">
        <v>63</v>
      </c>
      <c r="M50" t="s">
        <v>280</v>
      </c>
      <c r="N50" t="s">
        <v>70</v>
      </c>
      <c r="O50">
        <v>7</v>
      </c>
      <c r="P50" s="1" t="s">
        <v>285</v>
      </c>
      <c r="Q50" s="5">
        <v>100</v>
      </c>
      <c r="R50" s="5">
        <v>0</v>
      </c>
      <c r="S50" s="1">
        <v>0</v>
      </c>
      <c r="T50" t="s">
        <v>115</v>
      </c>
      <c r="U50" s="7">
        <v>140000</v>
      </c>
      <c r="V50" s="2" t="s">
        <v>286</v>
      </c>
      <c r="W50">
        <v>3</v>
      </c>
      <c r="X50">
        <v>2</v>
      </c>
      <c r="Y50" t="s">
        <v>70</v>
      </c>
      <c r="Z50" t="s">
        <v>70</v>
      </c>
      <c r="AA50" s="2">
        <v>0</v>
      </c>
      <c r="AB50" s="2">
        <v>0</v>
      </c>
      <c r="AC50" s="2">
        <v>0</v>
      </c>
      <c r="AD50" s="3" t="s">
        <v>70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t="s">
        <v>70</v>
      </c>
      <c r="AN50" s="5" t="s">
        <v>72</v>
      </c>
      <c r="AO50" t="s">
        <v>94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G50" t="s">
        <v>63</v>
      </c>
      <c r="BI50">
        <v>1</v>
      </c>
      <c r="BJ50" s="2">
        <v>0.75</v>
      </c>
      <c r="BK50" t="s">
        <v>503</v>
      </c>
      <c r="BL50">
        <v>0</v>
      </c>
      <c r="BM50">
        <v>0</v>
      </c>
      <c r="BN50">
        <v>0</v>
      </c>
      <c r="BO50">
        <v>1</v>
      </c>
      <c r="BP50">
        <v>0</v>
      </c>
      <c r="BR50" t="s">
        <v>527</v>
      </c>
      <c r="BS50" t="s">
        <v>505</v>
      </c>
      <c r="BU50" t="s">
        <v>506</v>
      </c>
      <c r="BV50" t="s">
        <v>507</v>
      </c>
      <c r="BW50">
        <v>1996</v>
      </c>
      <c r="BX50">
        <v>27</v>
      </c>
      <c r="BY50" t="s">
        <v>508</v>
      </c>
      <c r="BZ50">
        <v>1</v>
      </c>
      <c r="CA50">
        <v>0</v>
      </c>
      <c r="CB50">
        <v>0</v>
      </c>
      <c r="CC50">
        <v>0</v>
      </c>
      <c r="CD50">
        <v>0</v>
      </c>
    </row>
    <row r="51" spans="1:82" x14ac:dyDescent="0.25">
      <c r="A51">
        <v>50</v>
      </c>
      <c r="B51" t="s">
        <v>287</v>
      </c>
      <c r="C51" t="s">
        <v>288</v>
      </c>
      <c r="D51" t="s">
        <v>57</v>
      </c>
      <c r="E51">
        <v>30</v>
      </c>
      <c r="F51" t="s">
        <v>58</v>
      </c>
      <c r="G51" t="s">
        <v>105</v>
      </c>
      <c r="H51" t="s">
        <v>60</v>
      </c>
      <c r="I51" t="s">
        <v>113</v>
      </c>
      <c r="J51" t="s">
        <v>62</v>
      </c>
      <c r="K51" t="s">
        <v>63</v>
      </c>
      <c r="M51" t="s">
        <v>289</v>
      </c>
      <c r="N51" t="s">
        <v>70</v>
      </c>
      <c r="O51">
        <v>5</v>
      </c>
      <c r="P51" s="1" t="s">
        <v>243</v>
      </c>
      <c r="Q51" s="5">
        <v>100</v>
      </c>
      <c r="R51" s="5">
        <v>0</v>
      </c>
      <c r="S51" s="1">
        <v>0</v>
      </c>
      <c r="T51" t="s">
        <v>171</v>
      </c>
      <c r="U51" s="7">
        <v>12000</v>
      </c>
      <c r="V51" s="2" t="s">
        <v>69</v>
      </c>
      <c r="W51">
        <v>0</v>
      </c>
      <c r="X51">
        <v>0</v>
      </c>
      <c r="Y51" t="s">
        <v>70</v>
      </c>
      <c r="Z51" t="s">
        <v>70</v>
      </c>
      <c r="AA51" s="2">
        <v>0</v>
      </c>
      <c r="AB51" s="2">
        <v>0</v>
      </c>
      <c r="AC51" s="2">
        <v>0</v>
      </c>
      <c r="AD51" s="3" t="s">
        <v>70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t="s">
        <v>70</v>
      </c>
      <c r="AN51" s="5" t="s">
        <v>72</v>
      </c>
      <c r="AO51" t="s">
        <v>94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G51" t="s">
        <v>63</v>
      </c>
      <c r="BI51">
        <v>1</v>
      </c>
      <c r="BJ51" s="2">
        <v>0.25</v>
      </c>
      <c r="BK51" t="s">
        <v>516</v>
      </c>
      <c r="BL51">
        <v>1</v>
      </c>
      <c r="BM51">
        <v>0</v>
      </c>
      <c r="BN51">
        <v>0</v>
      </c>
      <c r="BO51">
        <v>0</v>
      </c>
      <c r="BP51">
        <v>0</v>
      </c>
      <c r="BR51" t="s">
        <v>563</v>
      </c>
      <c r="BS51" t="s">
        <v>71</v>
      </c>
      <c r="BT51" t="s">
        <v>564</v>
      </c>
      <c r="BU51" t="s">
        <v>564</v>
      </c>
      <c r="BV51" t="s">
        <v>507</v>
      </c>
      <c r="BW51">
        <v>2022</v>
      </c>
      <c r="BX51">
        <v>1</v>
      </c>
      <c r="BY51" t="s">
        <v>508</v>
      </c>
      <c r="BZ51">
        <v>1</v>
      </c>
      <c r="CA51">
        <v>0</v>
      </c>
      <c r="CB51">
        <v>0</v>
      </c>
      <c r="CC51">
        <v>0</v>
      </c>
      <c r="CD51">
        <v>0</v>
      </c>
    </row>
    <row r="52" spans="1:82" x14ac:dyDescent="0.25">
      <c r="A52">
        <v>51</v>
      </c>
      <c r="B52" t="s">
        <v>290</v>
      </c>
      <c r="C52" t="s">
        <v>291</v>
      </c>
      <c r="D52" t="s">
        <v>57</v>
      </c>
      <c r="E52">
        <v>29</v>
      </c>
      <c r="F52" t="s">
        <v>58</v>
      </c>
      <c r="G52" t="s">
        <v>105</v>
      </c>
      <c r="H52" t="s">
        <v>60</v>
      </c>
      <c r="I52" t="s">
        <v>61</v>
      </c>
      <c r="J52" t="s">
        <v>62</v>
      </c>
      <c r="K52" t="s">
        <v>63</v>
      </c>
      <c r="M52" t="s">
        <v>64</v>
      </c>
      <c r="N52" t="s">
        <v>70</v>
      </c>
      <c r="O52">
        <v>3</v>
      </c>
      <c r="P52" s="1" t="s">
        <v>107</v>
      </c>
      <c r="Q52" s="5">
        <v>100</v>
      </c>
      <c r="R52" s="5">
        <v>0</v>
      </c>
      <c r="S52" s="1">
        <v>0</v>
      </c>
      <c r="T52" t="s">
        <v>292</v>
      </c>
      <c r="U52" s="7">
        <v>100000</v>
      </c>
      <c r="V52" s="2" t="s">
        <v>128</v>
      </c>
      <c r="W52">
        <v>5</v>
      </c>
      <c r="X52">
        <v>5</v>
      </c>
      <c r="Y52" t="s">
        <v>70</v>
      </c>
      <c r="Z52" t="s">
        <v>70</v>
      </c>
      <c r="AA52" s="2">
        <v>0</v>
      </c>
      <c r="AB52" s="2">
        <v>0</v>
      </c>
      <c r="AC52" s="2">
        <v>0</v>
      </c>
      <c r="AD52" s="3" t="s">
        <v>70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t="s">
        <v>70</v>
      </c>
      <c r="AN52" s="5" t="s">
        <v>72</v>
      </c>
      <c r="AO52" t="s">
        <v>83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G52" t="s">
        <v>63</v>
      </c>
      <c r="BI52">
        <v>1</v>
      </c>
      <c r="BJ52" s="2">
        <v>0.25</v>
      </c>
      <c r="BK52" t="s">
        <v>509</v>
      </c>
      <c r="BL52">
        <v>0</v>
      </c>
      <c r="BM52">
        <v>1</v>
      </c>
      <c r="BN52">
        <v>0</v>
      </c>
      <c r="BO52">
        <v>0</v>
      </c>
      <c r="BP52">
        <v>0</v>
      </c>
      <c r="BR52" t="s">
        <v>565</v>
      </c>
      <c r="BS52" t="s">
        <v>511</v>
      </c>
      <c r="BU52" t="s">
        <v>515</v>
      </c>
      <c r="BV52" t="s">
        <v>507</v>
      </c>
      <c r="BW52">
        <v>2019</v>
      </c>
      <c r="BX52">
        <v>4</v>
      </c>
      <c r="BY52" t="s">
        <v>508</v>
      </c>
      <c r="BZ52">
        <v>1</v>
      </c>
      <c r="CA52">
        <v>0</v>
      </c>
      <c r="CB52">
        <v>0</v>
      </c>
      <c r="CC52">
        <v>0</v>
      </c>
      <c r="CD52">
        <v>0</v>
      </c>
    </row>
    <row r="53" spans="1:82" x14ac:dyDescent="0.25">
      <c r="A53">
        <v>52</v>
      </c>
      <c r="B53" t="s">
        <v>293</v>
      </c>
      <c r="C53" t="s">
        <v>70</v>
      </c>
      <c r="D53" t="s">
        <v>97</v>
      </c>
      <c r="E53">
        <v>67</v>
      </c>
      <c r="F53" t="s">
        <v>294</v>
      </c>
      <c r="G53" t="s">
        <v>59</v>
      </c>
      <c r="H53" t="s">
        <v>60</v>
      </c>
      <c r="I53" t="s">
        <v>61</v>
      </c>
      <c r="J53" t="s">
        <v>62</v>
      </c>
      <c r="K53" t="s">
        <v>63</v>
      </c>
      <c r="M53" t="s">
        <v>295</v>
      </c>
      <c r="N53" t="s">
        <v>70</v>
      </c>
      <c r="O53">
        <v>4</v>
      </c>
      <c r="P53" s="1" t="s">
        <v>296</v>
      </c>
      <c r="Q53" s="5">
        <v>0</v>
      </c>
      <c r="R53" s="5">
        <v>100</v>
      </c>
      <c r="S53" s="1">
        <v>0</v>
      </c>
      <c r="T53" t="s">
        <v>316</v>
      </c>
      <c r="U53" s="7">
        <v>5000</v>
      </c>
      <c r="V53" s="2" t="s">
        <v>165</v>
      </c>
      <c r="W53">
        <v>0</v>
      </c>
      <c r="X53">
        <v>0</v>
      </c>
      <c r="Y53" t="s">
        <v>81</v>
      </c>
      <c r="Z53" t="s">
        <v>296</v>
      </c>
      <c r="AA53" s="2" t="s">
        <v>297</v>
      </c>
      <c r="AB53" s="2" t="s">
        <v>167</v>
      </c>
      <c r="AC53" s="2" t="s">
        <v>298</v>
      </c>
      <c r="AD53" s="3" t="s">
        <v>70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t="s">
        <v>70</v>
      </c>
      <c r="AN53" s="5" t="s">
        <v>72</v>
      </c>
      <c r="AO53" t="s">
        <v>94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 t="s">
        <v>63</v>
      </c>
      <c r="BI53">
        <v>1</v>
      </c>
      <c r="BJ53" s="2">
        <v>0.125</v>
      </c>
      <c r="BK53" t="s">
        <v>531</v>
      </c>
      <c r="BL53">
        <v>0</v>
      </c>
      <c r="BM53">
        <v>0</v>
      </c>
      <c r="BN53">
        <v>1</v>
      </c>
      <c r="BO53">
        <v>0</v>
      </c>
      <c r="BP53">
        <v>0</v>
      </c>
      <c r="BR53" t="s">
        <v>566</v>
      </c>
      <c r="BS53" t="s">
        <v>511</v>
      </c>
      <c r="BT53" t="s">
        <v>521</v>
      </c>
      <c r="BV53" t="s">
        <v>521</v>
      </c>
      <c r="BW53">
        <v>2015</v>
      </c>
      <c r="BX53">
        <v>8</v>
      </c>
      <c r="BY53" t="s">
        <v>508</v>
      </c>
      <c r="BZ53">
        <v>1</v>
      </c>
      <c r="CA53">
        <v>0</v>
      </c>
      <c r="CB53">
        <v>0</v>
      </c>
      <c r="CC53">
        <v>0</v>
      </c>
      <c r="CD53">
        <v>0</v>
      </c>
    </row>
    <row r="54" spans="1:82" x14ac:dyDescent="0.25">
      <c r="A54">
        <v>53</v>
      </c>
      <c r="B54" t="s">
        <v>299</v>
      </c>
      <c r="C54" t="s">
        <v>165</v>
      </c>
      <c r="D54" t="s">
        <v>57</v>
      </c>
      <c r="E54">
        <v>62</v>
      </c>
      <c r="F54" t="s">
        <v>58</v>
      </c>
      <c r="G54" t="s">
        <v>76</v>
      </c>
      <c r="H54" t="s">
        <v>60</v>
      </c>
      <c r="I54" t="s">
        <v>61</v>
      </c>
      <c r="J54" t="s">
        <v>62</v>
      </c>
      <c r="K54" t="s">
        <v>63</v>
      </c>
      <c r="M54" t="s">
        <v>295</v>
      </c>
      <c r="N54" t="s">
        <v>300</v>
      </c>
      <c r="O54">
        <v>5</v>
      </c>
      <c r="P54" s="1" t="s">
        <v>132</v>
      </c>
      <c r="Q54" s="5">
        <v>100</v>
      </c>
      <c r="R54" s="5">
        <v>0</v>
      </c>
      <c r="S54" s="1">
        <v>0</v>
      </c>
      <c r="T54" t="s">
        <v>115</v>
      </c>
      <c r="U54" s="7">
        <v>180000</v>
      </c>
      <c r="V54" s="2" t="s">
        <v>69</v>
      </c>
      <c r="W54">
        <v>0</v>
      </c>
      <c r="X54">
        <v>0</v>
      </c>
      <c r="Y54" t="s">
        <v>70</v>
      </c>
      <c r="Z54" t="s">
        <v>70</v>
      </c>
      <c r="AA54" s="2" t="s">
        <v>165</v>
      </c>
      <c r="AB54" s="2" t="s">
        <v>165</v>
      </c>
      <c r="AC54" s="2" t="s">
        <v>165</v>
      </c>
      <c r="AD54" s="3" t="s">
        <v>93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70</v>
      </c>
      <c r="AN54" s="5">
        <v>20000</v>
      </c>
      <c r="AO54" t="s">
        <v>94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G54" t="s">
        <v>63</v>
      </c>
      <c r="BI54">
        <v>1</v>
      </c>
      <c r="BJ54" s="2">
        <v>4</v>
      </c>
      <c r="BK54" t="s">
        <v>531</v>
      </c>
      <c r="BL54">
        <v>0</v>
      </c>
      <c r="BM54">
        <v>0</v>
      </c>
      <c r="BN54">
        <v>1</v>
      </c>
      <c r="BO54">
        <v>0</v>
      </c>
      <c r="BP54">
        <v>0</v>
      </c>
      <c r="BR54" t="s">
        <v>517</v>
      </c>
      <c r="BS54" t="s">
        <v>511</v>
      </c>
      <c r="BT54">
        <v>1</v>
      </c>
      <c r="BU54" t="s">
        <v>512</v>
      </c>
      <c r="BV54" t="s">
        <v>507</v>
      </c>
      <c r="BW54">
        <v>1983</v>
      </c>
      <c r="BX54">
        <v>40</v>
      </c>
      <c r="BY54" t="s">
        <v>508</v>
      </c>
      <c r="BZ54">
        <v>1</v>
      </c>
      <c r="CA54">
        <v>0</v>
      </c>
      <c r="CB54">
        <v>0</v>
      </c>
      <c r="CC54">
        <v>0</v>
      </c>
      <c r="CD54">
        <v>0</v>
      </c>
    </row>
    <row r="55" spans="1:82" x14ac:dyDescent="0.25">
      <c r="A55">
        <v>54</v>
      </c>
      <c r="B55" t="s">
        <v>301</v>
      </c>
      <c r="C55" t="s">
        <v>302</v>
      </c>
      <c r="D55" t="s">
        <v>57</v>
      </c>
      <c r="E55">
        <v>62</v>
      </c>
      <c r="F55" t="s">
        <v>58</v>
      </c>
      <c r="G55" t="s">
        <v>303</v>
      </c>
      <c r="H55" t="s">
        <v>60</v>
      </c>
      <c r="I55" t="s">
        <v>113</v>
      </c>
      <c r="J55" t="s">
        <v>62</v>
      </c>
      <c r="K55" t="s">
        <v>63</v>
      </c>
      <c r="M55" t="s">
        <v>304</v>
      </c>
      <c r="N55" t="s">
        <v>305</v>
      </c>
      <c r="O55">
        <v>3</v>
      </c>
      <c r="P55" s="1" t="s">
        <v>306</v>
      </c>
      <c r="Q55" s="5">
        <f>40000/140000*100</f>
        <v>28.571428571428569</v>
      </c>
      <c r="R55" s="5">
        <v>71</v>
      </c>
      <c r="S55" s="1" t="s">
        <v>214</v>
      </c>
      <c r="T55" t="s">
        <v>140</v>
      </c>
      <c r="U55" s="7">
        <v>20000</v>
      </c>
      <c r="V55" s="2" t="s">
        <v>69</v>
      </c>
      <c r="W55">
        <v>0</v>
      </c>
      <c r="X55">
        <v>0</v>
      </c>
      <c r="Y55" t="s">
        <v>70</v>
      </c>
      <c r="Z55" t="s">
        <v>70</v>
      </c>
      <c r="AA55" s="2" t="s">
        <v>165</v>
      </c>
      <c r="AB55" s="2" t="s">
        <v>165</v>
      </c>
      <c r="AC55" s="2" t="s">
        <v>165</v>
      </c>
      <c r="AD55" s="3" t="s">
        <v>93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70</v>
      </c>
      <c r="AN55" s="5">
        <v>120000</v>
      </c>
      <c r="AO55" t="s">
        <v>94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G55" t="s">
        <v>63</v>
      </c>
      <c r="BI55">
        <v>1</v>
      </c>
      <c r="BJ55" s="2">
        <v>1.5</v>
      </c>
      <c r="BK55" t="s">
        <v>531</v>
      </c>
      <c r="BL55">
        <v>0</v>
      </c>
      <c r="BM55">
        <v>0</v>
      </c>
      <c r="BN55">
        <v>1</v>
      </c>
      <c r="BO55">
        <v>0</v>
      </c>
      <c r="BP55">
        <v>0</v>
      </c>
      <c r="BR55" t="s">
        <v>140</v>
      </c>
      <c r="BS55" t="s">
        <v>511</v>
      </c>
      <c r="BT55">
        <v>1</v>
      </c>
      <c r="BU55" t="s">
        <v>512</v>
      </c>
      <c r="BV55" t="s">
        <v>507</v>
      </c>
      <c r="BW55">
        <v>2000</v>
      </c>
      <c r="BX55">
        <v>23</v>
      </c>
      <c r="BY55" t="s">
        <v>508</v>
      </c>
      <c r="BZ55">
        <v>1</v>
      </c>
      <c r="CA55">
        <v>0</v>
      </c>
      <c r="CB55">
        <v>0</v>
      </c>
      <c r="CC55">
        <v>0</v>
      </c>
      <c r="CD55">
        <v>0</v>
      </c>
    </row>
    <row r="56" spans="1:82" x14ac:dyDescent="0.25">
      <c r="A56">
        <v>55</v>
      </c>
      <c r="B56" t="s">
        <v>307</v>
      </c>
      <c r="C56" t="s">
        <v>308</v>
      </c>
      <c r="D56" t="s">
        <v>57</v>
      </c>
      <c r="E56">
        <v>31</v>
      </c>
      <c r="F56" t="s">
        <v>58</v>
      </c>
      <c r="G56" t="s">
        <v>303</v>
      </c>
      <c r="H56" t="s">
        <v>60</v>
      </c>
      <c r="I56" t="s">
        <v>113</v>
      </c>
      <c r="J56" t="s">
        <v>62</v>
      </c>
      <c r="K56" t="s">
        <v>63</v>
      </c>
      <c r="M56" t="s">
        <v>309</v>
      </c>
      <c r="N56" t="s">
        <v>70</v>
      </c>
      <c r="O56">
        <v>4</v>
      </c>
      <c r="P56" s="1" t="s">
        <v>310</v>
      </c>
      <c r="Q56" s="5">
        <f>60000/66000*100</f>
        <v>90.909090909090907</v>
      </c>
      <c r="R56" s="5">
        <v>9</v>
      </c>
      <c r="S56" s="1" t="s">
        <v>311</v>
      </c>
      <c r="T56" t="s">
        <v>312</v>
      </c>
      <c r="U56" s="7">
        <v>60000</v>
      </c>
      <c r="V56" s="2" t="s">
        <v>69</v>
      </c>
      <c r="W56">
        <v>0</v>
      </c>
      <c r="X56">
        <v>0</v>
      </c>
      <c r="Y56" t="s">
        <v>313</v>
      </c>
      <c r="Z56" t="s">
        <v>311</v>
      </c>
      <c r="AA56" s="2" t="s">
        <v>69</v>
      </c>
      <c r="AB56" s="2" t="s">
        <v>165</v>
      </c>
      <c r="AC56" s="2" t="s">
        <v>165</v>
      </c>
      <c r="AD56" s="3" t="s">
        <v>70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t="s">
        <v>70</v>
      </c>
      <c r="AN56" s="5" t="s">
        <v>72</v>
      </c>
      <c r="AO56" t="s">
        <v>94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G56" t="s">
        <v>63</v>
      </c>
      <c r="BI56">
        <v>1</v>
      </c>
      <c r="BJ56" s="2">
        <v>0.5</v>
      </c>
      <c r="BK56" t="s">
        <v>503</v>
      </c>
      <c r="BL56">
        <v>0</v>
      </c>
      <c r="BM56">
        <v>0</v>
      </c>
      <c r="BN56">
        <v>0</v>
      </c>
      <c r="BO56">
        <v>1</v>
      </c>
      <c r="BP56">
        <v>0</v>
      </c>
      <c r="BR56" t="s">
        <v>529</v>
      </c>
      <c r="BS56" t="s">
        <v>511</v>
      </c>
      <c r="BT56" t="s">
        <v>567</v>
      </c>
      <c r="BU56" t="s">
        <v>567</v>
      </c>
      <c r="BV56" t="s">
        <v>507</v>
      </c>
      <c r="BW56">
        <v>2017</v>
      </c>
      <c r="BX56">
        <v>6</v>
      </c>
      <c r="BY56" t="s">
        <v>508</v>
      </c>
      <c r="BZ56">
        <v>1</v>
      </c>
      <c r="CA56">
        <v>0</v>
      </c>
      <c r="CB56">
        <v>0</v>
      </c>
      <c r="CC56">
        <v>0</v>
      </c>
      <c r="CD56">
        <v>0</v>
      </c>
    </row>
    <row r="57" spans="1:82" x14ac:dyDescent="0.25">
      <c r="A57">
        <v>56</v>
      </c>
      <c r="B57" t="s">
        <v>314</v>
      </c>
      <c r="C57" t="s">
        <v>315</v>
      </c>
      <c r="D57" t="s">
        <v>97</v>
      </c>
      <c r="E57">
        <v>43</v>
      </c>
      <c r="F57" t="s">
        <v>87</v>
      </c>
      <c r="G57" t="s">
        <v>76</v>
      </c>
      <c r="H57" t="s">
        <v>60</v>
      </c>
      <c r="I57" t="s">
        <v>113</v>
      </c>
      <c r="J57" t="s">
        <v>62</v>
      </c>
      <c r="K57" t="s">
        <v>63</v>
      </c>
      <c r="M57" t="s">
        <v>146</v>
      </c>
      <c r="N57" t="s">
        <v>316</v>
      </c>
      <c r="O57">
        <v>2</v>
      </c>
      <c r="P57" s="1" t="s">
        <v>317</v>
      </c>
      <c r="Q57" s="5">
        <v>59</v>
      </c>
      <c r="R57" s="5">
        <v>41</v>
      </c>
      <c r="S57" s="1">
        <v>0</v>
      </c>
      <c r="T57" t="s">
        <v>318</v>
      </c>
      <c r="U57" s="7">
        <v>11500</v>
      </c>
      <c r="V57" s="2" t="s">
        <v>69</v>
      </c>
      <c r="W57">
        <v>0</v>
      </c>
      <c r="X57">
        <v>0</v>
      </c>
      <c r="Y57" t="s">
        <v>319</v>
      </c>
      <c r="Z57" t="s">
        <v>320</v>
      </c>
      <c r="AA57" s="2">
        <v>0</v>
      </c>
      <c r="AB57" s="2">
        <v>0</v>
      </c>
      <c r="AC57" s="2">
        <v>0</v>
      </c>
      <c r="AD57" s="3" t="s">
        <v>70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t="s">
        <v>70</v>
      </c>
      <c r="AN57" s="5" t="s">
        <v>72</v>
      </c>
      <c r="AO57" t="s">
        <v>83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G57" t="s">
        <v>84</v>
      </c>
      <c r="BH57" t="s">
        <v>321</v>
      </c>
      <c r="BI57">
        <v>1</v>
      </c>
      <c r="BJ57" s="2">
        <v>0.25</v>
      </c>
      <c r="BK57" t="s">
        <v>509</v>
      </c>
      <c r="BL57">
        <v>0</v>
      </c>
      <c r="BM57">
        <v>1</v>
      </c>
      <c r="BN57">
        <v>0</v>
      </c>
      <c r="BO57">
        <v>0</v>
      </c>
      <c r="BP57">
        <v>0</v>
      </c>
      <c r="BR57" t="s">
        <v>529</v>
      </c>
      <c r="BS57" t="s">
        <v>71</v>
      </c>
      <c r="BT57" t="s">
        <v>569</v>
      </c>
      <c r="BV57" t="s">
        <v>507</v>
      </c>
      <c r="BW57">
        <v>2016</v>
      </c>
      <c r="BX57">
        <v>7</v>
      </c>
      <c r="BY57" t="s">
        <v>508</v>
      </c>
      <c r="BZ57">
        <v>1</v>
      </c>
      <c r="CA57">
        <v>0</v>
      </c>
      <c r="CB57">
        <v>0</v>
      </c>
      <c r="CC57">
        <v>0</v>
      </c>
      <c r="CD57">
        <v>0</v>
      </c>
    </row>
    <row r="58" spans="1:82" x14ac:dyDescent="0.25">
      <c r="A58">
        <v>57</v>
      </c>
      <c r="B58" t="s">
        <v>322</v>
      </c>
      <c r="C58" t="s">
        <v>323</v>
      </c>
      <c r="D58" t="s">
        <v>97</v>
      </c>
      <c r="E58">
        <v>50</v>
      </c>
      <c r="F58" t="s">
        <v>58</v>
      </c>
      <c r="G58" t="s">
        <v>324</v>
      </c>
      <c r="H58" t="s">
        <v>60</v>
      </c>
      <c r="I58" t="s">
        <v>113</v>
      </c>
      <c r="J58" t="s">
        <v>62</v>
      </c>
      <c r="K58" t="s">
        <v>63</v>
      </c>
      <c r="M58" t="s">
        <v>146</v>
      </c>
      <c r="N58" t="s">
        <v>325</v>
      </c>
      <c r="O58">
        <v>2</v>
      </c>
      <c r="P58" s="1" t="s">
        <v>326</v>
      </c>
      <c r="Q58" s="5">
        <v>29</v>
      </c>
      <c r="R58" s="5">
        <v>71</v>
      </c>
      <c r="S58" s="1" t="s">
        <v>176</v>
      </c>
      <c r="T58" t="s">
        <v>148</v>
      </c>
      <c r="U58" s="7">
        <v>25000</v>
      </c>
      <c r="V58" s="2" t="s">
        <v>69</v>
      </c>
      <c r="W58">
        <v>0</v>
      </c>
      <c r="X58">
        <v>0</v>
      </c>
      <c r="Y58" t="s">
        <v>70</v>
      </c>
      <c r="Z58" t="s">
        <v>70</v>
      </c>
      <c r="AA58" s="2" t="s">
        <v>165</v>
      </c>
      <c r="AB58" s="2" t="s">
        <v>165</v>
      </c>
      <c r="AC58" s="2" t="s">
        <v>165</v>
      </c>
      <c r="AD58" s="3" t="s">
        <v>71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 t="s">
        <v>325</v>
      </c>
      <c r="AN58" s="5">
        <v>60000</v>
      </c>
      <c r="AO58" t="s">
        <v>73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G58" t="s">
        <v>63</v>
      </c>
      <c r="BI58">
        <v>1</v>
      </c>
      <c r="BJ58" s="2">
        <v>0.5</v>
      </c>
      <c r="BK58" t="s">
        <v>509</v>
      </c>
      <c r="BL58">
        <v>0</v>
      </c>
      <c r="BM58">
        <v>1</v>
      </c>
      <c r="BN58">
        <v>0</v>
      </c>
      <c r="BO58">
        <v>0</v>
      </c>
      <c r="BP58">
        <v>0</v>
      </c>
      <c r="BR58" t="s">
        <v>570</v>
      </c>
      <c r="BS58" t="s">
        <v>71</v>
      </c>
      <c r="BT58" t="s">
        <v>506</v>
      </c>
      <c r="BU58" t="s">
        <v>515</v>
      </c>
      <c r="BV58" t="s">
        <v>507</v>
      </c>
      <c r="BW58">
        <v>2015</v>
      </c>
      <c r="BX58">
        <v>8</v>
      </c>
      <c r="BY58" t="s">
        <v>508</v>
      </c>
      <c r="BZ58">
        <v>1</v>
      </c>
      <c r="CA58">
        <v>0</v>
      </c>
      <c r="CB58">
        <v>0</v>
      </c>
      <c r="CC58">
        <v>0</v>
      </c>
      <c r="CD58">
        <v>0</v>
      </c>
    </row>
    <row r="59" spans="1:82" x14ac:dyDescent="0.25">
      <c r="A59">
        <v>58</v>
      </c>
      <c r="B59" t="s">
        <v>327</v>
      </c>
      <c r="C59" t="s">
        <v>328</v>
      </c>
      <c r="D59" t="s">
        <v>97</v>
      </c>
      <c r="E59">
        <v>37</v>
      </c>
      <c r="F59" t="s">
        <v>58</v>
      </c>
      <c r="G59" t="s">
        <v>76</v>
      </c>
      <c r="H59" t="s">
        <v>60</v>
      </c>
      <c r="I59" t="s">
        <v>61</v>
      </c>
      <c r="J59" t="s">
        <v>62</v>
      </c>
      <c r="K59" t="s">
        <v>84</v>
      </c>
      <c r="L59" t="s">
        <v>98</v>
      </c>
      <c r="M59" t="s">
        <v>146</v>
      </c>
      <c r="N59" t="s">
        <v>316</v>
      </c>
      <c r="O59">
        <v>5</v>
      </c>
      <c r="P59" s="1" t="s">
        <v>329</v>
      </c>
      <c r="Q59" s="5">
        <v>43</v>
      </c>
      <c r="R59" s="5">
        <v>57</v>
      </c>
      <c r="S59" s="1">
        <v>0</v>
      </c>
      <c r="T59" t="s">
        <v>148</v>
      </c>
      <c r="U59" s="7">
        <v>50000</v>
      </c>
      <c r="V59" s="2" t="s">
        <v>286</v>
      </c>
      <c r="W59">
        <v>3</v>
      </c>
      <c r="X59">
        <v>2</v>
      </c>
      <c r="Y59" t="s">
        <v>330</v>
      </c>
      <c r="Z59" t="s">
        <v>331</v>
      </c>
      <c r="AA59" s="2" t="s">
        <v>165</v>
      </c>
      <c r="AB59" s="2" t="s">
        <v>165</v>
      </c>
      <c r="AC59" s="2" t="s">
        <v>165</v>
      </c>
      <c r="AD59" s="3" t="s">
        <v>70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70</v>
      </c>
      <c r="AN59" s="5" t="s">
        <v>72</v>
      </c>
      <c r="AO59" t="s">
        <v>73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G59" t="s">
        <v>63</v>
      </c>
      <c r="BI59">
        <v>1</v>
      </c>
      <c r="BJ59" s="2">
        <v>0.25</v>
      </c>
      <c r="BK59" t="s">
        <v>509</v>
      </c>
      <c r="BL59">
        <v>0</v>
      </c>
      <c r="BM59">
        <v>1</v>
      </c>
      <c r="BN59">
        <v>0</v>
      </c>
      <c r="BO59">
        <v>0</v>
      </c>
      <c r="BP59">
        <v>0</v>
      </c>
      <c r="BR59" t="s">
        <v>571</v>
      </c>
      <c r="BS59" t="s">
        <v>71</v>
      </c>
      <c r="BT59" t="s">
        <v>506</v>
      </c>
      <c r="BU59" t="s">
        <v>515</v>
      </c>
      <c r="BV59" t="s">
        <v>513</v>
      </c>
      <c r="BW59">
        <v>2021</v>
      </c>
      <c r="BX59">
        <v>2</v>
      </c>
      <c r="BY59" t="s">
        <v>508</v>
      </c>
      <c r="BZ59">
        <v>1</v>
      </c>
      <c r="CA59">
        <v>0</v>
      </c>
      <c r="CB59">
        <v>0</v>
      </c>
      <c r="CC59">
        <v>0</v>
      </c>
      <c r="CD59">
        <v>0</v>
      </c>
    </row>
    <row r="60" spans="1:82" x14ac:dyDescent="0.25">
      <c r="A60">
        <v>59</v>
      </c>
      <c r="B60" t="s">
        <v>332</v>
      </c>
      <c r="C60" t="s">
        <v>333</v>
      </c>
      <c r="D60" t="s">
        <v>97</v>
      </c>
      <c r="E60">
        <v>39</v>
      </c>
      <c r="F60" t="s">
        <v>58</v>
      </c>
      <c r="G60" t="s">
        <v>59</v>
      </c>
      <c r="H60" t="s">
        <v>60</v>
      </c>
      <c r="I60" t="s">
        <v>113</v>
      </c>
      <c r="J60" t="s">
        <v>62</v>
      </c>
      <c r="K60" t="s">
        <v>84</v>
      </c>
      <c r="L60" t="s">
        <v>98</v>
      </c>
      <c r="M60" t="s">
        <v>146</v>
      </c>
      <c r="N60" t="s">
        <v>316</v>
      </c>
      <c r="O60">
        <v>3</v>
      </c>
      <c r="P60" s="1" t="s">
        <v>118</v>
      </c>
      <c r="Q60" s="5">
        <v>64</v>
      </c>
      <c r="R60" s="5">
        <v>36</v>
      </c>
      <c r="S60" s="1">
        <v>0</v>
      </c>
      <c r="T60" t="s">
        <v>334</v>
      </c>
      <c r="U60" s="7">
        <v>32000</v>
      </c>
      <c r="V60" s="2" t="s">
        <v>335</v>
      </c>
      <c r="W60">
        <v>1</v>
      </c>
      <c r="X60">
        <v>5</v>
      </c>
      <c r="Y60" t="s">
        <v>319</v>
      </c>
      <c r="Z60" t="s">
        <v>336</v>
      </c>
      <c r="AA60" s="2" t="s">
        <v>165</v>
      </c>
      <c r="AB60" s="2" t="s">
        <v>165</v>
      </c>
      <c r="AC60" s="2" t="s">
        <v>165</v>
      </c>
      <c r="AD60" s="3" t="s">
        <v>70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70</v>
      </c>
      <c r="AN60" s="5" t="s">
        <v>72</v>
      </c>
      <c r="AO60" t="s">
        <v>94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G60" t="s">
        <v>63</v>
      </c>
      <c r="BI60">
        <v>1</v>
      </c>
      <c r="BJ60" s="2">
        <v>0.75</v>
      </c>
      <c r="BK60" t="s">
        <v>531</v>
      </c>
      <c r="BL60">
        <v>0</v>
      </c>
      <c r="BM60">
        <v>0</v>
      </c>
      <c r="BN60">
        <v>1</v>
      </c>
      <c r="BO60">
        <v>0</v>
      </c>
      <c r="BP60">
        <v>0</v>
      </c>
      <c r="BR60" t="s">
        <v>558</v>
      </c>
      <c r="BS60" t="s">
        <v>530</v>
      </c>
      <c r="BU60" t="s">
        <v>512</v>
      </c>
      <c r="BV60" t="s">
        <v>513</v>
      </c>
      <c r="BW60">
        <v>2009</v>
      </c>
      <c r="BX60">
        <v>14</v>
      </c>
      <c r="BY60" t="s">
        <v>508</v>
      </c>
      <c r="BZ60">
        <v>1</v>
      </c>
      <c r="CA60">
        <v>0</v>
      </c>
      <c r="CB60">
        <v>0</v>
      </c>
      <c r="CC60">
        <v>0</v>
      </c>
      <c r="CD60">
        <v>0</v>
      </c>
    </row>
    <row r="61" spans="1:82" x14ac:dyDescent="0.25">
      <c r="A61">
        <v>60</v>
      </c>
      <c r="B61" t="s">
        <v>337</v>
      </c>
      <c r="C61" t="s">
        <v>338</v>
      </c>
      <c r="D61" t="s">
        <v>57</v>
      </c>
      <c r="E61">
        <v>29</v>
      </c>
      <c r="F61" t="s">
        <v>58</v>
      </c>
      <c r="G61" t="s">
        <v>76</v>
      </c>
      <c r="H61" t="s">
        <v>60</v>
      </c>
      <c r="I61" t="s">
        <v>106</v>
      </c>
      <c r="J61" t="s">
        <v>62</v>
      </c>
      <c r="K61" t="s">
        <v>63</v>
      </c>
      <c r="M61" t="s">
        <v>146</v>
      </c>
      <c r="N61" t="s">
        <v>70</v>
      </c>
      <c r="O61">
        <v>6</v>
      </c>
      <c r="P61" s="1" t="s">
        <v>114</v>
      </c>
      <c r="Q61" s="5">
        <v>100</v>
      </c>
      <c r="R61" s="5">
        <v>0</v>
      </c>
      <c r="S61" s="1">
        <v>0</v>
      </c>
      <c r="T61" t="s">
        <v>81</v>
      </c>
      <c r="U61" s="7">
        <v>150000</v>
      </c>
      <c r="V61" s="2" t="s">
        <v>69</v>
      </c>
      <c r="W61">
        <v>0</v>
      </c>
      <c r="X61">
        <v>0</v>
      </c>
      <c r="Y61" t="s">
        <v>70</v>
      </c>
      <c r="Z61" t="s">
        <v>70</v>
      </c>
      <c r="AA61" s="2" t="s">
        <v>165</v>
      </c>
      <c r="AB61" s="2" t="s">
        <v>165</v>
      </c>
      <c r="AC61" s="2" t="s">
        <v>165</v>
      </c>
      <c r="AD61" s="3" t="s">
        <v>70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70</v>
      </c>
      <c r="AN61" s="5" t="s">
        <v>72</v>
      </c>
      <c r="AO61" t="s">
        <v>94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G61" t="s">
        <v>63</v>
      </c>
      <c r="BI61">
        <v>1</v>
      </c>
      <c r="BJ61" s="2">
        <v>0.25</v>
      </c>
      <c r="BK61" t="s">
        <v>531</v>
      </c>
      <c r="BL61">
        <v>0</v>
      </c>
      <c r="BM61">
        <v>0</v>
      </c>
      <c r="BN61">
        <v>1</v>
      </c>
      <c r="BO61">
        <v>0</v>
      </c>
      <c r="BP61">
        <v>0</v>
      </c>
      <c r="BR61" t="s">
        <v>572</v>
      </c>
      <c r="BS61" t="s">
        <v>530</v>
      </c>
      <c r="BU61" t="s">
        <v>512</v>
      </c>
      <c r="BV61" t="s">
        <v>513</v>
      </c>
      <c r="BW61">
        <v>2005</v>
      </c>
      <c r="BX61">
        <v>18</v>
      </c>
      <c r="BY61" t="s">
        <v>561</v>
      </c>
      <c r="BZ61">
        <v>1</v>
      </c>
      <c r="CA61">
        <v>0</v>
      </c>
      <c r="CB61">
        <v>0</v>
      </c>
      <c r="CC61">
        <v>0</v>
      </c>
      <c r="CD61">
        <v>1</v>
      </c>
    </row>
    <row r="62" spans="1:82" x14ac:dyDescent="0.25">
      <c r="A62">
        <v>61</v>
      </c>
      <c r="B62" t="s">
        <v>339</v>
      </c>
      <c r="C62" t="s">
        <v>340</v>
      </c>
      <c r="D62" t="s">
        <v>57</v>
      </c>
      <c r="E62">
        <v>39</v>
      </c>
      <c r="F62" t="s">
        <v>58</v>
      </c>
      <c r="G62" t="s">
        <v>76</v>
      </c>
      <c r="H62" t="s">
        <v>60</v>
      </c>
      <c r="I62" t="s">
        <v>61</v>
      </c>
      <c r="J62" t="s">
        <v>62</v>
      </c>
      <c r="K62" t="s">
        <v>63</v>
      </c>
      <c r="M62" t="s">
        <v>146</v>
      </c>
      <c r="N62" t="s">
        <v>316</v>
      </c>
      <c r="O62">
        <v>6</v>
      </c>
      <c r="P62" s="1" t="s">
        <v>79</v>
      </c>
      <c r="Q62" s="5">
        <v>94</v>
      </c>
      <c r="R62" s="5">
        <v>6</v>
      </c>
      <c r="S62" s="1">
        <v>0</v>
      </c>
      <c r="T62" t="s">
        <v>148</v>
      </c>
      <c r="U62" s="7">
        <v>66000</v>
      </c>
      <c r="V62" s="2" t="s">
        <v>133</v>
      </c>
      <c r="W62">
        <v>10</v>
      </c>
      <c r="X62">
        <v>5</v>
      </c>
      <c r="Y62" t="s">
        <v>341</v>
      </c>
      <c r="Z62" t="s">
        <v>342</v>
      </c>
      <c r="AA62" s="2" t="s">
        <v>165</v>
      </c>
      <c r="AB62" s="2" t="s">
        <v>165</v>
      </c>
      <c r="AC62" s="2" t="s">
        <v>165</v>
      </c>
      <c r="AD62" s="3" t="s">
        <v>70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70</v>
      </c>
      <c r="AN62" s="5" t="s">
        <v>72</v>
      </c>
      <c r="AO62" t="s">
        <v>343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G62" t="s">
        <v>63</v>
      </c>
      <c r="BI62">
        <v>1</v>
      </c>
      <c r="BJ62" s="2">
        <v>0.75</v>
      </c>
      <c r="BK62" t="s">
        <v>503</v>
      </c>
      <c r="BL62">
        <v>0</v>
      </c>
      <c r="BM62">
        <v>0</v>
      </c>
      <c r="BN62">
        <v>0</v>
      </c>
      <c r="BO62">
        <v>1</v>
      </c>
      <c r="BP62">
        <v>0</v>
      </c>
      <c r="BR62" t="s">
        <v>573</v>
      </c>
      <c r="BS62" t="s">
        <v>71</v>
      </c>
      <c r="BT62" t="s">
        <v>506</v>
      </c>
      <c r="BU62" t="s">
        <v>515</v>
      </c>
      <c r="BV62" t="s">
        <v>507</v>
      </c>
      <c r="BW62">
        <v>2016</v>
      </c>
      <c r="BX62">
        <v>7</v>
      </c>
      <c r="BY62" t="s">
        <v>508</v>
      </c>
      <c r="BZ62">
        <v>1</v>
      </c>
      <c r="CA62">
        <v>0</v>
      </c>
      <c r="CB62">
        <v>0</v>
      </c>
      <c r="CC62">
        <v>0</v>
      </c>
      <c r="CD62">
        <v>0</v>
      </c>
    </row>
    <row r="63" spans="1:82" x14ac:dyDescent="0.25">
      <c r="A63">
        <v>62</v>
      </c>
      <c r="B63" t="s">
        <v>344</v>
      </c>
      <c r="C63" t="s">
        <v>345</v>
      </c>
      <c r="D63" t="s">
        <v>57</v>
      </c>
      <c r="E63">
        <v>47</v>
      </c>
      <c r="F63" t="s">
        <v>87</v>
      </c>
      <c r="G63" t="s">
        <v>59</v>
      </c>
      <c r="H63" t="s">
        <v>60</v>
      </c>
      <c r="I63" t="s">
        <v>61</v>
      </c>
      <c r="J63" t="s">
        <v>62</v>
      </c>
      <c r="K63" t="s">
        <v>63</v>
      </c>
      <c r="M63" t="s">
        <v>146</v>
      </c>
      <c r="N63" t="s">
        <v>316</v>
      </c>
      <c r="O63">
        <v>2</v>
      </c>
      <c r="P63" s="1" t="s">
        <v>346</v>
      </c>
      <c r="Q63" s="5">
        <v>87</v>
      </c>
      <c r="R63" s="5">
        <v>13</v>
      </c>
      <c r="S63" s="1">
        <v>0</v>
      </c>
      <c r="T63" t="s">
        <v>347</v>
      </c>
      <c r="U63" s="7">
        <v>40000</v>
      </c>
      <c r="V63" s="2" t="s">
        <v>348</v>
      </c>
      <c r="W63">
        <v>2</v>
      </c>
      <c r="X63">
        <v>1</v>
      </c>
      <c r="Y63" t="s">
        <v>349</v>
      </c>
      <c r="Z63" t="s">
        <v>311</v>
      </c>
      <c r="AA63" s="2" t="s">
        <v>165</v>
      </c>
      <c r="AB63" s="2" t="s">
        <v>165</v>
      </c>
      <c r="AC63" s="2" t="s">
        <v>165</v>
      </c>
      <c r="AD63" s="3" t="s">
        <v>70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70</v>
      </c>
      <c r="AN63" s="5" t="s">
        <v>72</v>
      </c>
      <c r="AO63" t="s">
        <v>94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G63" t="s">
        <v>84</v>
      </c>
      <c r="BH63" t="s">
        <v>350</v>
      </c>
      <c r="BI63">
        <v>1</v>
      </c>
      <c r="BJ63" s="2">
        <v>0.125</v>
      </c>
      <c r="BK63" t="s">
        <v>503</v>
      </c>
      <c r="BL63">
        <v>0</v>
      </c>
      <c r="BM63">
        <v>0</v>
      </c>
      <c r="BN63">
        <v>0</v>
      </c>
      <c r="BO63">
        <v>1</v>
      </c>
      <c r="BP63">
        <v>0</v>
      </c>
      <c r="BR63" t="s">
        <v>574</v>
      </c>
      <c r="BS63" t="s">
        <v>511</v>
      </c>
      <c r="BU63" t="s">
        <v>512</v>
      </c>
      <c r="BV63" t="s">
        <v>513</v>
      </c>
      <c r="BW63">
        <v>1991</v>
      </c>
      <c r="BX63">
        <v>32</v>
      </c>
      <c r="BY63" t="s">
        <v>508</v>
      </c>
      <c r="BZ63">
        <v>1</v>
      </c>
      <c r="CA63">
        <v>0</v>
      </c>
      <c r="CB63">
        <v>0</v>
      </c>
      <c r="CC63">
        <v>0</v>
      </c>
      <c r="CD63">
        <v>0</v>
      </c>
    </row>
    <row r="64" spans="1:82" x14ac:dyDescent="0.25">
      <c r="A64">
        <v>63</v>
      </c>
      <c r="B64" t="s">
        <v>351</v>
      </c>
      <c r="C64" t="s">
        <v>352</v>
      </c>
      <c r="D64" t="s">
        <v>57</v>
      </c>
      <c r="E64">
        <v>49</v>
      </c>
      <c r="F64" t="s">
        <v>58</v>
      </c>
      <c r="G64" t="s">
        <v>76</v>
      </c>
      <c r="H64" t="s">
        <v>60</v>
      </c>
      <c r="I64" t="s">
        <v>61</v>
      </c>
      <c r="J64" t="s">
        <v>62</v>
      </c>
      <c r="K64" t="s">
        <v>63</v>
      </c>
      <c r="M64" t="s">
        <v>146</v>
      </c>
      <c r="N64" t="s">
        <v>70</v>
      </c>
      <c r="O64">
        <v>4</v>
      </c>
      <c r="P64" s="1" t="s">
        <v>155</v>
      </c>
      <c r="Q64" s="5">
        <v>100</v>
      </c>
      <c r="R64" s="5">
        <v>0</v>
      </c>
      <c r="S64" s="1">
        <v>0</v>
      </c>
      <c r="T64" t="s">
        <v>81</v>
      </c>
      <c r="U64" s="7">
        <v>35000</v>
      </c>
      <c r="V64" s="2" t="s">
        <v>353</v>
      </c>
      <c r="W64">
        <v>30</v>
      </c>
      <c r="X64">
        <v>20</v>
      </c>
      <c r="Y64" t="s">
        <v>70</v>
      </c>
      <c r="Z64" t="s">
        <v>70</v>
      </c>
      <c r="AA64" s="2" t="s">
        <v>165</v>
      </c>
      <c r="AB64" s="2" t="s">
        <v>165</v>
      </c>
      <c r="AC64" s="2" t="s">
        <v>165</v>
      </c>
      <c r="AD64" s="3" t="s">
        <v>70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70</v>
      </c>
      <c r="AN64" s="5" t="s">
        <v>72</v>
      </c>
      <c r="AO64" t="s">
        <v>73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G64" t="s">
        <v>63</v>
      </c>
      <c r="BI64">
        <v>1</v>
      </c>
      <c r="BJ64" s="2">
        <v>0.25</v>
      </c>
      <c r="BK64" t="s">
        <v>509</v>
      </c>
      <c r="BL64">
        <v>0</v>
      </c>
      <c r="BM64">
        <v>1</v>
      </c>
      <c r="BN64">
        <v>0</v>
      </c>
      <c r="BO64">
        <v>0</v>
      </c>
      <c r="BP64">
        <v>0</v>
      </c>
      <c r="BR64" t="s">
        <v>575</v>
      </c>
      <c r="BS64" t="s">
        <v>511</v>
      </c>
      <c r="BU64" t="s">
        <v>512</v>
      </c>
      <c r="BV64" t="s">
        <v>513</v>
      </c>
      <c r="BW64">
        <v>2007</v>
      </c>
      <c r="BX64">
        <v>16</v>
      </c>
      <c r="BY64" t="s">
        <v>561</v>
      </c>
      <c r="BZ64">
        <v>1</v>
      </c>
      <c r="CA64">
        <v>0</v>
      </c>
      <c r="CB64">
        <v>0</v>
      </c>
      <c r="CC64">
        <v>0</v>
      </c>
      <c r="CD64">
        <v>1</v>
      </c>
    </row>
    <row r="65" spans="1:82" x14ac:dyDescent="0.25">
      <c r="A65">
        <v>64</v>
      </c>
      <c r="B65" t="s">
        <v>354</v>
      </c>
      <c r="C65" t="s">
        <v>355</v>
      </c>
      <c r="D65" t="s">
        <v>57</v>
      </c>
      <c r="E65">
        <v>40</v>
      </c>
      <c r="F65" t="s">
        <v>58</v>
      </c>
      <c r="G65" t="s">
        <v>76</v>
      </c>
      <c r="H65" t="s">
        <v>60</v>
      </c>
      <c r="I65" t="s">
        <v>113</v>
      </c>
      <c r="J65" t="s">
        <v>62</v>
      </c>
      <c r="K65" t="s">
        <v>63</v>
      </c>
      <c r="M65" t="s">
        <v>146</v>
      </c>
      <c r="N65" t="s">
        <v>70</v>
      </c>
      <c r="O65">
        <v>6</v>
      </c>
      <c r="P65" s="1" t="s">
        <v>356</v>
      </c>
      <c r="Q65" s="5">
        <v>100</v>
      </c>
      <c r="R65" s="5">
        <v>0</v>
      </c>
      <c r="S65" s="1">
        <v>0</v>
      </c>
      <c r="T65" t="s">
        <v>357</v>
      </c>
      <c r="U65" s="7">
        <v>520000</v>
      </c>
      <c r="V65" s="2">
        <v>70</v>
      </c>
      <c r="W65">
        <v>25</v>
      </c>
      <c r="X65">
        <v>5</v>
      </c>
      <c r="Y65" t="s">
        <v>70</v>
      </c>
      <c r="Z65" t="s">
        <v>70</v>
      </c>
      <c r="AA65" s="2" t="s">
        <v>165</v>
      </c>
      <c r="AB65" s="2" t="s">
        <v>165</v>
      </c>
      <c r="AC65" s="2" t="s">
        <v>165</v>
      </c>
      <c r="AD65" s="3" t="s">
        <v>70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70</v>
      </c>
      <c r="AN65" s="5" t="s">
        <v>72</v>
      </c>
      <c r="AO65" t="s">
        <v>73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G65" t="s">
        <v>63</v>
      </c>
      <c r="BI65">
        <v>1</v>
      </c>
      <c r="BJ65" s="2">
        <v>1</v>
      </c>
      <c r="BK65" t="s">
        <v>509</v>
      </c>
      <c r="BL65">
        <v>0</v>
      </c>
      <c r="BM65">
        <v>1</v>
      </c>
      <c r="BN65">
        <v>0</v>
      </c>
      <c r="BO65">
        <v>0</v>
      </c>
      <c r="BP65">
        <v>0</v>
      </c>
      <c r="BR65" t="s">
        <v>576</v>
      </c>
      <c r="BS65" t="s">
        <v>511</v>
      </c>
      <c r="BU65" t="s">
        <v>512</v>
      </c>
      <c r="BV65" t="s">
        <v>513</v>
      </c>
      <c r="BW65">
        <v>2000</v>
      </c>
      <c r="BX65">
        <v>23</v>
      </c>
      <c r="BY65" t="s">
        <v>508</v>
      </c>
      <c r="BZ65">
        <v>1</v>
      </c>
      <c r="CA65">
        <v>0</v>
      </c>
      <c r="CB65">
        <v>0</v>
      </c>
      <c r="CC65">
        <v>0</v>
      </c>
      <c r="CD65">
        <v>0</v>
      </c>
    </row>
    <row r="66" spans="1:82" x14ac:dyDescent="0.25">
      <c r="A66">
        <v>65</v>
      </c>
      <c r="B66" t="s">
        <v>358</v>
      </c>
      <c r="C66" t="s">
        <v>359</v>
      </c>
      <c r="D66" t="s">
        <v>57</v>
      </c>
      <c r="E66">
        <v>47</v>
      </c>
      <c r="F66" t="s">
        <v>58</v>
      </c>
      <c r="G66" t="s">
        <v>360</v>
      </c>
      <c r="H66" t="s">
        <v>60</v>
      </c>
      <c r="I66" t="s">
        <v>61</v>
      </c>
      <c r="J66" t="s">
        <v>62</v>
      </c>
      <c r="K66" t="s">
        <v>63</v>
      </c>
      <c r="M66" t="s">
        <v>146</v>
      </c>
      <c r="N66" t="s">
        <v>269</v>
      </c>
      <c r="O66">
        <v>6</v>
      </c>
      <c r="P66" s="1" t="s">
        <v>114</v>
      </c>
      <c r="Q66" s="5">
        <v>76</v>
      </c>
      <c r="R66" s="5">
        <v>24</v>
      </c>
      <c r="S66" s="1" t="s">
        <v>361</v>
      </c>
      <c r="T66" t="s">
        <v>115</v>
      </c>
      <c r="U66" s="7">
        <v>114000</v>
      </c>
      <c r="V66" s="2">
        <v>90</v>
      </c>
      <c r="W66">
        <v>10</v>
      </c>
      <c r="X66">
        <v>0</v>
      </c>
      <c r="Y66" t="s">
        <v>70</v>
      </c>
      <c r="Z66" t="s">
        <v>70</v>
      </c>
      <c r="AA66" s="2" t="s">
        <v>165</v>
      </c>
      <c r="AB66" s="2" t="s">
        <v>165</v>
      </c>
      <c r="AC66" s="2" t="s">
        <v>165</v>
      </c>
      <c r="AD66" s="3" t="s">
        <v>71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 t="s">
        <v>269</v>
      </c>
      <c r="AN66" s="5">
        <v>36000</v>
      </c>
      <c r="AO66" t="s">
        <v>343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G66" t="s">
        <v>63</v>
      </c>
      <c r="BI66">
        <v>1</v>
      </c>
      <c r="BJ66" s="2">
        <v>1.125</v>
      </c>
      <c r="BK66" t="s">
        <v>509</v>
      </c>
      <c r="BL66">
        <v>0</v>
      </c>
      <c r="BM66">
        <v>1</v>
      </c>
      <c r="BN66">
        <v>0</v>
      </c>
      <c r="BO66">
        <v>0</v>
      </c>
      <c r="BP66">
        <v>0</v>
      </c>
      <c r="BR66" t="s">
        <v>527</v>
      </c>
      <c r="BS66" t="s">
        <v>511</v>
      </c>
      <c r="BU66" t="s">
        <v>506</v>
      </c>
      <c r="BV66" t="s">
        <v>513</v>
      </c>
      <c r="BW66">
        <v>2007</v>
      </c>
      <c r="BX66">
        <v>16</v>
      </c>
      <c r="BY66" t="s">
        <v>508</v>
      </c>
      <c r="BZ66">
        <v>1</v>
      </c>
      <c r="CA66">
        <v>0</v>
      </c>
      <c r="CB66">
        <v>0</v>
      </c>
      <c r="CC66">
        <v>0</v>
      </c>
      <c r="CD66">
        <v>0</v>
      </c>
    </row>
    <row r="67" spans="1:82" x14ac:dyDescent="0.25">
      <c r="A67">
        <v>66</v>
      </c>
      <c r="B67" t="s">
        <v>362</v>
      </c>
      <c r="C67" t="s">
        <v>363</v>
      </c>
      <c r="D67" t="s">
        <v>97</v>
      </c>
      <c r="E67">
        <v>52</v>
      </c>
      <c r="F67" t="s">
        <v>87</v>
      </c>
      <c r="G67" t="s">
        <v>76</v>
      </c>
      <c r="H67" t="s">
        <v>60</v>
      </c>
      <c r="I67" t="s">
        <v>113</v>
      </c>
      <c r="J67" t="s">
        <v>62</v>
      </c>
      <c r="K67" t="s">
        <v>63</v>
      </c>
      <c r="M67" t="s">
        <v>146</v>
      </c>
      <c r="N67" t="s">
        <v>316</v>
      </c>
      <c r="O67">
        <v>4</v>
      </c>
      <c r="P67" s="1" t="s">
        <v>118</v>
      </c>
      <c r="Q67" s="5">
        <v>90</v>
      </c>
      <c r="R67" s="5">
        <v>10</v>
      </c>
      <c r="S67" s="1">
        <v>0</v>
      </c>
      <c r="T67" t="s">
        <v>364</v>
      </c>
      <c r="U67" s="7">
        <v>40000</v>
      </c>
      <c r="V67" s="2">
        <v>50</v>
      </c>
      <c r="W67">
        <v>40</v>
      </c>
      <c r="X67">
        <v>10</v>
      </c>
      <c r="Y67" t="s">
        <v>365</v>
      </c>
      <c r="Z67" t="s">
        <v>366</v>
      </c>
      <c r="AA67" s="2" t="s">
        <v>165</v>
      </c>
      <c r="AB67" s="2" t="s">
        <v>165</v>
      </c>
      <c r="AC67" s="2" t="s">
        <v>165</v>
      </c>
      <c r="AD67" s="3" t="s">
        <v>70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70</v>
      </c>
      <c r="AN67" s="5" t="s">
        <v>72</v>
      </c>
      <c r="AO67" t="s">
        <v>94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 t="s">
        <v>63</v>
      </c>
      <c r="BI67">
        <v>1</v>
      </c>
      <c r="BJ67" s="2">
        <v>5</v>
      </c>
      <c r="BK67" t="s">
        <v>516</v>
      </c>
      <c r="BL67">
        <v>1</v>
      </c>
      <c r="BM67">
        <v>0</v>
      </c>
      <c r="BN67">
        <v>0</v>
      </c>
      <c r="BO67">
        <v>0</v>
      </c>
      <c r="BP67">
        <v>0</v>
      </c>
      <c r="BR67" t="s">
        <v>577</v>
      </c>
      <c r="BS67" t="s">
        <v>511</v>
      </c>
      <c r="BT67" t="s">
        <v>533</v>
      </c>
      <c r="BU67" t="s">
        <v>533</v>
      </c>
      <c r="BV67" t="s">
        <v>578</v>
      </c>
      <c r="BW67">
        <v>2019</v>
      </c>
      <c r="BX67">
        <v>4</v>
      </c>
      <c r="BY67" t="s">
        <v>508</v>
      </c>
      <c r="BZ67">
        <v>1</v>
      </c>
      <c r="CA67">
        <v>0</v>
      </c>
      <c r="CB67">
        <v>0</v>
      </c>
      <c r="CC67">
        <v>0</v>
      </c>
      <c r="CD67">
        <v>0</v>
      </c>
    </row>
    <row r="68" spans="1:82" x14ac:dyDescent="0.25">
      <c r="A68">
        <v>67</v>
      </c>
      <c r="B68" t="s">
        <v>367</v>
      </c>
      <c r="C68" t="s">
        <v>70</v>
      </c>
      <c r="D68" t="s">
        <v>57</v>
      </c>
      <c r="E68">
        <v>60</v>
      </c>
      <c r="F68" t="s">
        <v>58</v>
      </c>
      <c r="G68" t="s">
        <v>59</v>
      </c>
      <c r="H68" t="s">
        <v>60</v>
      </c>
      <c r="I68" t="s">
        <v>61</v>
      </c>
      <c r="J68" t="s">
        <v>62</v>
      </c>
      <c r="K68" t="s">
        <v>63</v>
      </c>
      <c r="M68" t="s">
        <v>146</v>
      </c>
      <c r="N68" t="s">
        <v>368</v>
      </c>
      <c r="O68">
        <v>5</v>
      </c>
      <c r="P68" s="1" t="s">
        <v>369</v>
      </c>
      <c r="Q68" s="5">
        <v>100</v>
      </c>
      <c r="R68" s="5">
        <v>0</v>
      </c>
      <c r="S68" s="1">
        <v>0</v>
      </c>
      <c r="T68" t="s">
        <v>370</v>
      </c>
      <c r="U68" s="7">
        <v>10000</v>
      </c>
      <c r="V68" s="2">
        <v>70</v>
      </c>
      <c r="W68">
        <v>20</v>
      </c>
      <c r="X68">
        <v>10</v>
      </c>
      <c r="Y68" t="s">
        <v>365</v>
      </c>
      <c r="Z68" t="s">
        <v>371</v>
      </c>
      <c r="AA68" s="2" t="s">
        <v>165</v>
      </c>
      <c r="AB68" s="2" t="s">
        <v>165</v>
      </c>
      <c r="AC68" s="2" t="s">
        <v>165</v>
      </c>
      <c r="AD68" s="3" t="s">
        <v>70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70</v>
      </c>
      <c r="AN68" s="5" t="s">
        <v>72</v>
      </c>
      <c r="AO68" t="s">
        <v>372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G68" t="s">
        <v>63</v>
      </c>
      <c r="BI68">
        <v>1</v>
      </c>
      <c r="BJ68" s="2">
        <v>0.75</v>
      </c>
      <c r="BK68" t="s">
        <v>531</v>
      </c>
      <c r="BL68">
        <v>0</v>
      </c>
      <c r="BM68">
        <v>0</v>
      </c>
      <c r="BN68">
        <v>1</v>
      </c>
      <c r="BO68">
        <v>0</v>
      </c>
      <c r="BP68">
        <v>0</v>
      </c>
      <c r="BR68" t="s">
        <v>579</v>
      </c>
      <c r="BS68" t="s">
        <v>71</v>
      </c>
      <c r="BT68" t="s">
        <v>521</v>
      </c>
      <c r="BU68" t="s">
        <v>521</v>
      </c>
      <c r="BV68" t="s">
        <v>521</v>
      </c>
      <c r="BW68">
        <v>2012</v>
      </c>
      <c r="BX68">
        <v>11</v>
      </c>
      <c r="BY68" t="s">
        <v>508</v>
      </c>
      <c r="BZ68">
        <v>1</v>
      </c>
      <c r="CA68">
        <v>0</v>
      </c>
      <c r="CB68">
        <v>0</v>
      </c>
      <c r="CC68">
        <v>0</v>
      </c>
      <c r="CD68">
        <v>0</v>
      </c>
    </row>
    <row r="69" spans="1:82" x14ac:dyDescent="0.25">
      <c r="A69">
        <v>68</v>
      </c>
      <c r="B69" t="s">
        <v>373</v>
      </c>
      <c r="C69" t="s">
        <v>374</v>
      </c>
      <c r="D69" t="s">
        <v>57</v>
      </c>
      <c r="E69">
        <v>20</v>
      </c>
      <c r="F69" t="s">
        <v>58</v>
      </c>
      <c r="G69" t="s">
        <v>375</v>
      </c>
      <c r="H69" t="s">
        <v>60</v>
      </c>
      <c r="I69" t="s">
        <v>61</v>
      </c>
      <c r="J69" t="s">
        <v>62</v>
      </c>
      <c r="K69" t="s">
        <v>63</v>
      </c>
      <c r="M69" t="s">
        <v>146</v>
      </c>
      <c r="N69" t="s">
        <v>368</v>
      </c>
      <c r="O69">
        <v>4</v>
      </c>
      <c r="P69" s="1" t="s">
        <v>369</v>
      </c>
      <c r="Q69" s="5">
        <v>100</v>
      </c>
      <c r="R69" s="5">
        <v>0</v>
      </c>
      <c r="S69" s="1">
        <v>0</v>
      </c>
      <c r="T69" t="s">
        <v>376</v>
      </c>
      <c r="U69" s="7">
        <v>10000</v>
      </c>
      <c r="V69" s="2">
        <v>90</v>
      </c>
      <c r="W69">
        <v>5</v>
      </c>
      <c r="X69">
        <v>5</v>
      </c>
      <c r="Y69" t="s">
        <v>377</v>
      </c>
      <c r="Z69" t="s">
        <v>236</v>
      </c>
      <c r="AA69" s="2" t="s">
        <v>165</v>
      </c>
      <c r="AB69" s="2" t="s">
        <v>165</v>
      </c>
      <c r="AC69" s="2" t="s">
        <v>165</v>
      </c>
      <c r="AD69" s="3" t="s">
        <v>70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70</v>
      </c>
      <c r="AN69" s="5" t="s">
        <v>72</v>
      </c>
      <c r="AO69" t="s">
        <v>83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G69" t="s">
        <v>63</v>
      </c>
      <c r="BI69">
        <v>1</v>
      </c>
      <c r="BJ69" s="2">
        <v>0.75</v>
      </c>
      <c r="BK69" t="s">
        <v>509</v>
      </c>
      <c r="BL69">
        <v>0</v>
      </c>
      <c r="BM69">
        <v>1</v>
      </c>
      <c r="BN69">
        <v>0</v>
      </c>
      <c r="BO69">
        <v>0</v>
      </c>
      <c r="BP69">
        <v>0</v>
      </c>
      <c r="BR69" t="s">
        <v>534</v>
      </c>
      <c r="BS69" t="s">
        <v>511</v>
      </c>
      <c r="BU69" t="s">
        <v>515</v>
      </c>
      <c r="BV69" t="s">
        <v>507</v>
      </c>
      <c r="BW69">
        <v>2021</v>
      </c>
      <c r="BX69">
        <v>2</v>
      </c>
      <c r="BY69" t="s">
        <v>508</v>
      </c>
      <c r="BZ69">
        <v>1</v>
      </c>
      <c r="CA69">
        <v>0</v>
      </c>
      <c r="CB69">
        <v>0</v>
      </c>
      <c r="CC69">
        <v>0</v>
      </c>
      <c r="CD69">
        <v>0</v>
      </c>
    </row>
    <row r="70" spans="1:82" x14ac:dyDescent="0.25">
      <c r="A70">
        <v>69</v>
      </c>
      <c r="B70" t="s">
        <v>378</v>
      </c>
      <c r="C70" t="s">
        <v>70</v>
      </c>
      <c r="D70" t="s">
        <v>57</v>
      </c>
      <c r="E70">
        <v>30</v>
      </c>
      <c r="F70" t="s">
        <v>58</v>
      </c>
      <c r="G70" t="s">
        <v>76</v>
      </c>
      <c r="H70" t="s">
        <v>60</v>
      </c>
      <c r="I70" t="s">
        <v>61</v>
      </c>
      <c r="J70" t="s">
        <v>62</v>
      </c>
      <c r="K70" t="s">
        <v>63</v>
      </c>
      <c r="M70" t="s">
        <v>146</v>
      </c>
      <c r="N70" t="s">
        <v>234</v>
      </c>
      <c r="O70">
        <v>5</v>
      </c>
      <c r="P70" s="1" t="s">
        <v>369</v>
      </c>
      <c r="Q70" s="5">
        <v>100</v>
      </c>
      <c r="R70" s="5">
        <v>0</v>
      </c>
      <c r="S70" s="1">
        <v>0</v>
      </c>
      <c r="T70" t="s">
        <v>376</v>
      </c>
      <c r="U70" s="7">
        <v>7500</v>
      </c>
      <c r="V70" s="2">
        <v>30</v>
      </c>
      <c r="W70">
        <v>50</v>
      </c>
      <c r="X70">
        <v>10</v>
      </c>
      <c r="Y70" t="s">
        <v>379</v>
      </c>
      <c r="Z70" t="s">
        <v>236</v>
      </c>
      <c r="AA70" s="2" t="s">
        <v>165</v>
      </c>
      <c r="AB70" s="2" t="s">
        <v>165</v>
      </c>
      <c r="AC70" s="2" t="s">
        <v>165</v>
      </c>
      <c r="AD70" s="3" t="s">
        <v>70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70</v>
      </c>
      <c r="AN70" s="5" t="s">
        <v>72</v>
      </c>
      <c r="AO70" t="s">
        <v>94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G70" t="s">
        <v>63</v>
      </c>
      <c r="BI70">
        <v>1</v>
      </c>
      <c r="BJ70" s="2">
        <v>0.75</v>
      </c>
      <c r="BK70" t="s">
        <v>531</v>
      </c>
      <c r="BL70">
        <v>0</v>
      </c>
      <c r="BM70">
        <v>0</v>
      </c>
      <c r="BN70">
        <v>1</v>
      </c>
      <c r="BO70">
        <v>0</v>
      </c>
      <c r="BP70">
        <v>0</v>
      </c>
      <c r="BR70" t="s">
        <v>552</v>
      </c>
      <c r="BS70" t="s">
        <v>511</v>
      </c>
      <c r="BT70" t="s">
        <v>533</v>
      </c>
      <c r="BU70" t="s">
        <v>533</v>
      </c>
      <c r="BV70" t="s">
        <v>557</v>
      </c>
      <c r="BW70">
        <v>2013</v>
      </c>
      <c r="BX70">
        <v>10</v>
      </c>
      <c r="BY70" t="s">
        <v>508</v>
      </c>
      <c r="BZ70">
        <v>1</v>
      </c>
      <c r="CA70">
        <v>0</v>
      </c>
      <c r="CB70">
        <v>0</v>
      </c>
      <c r="CC70">
        <v>0</v>
      </c>
      <c r="CD70">
        <v>0</v>
      </c>
    </row>
    <row r="71" spans="1:82" x14ac:dyDescent="0.25">
      <c r="A71">
        <v>70</v>
      </c>
      <c r="B71" t="s">
        <v>380</v>
      </c>
      <c r="C71" t="s">
        <v>70</v>
      </c>
      <c r="D71" t="s">
        <v>97</v>
      </c>
      <c r="E71">
        <v>64</v>
      </c>
      <c r="F71" t="s">
        <v>58</v>
      </c>
      <c r="G71" t="s">
        <v>381</v>
      </c>
      <c r="H71" t="s">
        <v>60</v>
      </c>
      <c r="I71" t="s">
        <v>61</v>
      </c>
      <c r="J71" t="s">
        <v>62</v>
      </c>
      <c r="K71" t="s">
        <v>84</v>
      </c>
      <c r="L71" t="s">
        <v>98</v>
      </c>
      <c r="M71" t="s">
        <v>146</v>
      </c>
      <c r="N71" t="s">
        <v>368</v>
      </c>
      <c r="O71">
        <v>5</v>
      </c>
      <c r="P71" s="1" t="s">
        <v>235</v>
      </c>
      <c r="Q71" s="5">
        <v>100</v>
      </c>
      <c r="R71" s="5">
        <v>0</v>
      </c>
      <c r="S71" s="1">
        <v>0</v>
      </c>
      <c r="T71" t="s">
        <v>382</v>
      </c>
      <c r="U71" s="7">
        <v>10000</v>
      </c>
      <c r="V71" s="2">
        <v>50</v>
      </c>
      <c r="W71">
        <v>30</v>
      </c>
      <c r="X71">
        <v>20</v>
      </c>
      <c r="Y71" t="s">
        <v>383</v>
      </c>
      <c r="Z71" t="s">
        <v>384</v>
      </c>
      <c r="AA71" s="2" t="s">
        <v>165</v>
      </c>
      <c r="AB71" s="2" t="s">
        <v>165</v>
      </c>
      <c r="AC71" s="2" t="s">
        <v>165</v>
      </c>
      <c r="AD71" s="3" t="s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70</v>
      </c>
      <c r="AN71" s="5" t="s">
        <v>72</v>
      </c>
      <c r="AO71" t="s">
        <v>94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G71" t="s">
        <v>63</v>
      </c>
      <c r="BI71">
        <v>1</v>
      </c>
      <c r="BJ71" s="2">
        <v>0.5</v>
      </c>
      <c r="BK71" t="s">
        <v>503</v>
      </c>
      <c r="BL71">
        <v>0</v>
      </c>
      <c r="BM71">
        <v>0</v>
      </c>
      <c r="BN71">
        <v>0</v>
      </c>
      <c r="BO71">
        <v>1</v>
      </c>
      <c r="BP71">
        <v>0</v>
      </c>
      <c r="BR71" t="s">
        <v>580</v>
      </c>
      <c r="BS71" t="s">
        <v>511</v>
      </c>
      <c r="BV71" t="s">
        <v>581</v>
      </c>
      <c r="BW71">
        <v>1992</v>
      </c>
      <c r="BX71">
        <v>31</v>
      </c>
      <c r="BY71" t="s">
        <v>582</v>
      </c>
      <c r="BZ71">
        <v>1</v>
      </c>
      <c r="CA71">
        <v>1</v>
      </c>
      <c r="CB71">
        <v>0</v>
      </c>
      <c r="CC71">
        <v>0</v>
      </c>
      <c r="CD71">
        <v>0</v>
      </c>
    </row>
    <row r="72" spans="1:82" x14ac:dyDescent="0.25">
      <c r="A72">
        <v>71</v>
      </c>
      <c r="B72" t="s">
        <v>385</v>
      </c>
      <c r="C72" t="s">
        <v>70</v>
      </c>
      <c r="D72" t="s">
        <v>57</v>
      </c>
      <c r="E72">
        <v>24</v>
      </c>
      <c r="F72" t="s">
        <v>58</v>
      </c>
      <c r="G72" t="s">
        <v>76</v>
      </c>
      <c r="H72" t="s">
        <v>60</v>
      </c>
      <c r="I72" t="s">
        <v>113</v>
      </c>
      <c r="J72" t="s">
        <v>62</v>
      </c>
      <c r="K72" t="s">
        <v>63</v>
      </c>
      <c r="M72" t="s">
        <v>146</v>
      </c>
      <c r="N72" t="s">
        <v>70</v>
      </c>
      <c r="O72">
        <v>3</v>
      </c>
      <c r="P72" s="1" t="s">
        <v>118</v>
      </c>
      <c r="Q72" s="5">
        <v>100</v>
      </c>
      <c r="R72" s="5">
        <v>0</v>
      </c>
      <c r="S72" s="1">
        <v>0</v>
      </c>
      <c r="T72" t="s">
        <v>376</v>
      </c>
      <c r="U72" s="7">
        <v>15000</v>
      </c>
      <c r="V72" s="2">
        <v>50</v>
      </c>
      <c r="W72">
        <v>40</v>
      </c>
      <c r="X72">
        <v>10</v>
      </c>
      <c r="Y72" t="s">
        <v>70</v>
      </c>
      <c r="Z72" t="s">
        <v>70</v>
      </c>
      <c r="AA72" s="2" t="s">
        <v>165</v>
      </c>
      <c r="AB72" s="2" t="s">
        <v>165</v>
      </c>
      <c r="AC72" s="2" t="s">
        <v>165</v>
      </c>
      <c r="AD72" s="3" t="s">
        <v>70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70</v>
      </c>
      <c r="AN72" s="5" t="s">
        <v>72</v>
      </c>
      <c r="AO72" t="s">
        <v>94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G72" t="s">
        <v>63</v>
      </c>
      <c r="BI72">
        <v>1</v>
      </c>
      <c r="BJ72" s="2">
        <v>0.5</v>
      </c>
      <c r="BK72" t="s">
        <v>531</v>
      </c>
      <c r="BL72">
        <v>0</v>
      </c>
      <c r="BM72">
        <v>0</v>
      </c>
      <c r="BN72">
        <v>1</v>
      </c>
      <c r="BO72">
        <v>0</v>
      </c>
      <c r="BP72">
        <v>0</v>
      </c>
      <c r="BR72" t="s">
        <v>553</v>
      </c>
      <c r="BS72" t="s">
        <v>511</v>
      </c>
      <c r="BT72" t="s">
        <v>521</v>
      </c>
      <c r="BU72" t="s">
        <v>521</v>
      </c>
      <c r="BV72" t="s">
        <v>557</v>
      </c>
      <c r="BW72">
        <v>2022</v>
      </c>
      <c r="BX72">
        <v>1</v>
      </c>
      <c r="BY72" t="s">
        <v>508</v>
      </c>
      <c r="BZ72">
        <v>1</v>
      </c>
      <c r="CA72">
        <v>0</v>
      </c>
      <c r="CB72">
        <v>0</v>
      </c>
      <c r="CC72">
        <v>0</v>
      </c>
      <c r="CD72">
        <v>0</v>
      </c>
    </row>
    <row r="73" spans="1:82" x14ac:dyDescent="0.25">
      <c r="A73">
        <v>72</v>
      </c>
      <c r="B73" t="s">
        <v>386</v>
      </c>
      <c r="C73" t="s">
        <v>387</v>
      </c>
      <c r="D73" t="s">
        <v>57</v>
      </c>
      <c r="E73">
        <v>28</v>
      </c>
      <c r="F73" t="s">
        <v>87</v>
      </c>
      <c r="G73" t="s">
        <v>76</v>
      </c>
      <c r="H73" t="s">
        <v>388</v>
      </c>
      <c r="I73" t="s">
        <v>113</v>
      </c>
      <c r="J73" t="s">
        <v>62</v>
      </c>
      <c r="K73" t="s">
        <v>63</v>
      </c>
      <c r="M73" t="s">
        <v>146</v>
      </c>
      <c r="N73" t="s">
        <v>70</v>
      </c>
      <c r="O73">
        <v>3</v>
      </c>
      <c r="P73" s="1" t="s">
        <v>82</v>
      </c>
      <c r="Q73" s="5">
        <v>100</v>
      </c>
      <c r="R73" s="5">
        <v>0</v>
      </c>
      <c r="S73" s="1">
        <v>0</v>
      </c>
      <c r="T73" t="s">
        <v>376</v>
      </c>
      <c r="U73" s="7">
        <v>30000</v>
      </c>
      <c r="V73" s="2">
        <v>50</v>
      </c>
      <c r="W73">
        <v>25</v>
      </c>
      <c r="X73">
        <v>15</v>
      </c>
      <c r="Y73" t="s">
        <v>70</v>
      </c>
      <c r="Z73" t="s">
        <v>70</v>
      </c>
      <c r="AA73" s="2" t="s">
        <v>165</v>
      </c>
      <c r="AB73" s="2" t="s">
        <v>165</v>
      </c>
      <c r="AC73" s="2" t="s">
        <v>165</v>
      </c>
      <c r="AD73" s="3" t="s">
        <v>70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70</v>
      </c>
      <c r="AN73" s="5" t="s">
        <v>72</v>
      </c>
      <c r="AO73" t="s">
        <v>73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G73" t="s">
        <v>63</v>
      </c>
      <c r="BI73">
        <v>1</v>
      </c>
      <c r="BJ73" s="2">
        <v>0.75</v>
      </c>
      <c r="BK73" t="s">
        <v>509</v>
      </c>
      <c r="BL73">
        <v>0</v>
      </c>
      <c r="BM73">
        <v>1</v>
      </c>
      <c r="BN73">
        <v>0</v>
      </c>
      <c r="BO73">
        <v>0</v>
      </c>
      <c r="BP73">
        <v>0</v>
      </c>
      <c r="BR73" t="s">
        <v>552</v>
      </c>
      <c r="BS73" t="s">
        <v>511</v>
      </c>
      <c r="BT73" t="s">
        <v>521</v>
      </c>
      <c r="BU73" t="s">
        <v>521</v>
      </c>
      <c r="BV73" t="s">
        <v>521</v>
      </c>
      <c r="BW73">
        <v>2022</v>
      </c>
      <c r="BX73">
        <v>1</v>
      </c>
      <c r="BY73" t="s">
        <v>508</v>
      </c>
      <c r="BZ73">
        <v>1</v>
      </c>
      <c r="CA73">
        <v>0</v>
      </c>
      <c r="CB73">
        <v>0</v>
      </c>
      <c r="CC73">
        <v>0</v>
      </c>
      <c r="CD73">
        <v>0</v>
      </c>
    </row>
    <row r="74" spans="1:82" x14ac:dyDescent="0.25">
      <c r="A74">
        <v>73</v>
      </c>
      <c r="B74" t="s">
        <v>389</v>
      </c>
      <c r="C74" t="s">
        <v>390</v>
      </c>
      <c r="D74" t="s">
        <v>57</v>
      </c>
      <c r="E74">
        <v>50</v>
      </c>
      <c r="F74" t="s">
        <v>58</v>
      </c>
      <c r="G74" t="s">
        <v>59</v>
      </c>
      <c r="H74" t="s">
        <v>60</v>
      </c>
      <c r="I74" t="s">
        <v>113</v>
      </c>
      <c r="J74" t="s">
        <v>62</v>
      </c>
      <c r="K74" t="s">
        <v>63</v>
      </c>
      <c r="M74" t="s">
        <v>146</v>
      </c>
      <c r="N74" t="s">
        <v>70</v>
      </c>
      <c r="O74">
        <v>3</v>
      </c>
      <c r="P74" s="1" t="s">
        <v>79</v>
      </c>
      <c r="Q74" s="5">
        <f>50000/70000*100</f>
        <v>71.428571428571431</v>
      </c>
      <c r="R74" s="5">
        <v>29</v>
      </c>
      <c r="S74" s="1">
        <v>0</v>
      </c>
      <c r="T74" t="s">
        <v>376</v>
      </c>
      <c r="U74" s="7">
        <v>50000</v>
      </c>
      <c r="V74" s="2">
        <v>95</v>
      </c>
      <c r="W74">
        <v>3</v>
      </c>
      <c r="X74">
        <v>2</v>
      </c>
      <c r="Y74" t="s">
        <v>70</v>
      </c>
      <c r="Z74" t="s">
        <v>70</v>
      </c>
      <c r="AA74" s="2" t="s">
        <v>165</v>
      </c>
      <c r="AB74" s="2" t="s">
        <v>165</v>
      </c>
      <c r="AC74" s="2" t="s">
        <v>165</v>
      </c>
      <c r="AD74" s="3" t="s">
        <v>70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70</v>
      </c>
      <c r="AN74" s="5" t="s">
        <v>72</v>
      </c>
      <c r="AO74" t="s">
        <v>94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G74" t="s">
        <v>63</v>
      </c>
      <c r="BI74">
        <v>1</v>
      </c>
      <c r="BJ74" s="2">
        <v>0.75</v>
      </c>
      <c r="BK74" t="s">
        <v>503</v>
      </c>
      <c r="BL74">
        <v>0</v>
      </c>
      <c r="BM74">
        <v>0</v>
      </c>
      <c r="BN74">
        <v>0</v>
      </c>
      <c r="BO74">
        <v>1</v>
      </c>
      <c r="BP74">
        <v>0</v>
      </c>
      <c r="BR74" t="s">
        <v>534</v>
      </c>
      <c r="BS74" t="s">
        <v>511</v>
      </c>
      <c r="BU74" t="s">
        <v>515</v>
      </c>
      <c r="BV74" t="s">
        <v>507</v>
      </c>
      <c r="BW74">
        <v>1998</v>
      </c>
      <c r="BX74">
        <v>25</v>
      </c>
      <c r="BY74" t="s">
        <v>508</v>
      </c>
      <c r="BZ74">
        <v>1</v>
      </c>
      <c r="CA74">
        <v>0</v>
      </c>
      <c r="CB74">
        <v>0</v>
      </c>
      <c r="CC74">
        <v>0</v>
      </c>
      <c r="CD74">
        <v>0</v>
      </c>
    </row>
    <row r="75" spans="1:82" x14ac:dyDescent="0.25">
      <c r="A75">
        <v>74</v>
      </c>
      <c r="B75" t="s">
        <v>391</v>
      </c>
      <c r="C75" t="s">
        <v>70</v>
      </c>
      <c r="D75" t="s">
        <v>57</v>
      </c>
      <c r="E75">
        <v>42</v>
      </c>
      <c r="F75" t="s">
        <v>58</v>
      </c>
      <c r="G75" t="s">
        <v>76</v>
      </c>
      <c r="H75" t="s">
        <v>60</v>
      </c>
      <c r="I75" t="s">
        <v>113</v>
      </c>
      <c r="J75" t="s">
        <v>62</v>
      </c>
      <c r="K75" t="s">
        <v>63</v>
      </c>
      <c r="M75" t="s">
        <v>146</v>
      </c>
      <c r="N75" t="s">
        <v>70</v>
      </c>
      <c r="O75">
        <v>4</v>
      </c>
      <c r="P75" s="1" t="s">
        <v>118</v>
      </c>
      <c r="Q75" s="5">
        <v>100</v>
      </c>
      <c r="R75" s="5">
        <v>0</v>
      </c>
      <c r="S75" s="1">
        <v>0</v>
      </c>
      <c r="T75" t="s">
        <v>376</v>
      </c>
      <c r="U75" s="7">
        <v>50000</v>
      </c>
      <c r="V75" s="2">
        <v>90</v>
      </c>
      <c r="W75">
        <v>5</v>
      </c>
      <c r="X75">
        <v>5</v>
      </c>
      <c r="Y75" t="s">
        <v>70</v>
      </c>
      <c r="Z75" t="s">
        <v>70</v>
      </c>
      <c r="AA75" s="2" t="s">
        <v>165</v>
      </c>
      <c r="AB75" s="2" t="s">
        <v>165</v>
      </c>
      <c r="AC75" s="2" t="s">
        <v>165</v>
      </c>
      <c r="AD75" s="3" t="s">
        <v>70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70</v>
      </c>
      <c r="AN75" s="5" t="s">
        <v>72</v>
      </c>
      <c r="AO75" t="s">
        <v>83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G75" t="s">
        <v>63</v>
      </c>
      <c r="BI75">
        <v>1</v>
      </c>
      <c r="BJ75" s="2">
        <v>0.5</v>
      </c>
      <c r="BK75" t="s">
        <v>509</v>
      </c>
      <c r="BL75">
        <v>0</v>
      </c>
      <c r="BM75">
        <v>1</v>
      </c>
      <c r="BN75">
        <v>0</v>
      </c>
      <c r="BO75">
        <v>0</v>
      </c>
      <c r="BP75">
        <v>0</v>
      </c>
      <c r="BR75" t="s">
        <v>552</v>
      </c>
      <c r="BS75" t="s">
        <v>511</v>
      </c>
      <c r="BU75" t="s">
        <v>512</v>
      </c>
      <c r="BV75" t="s">
        <v>507</v>
      </c>
      <c r="BW75">
        <v>2002</v>
      </c>
      <c r="BX75">
        <v>21</v>
      </c>
      <c r="BY75" t="s">
        <v>508</v>
      </c>
      <c r="BZ75">
        <v>1</v>
      </c>
      <c r="CA75">
        <v>0</v>
      </c>
      <c r="CB75">
        <v>0</v>
      </c>
      <c r="CC75">
        <v>0</v>
      </c>
      <c r="CD75">
        <v>0</v>
      </c>
    </row>
    <row r="76" spans="1:82" x14ac:dyDescent="0.25">
      <c r="A76">
        <v>75</v>
      </c>
      <c r="B76" t="s">
        <v>392</v>
      </c>
      <c r="C76" t="s">
        <v>393</v>
      </c>
      <c r="D76" t="s">
        <v>97</v>
      </c>
      <c r="E76">
        <v>52</v>
      </c>
      <c r="F76" t="s">
        <v>394</v>
      </c>
      <c r="G76" t="s">
        <v>76</v>
      </c>
      <c r="H76" t="s">
        <v>60</v>
      </c>
      <c r="I76" t="s">
        <v>113</v>
      </c>
      <c r="J76" t="s">
        <v>62</v>
      </c>
      <c r="K76" t="s">
        <v>63</v>
      </c>
      <c r="M76" t="s">
        <v>146</v>
      </c>
      <c r="N76" t="s">
        <v>99</v>
      </c>
      <c r="O76">
        <v>3</v>
      </c>
      <c r="P76" s="1" t="s">
        <v>395</v>
      </c>
      <c r="Q76" s="5">
        <v>53</v>
      </c>
      <c r="R76" s="5">
        <v>47</v>
      </c>
      <c r="S76" s="1" t="s">
        <v>336</v>
      </c>
      <c r="T76" t="s">
        <v>148</v>
      </c>
      <c r="U76" s="7">
        <v>20000</v>
      </c>
      <c r="V76" s="2" t="s">
        <v>69</v>
      </c>
      <c r="W76">
        <v>0</v>
      </c>
      <c r="X76">
        <v>0</v>
      </c>
      <c r="Y76" t="s">
        <v>70</v>
      </c>
      <c r="Z76" t="s">
        <v>70</v>
      </c>
      <c r="AA76" s="2">
        <v>0</v>
      </c>
      <c r="AB76" s="2">
        <v>0</v>
      </c>
      <c r="AC76" s="2">
        <v>0</v>
      </c>
      <c r="AD76" s="3" t="s">
        <v>71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99</v>
      </c>
      <c r="AN76" s="5">
        <v>18000</v>
      </c>
      <c r="AO76" t="s">
        <v>94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G76" t="s">
        <v>63</v>
      </c>
      <c r="BI76">
        <v>1</v>
      </c>
      <c r="BJ76" s="2">
        <v>0.5</v>
      </c>
      <c r="BK76" t="s">
        <v>531</v>
      </c>
      <c r="BL76">
        <v>0</v>
      </c>
      <c r="BM76">
        <v>0</v>
      </c>
      <c r="BN76">
        <v>1</v>
      </c>
      <c r="BO76">
        <v>0</v>
      </c>
      <c r="BP76">
        <v>0</v>
      </c>
      <c r="BR76" t="s">
        <v>529</v>
      </c>
      <c r="BS76" t="s">
        <v>511</v>
      </c>
      <c r="BT76" t="s">
        <v>506</v>
      </c>
      <c r="BU76" t="s">
        <v>512</v>
      </c>
      <c r="BV76" t="s">
        <v>513</v>
      </c>
      <c r="BW76">
        <v>2010</v>
      </c>
      <c r="BX76">
        <v>13</v>
      </c>
      <c r="BY76" t="s">
        <v>508</v>
      </c>
      <c r="BZ76">
        <v>1</v>
      </c>
      <c r="CA76">
        <v>0</v>
      </c>
      <c r="CB76">
        <v>0</v>
      </c>
      <c r="CC76">
        <v>0</v>
      </c>
      <c r="CD76">
        <v>0</v>
      </c>
    </row>
    <row r="77" spans="1:82" x14ac:dyDescent="0.25">
      <c r="A77">
        <v>76</v>
      </c>
      <c r="B77" t="s">
        <v>396</v>
      </c>
      <c r="C77" t="s">
        <v>397</v>
      </c>
      <c r="D77" t="s">
        <v>57</v>
      </c>
      <c r="E77">
        <v>33</v>
      </c>
      <c r="F77" t="s">
        <v>58</v>
      </c>
      <c r="G77" t="s">
        <v>59</v>
      </c>
      <c r="H77" t="s">
        <v>60</v>
      </c>
      <c r="I77" t="s">
        <v>113</v>
      </c>
      <c r="J77" t="s">
        <v>62</v>
      </c>
      <c r="K77" t="s">
        <v>63</v>
      </c>
      <c r="M77" t="s">
        <v>146</v>
      </c>
      <c r="N77" t="s">
        <v>316</v>
      </c>
      <c r="O77">
        <v>4</v>
      </c>
      <c r="P77" s="1" t="s">
        <v>161</v>
      </c>
      <c r="Q77" s="5">
        <v>91</v>
      </c>
      <c r="R77" s="5">
        <v>9</v>
      </c>
      <c r="S77" s="1">
        <v>0</v>
      </c>
      <c r="T77" t="s">
        <v>148</v>
      </c>
      <c r="U77" s="7">
        <v>50000</v>
      </c>
      <c r="V77" s="2" t="s">
        <v>69</v>
      </c>
      <c r="W77">
        <v>0</v>
      </c>
      <c r="X77">
        <v>0</v>
      </c>
      <c r="Y77" t="s">
        <v>398</v>
      </c>
      <c r="Z77" t="s">
        <v>296</v>
      </c>
      <c r="AA77" s="2" t="s">
        <v>165</v>
      </c>
      <c r="AB77" s="2" t="s">
        <v>165</v>
      </c>
      <c r="AC77" s="2" t="s">
        <v>165</v>
      </c>
      <c r="AD77" s="3" t="s">
        <v>70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70</v>
      </c>
      <c r="AN77" s="5" t="s">
        <v>72</v>
      </c>
      <c r="AO77" t="s">
        <v>94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G77" t="s">
        <v>63</v>
      </c>
      <c r="BI77">
        <v>1</v>
      </c>
      <c r="BJ77" s="2">
        <v>0.25</v>
      </c>
      <c r="BK77" t="s">
        <v>516</v>
      </c>
      <c r="BL77">
        <v>1</v>
      </c>
      <c r="BM77">
        <v>0</v>
      </c>
      <c r="BN77">
        <v>0</v>
      </c>
      <c r="BO77">
        <v>0</v>
      </c>
      <c r="BP77">
        <v>0</v>
      </c>
      <c r="BR77" t="s">
        <v>140</v>
      </c>
      <c r="BS77" t="s">
        <v>511</v>
      </c>
      <c r="BT77" t="s">
        <v>506</v>
      </c>
      <c r="BU77" t="s">
        <v>515</v>
      </c>
      <c r="BV77" t="s">
        <v>513</v>
      </c>
      <c r="BW77">
        <v>2020</v>
      </c>
      <c r="BX77">
        <v>3</v>
      </c>
      <c r="BY77" t="s">
        <v>508</v>
      </c>
      <c r="BZ77">
        <v>1</v>
      </c>
      <c r="CA77">
        <v>0</v>
      </c>
      <c r="CB77">
        <v>0</v>
      </c>
      <c r="CC77">
        <v>0</v>
      </c>
      <c r="CD77">
        <v>0</v>
      </c>
    </row>
    <row r="78" spans="1:82" x14ac:dyDescent="0.25">
      <c r="A78">
        <v>77</v>
      </c>
      <c r="B78" t="s">
        <v>399</v>
      </c>
      <c r="C78" t="s">
        <v>400</v>
      </c>
      <c r="D78" t="s">
        <v>57</v>
      </c>
      <c r="E78">
        <v>59</v>
      </c>
      <c r="F78" t="s">
        <v>58</v>
      </c>
      <c r="G78" t="s">
        <v>76</v>
      </c>
      <c r="H78" t="s">
        <v>60</v>
      </c>
      <c r="I78" t="s">
        <v>61</v>
      </c>
      <c r="J78" t="s">
        <v>62</v>
      </c>
      <c r="K78" t="s">
        <v>63</v>
      </c>
      <c r="M78" t="s">
        <v>146</v>
      </c>
      <c r="N78" t="s">
        <v>70</v>
      </c>
      <c r="O78">
        <v>3</v>
      </c>
      <c r="P78" s="1" t="s">
        <v>401</v>
      </c>
      <c r="Q78" s="5">
        <v>100</v>
      </c>
      <c r="R78" s="5">
        <v>0</v>
      </c>
      <c r="S78" s="1">
        <v>0</v>
      </c>
      <c r="T78" t="s">
        <v>148</v>
      </c>
      <c r="U78" s="7">
        <v>49000</v>
      </c>
      <c r="V78" s="2" t="s">
        <v>69</v>
      </c>
      <c r="W78">
        <v>0</v>
      </c>
      <c r="X78">
        <v>0</v>
      </c>
      <c r="Y78" t="s">
        <v>70</v>
      </c>
      <c r="Z78" t="s">
        <v>70</v>
      </c>
      <c r="AA78" s="2" t="s">
        <v>165</v>
      </c>
      <c r="AB78" s="2" t="s">
        <v>165</v>
      </c>
      <c r="AC78" s="2" t="s">
        <v>165</v>
      </c>
      <c r="AD78" s="3" t="s">
        <v>70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70</v>
      </c>
      <c r="AN78" s="5" t="s">
        <v>72</v>
      </c>
      <c r="AO78" t="s">
        <v>83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G78" t="s">
        <v>63</v>
      </c>
      <c r="BI78">
        <v>1</v>
      </c>
      <c r="BJ78" s="2">
        <v>0.25</v>
      </c>
      <c r="BK78" t="s">
        <v>509</v>
      </c>
      <c r="BL78">
        <v>0</v>
      </c>
      <c r="BM78">
        <v>1</v>
      </c>
      <c r="BN78">
        <v>0</v>
      </c>
      <c r="BO78">
        <v>0</v>
      </c>
      <c r="BP78">
        <v>0</v>
      </c>
      <c r="BR78" t="s">
        <v>529</v>
      </c>
      <c r="BS78" t="s">
        <v>511</v>
      </c>
      <c r="BT78" t="s">
        <v>533</v>
      </c>
      <c r="BU78" t="s">
        <v>533</v>
      </c>
      <c r="BV78" t="s">
        <v>568</v>
      </c>
      <c r="BW78">
        <v>2017</v>
      </c>
      <c r="BX78">
        <v>6</v>
      </c>
      <c r="BY78" t="s">
        <v>508</v>
      </c>
      <c r="BZ78">
        <v>1</v>
      </c>
      <c r="CA78">
        <v>0</v>
      </c>
      <c r="CB78">
        <v>0</v>
      </c>
      <c r="CC78">
        <v>0</v>
      </c>
      <c r="CD78">
        <v>0</v>
      </c>
    </row>
    <row r="79" spans="1:82" x14ac:dyDescent="0.25">
      <c r="A79">
        <v>78</v>
      </c>
      <c r="B79" t="s">
        <v>402</v>
      </c>
      <c r="C79" t="s">
        <v>403</v>
      </c>
      <c r="D79" t="s">
        <v>97</v>
      </c>
      <c r="E79">
        <v>29</v>
      </c>
      <c r="F79" t="s">
        <v>481</v>
      </c>
      <c r="G79" t="s">
        <v>76</v>
      </c>
      <c r="H79" t="s">
        <v>60</v>
      </c>
      <c r="I79" t="s">
        <v>279</v>
      </c>
      <c r="J79" t="s">
        <v>62</v>
      </c>
      <c r="K79" t="s">
        <v>84</v>
      </c>
      <c r="L79" t="s">
        <v>98</v>
      </c>
      <c r="M79" t="s">
        <v>146</v>
      </c>
      <c r="N79" t="s">
        <v>70</v>
      </c>
      <c r="O79">
        <v>3</v>
      </c>
      <c r="P79" s="1" t="s">
        <v>271</v>
      </c>
      <c r="Q79" s="5">
        <v>100</v>
      </c>
      <c r="R79" s="5">
        <v>0</v>
      </c>
      <c r="S79" s="1">
        <v>0</v>
      </c>
      <c r="T79" t="s">
        <v>81</v>
      </c>
      <c r="U79" s="7">
        <v>25000</v>
      </c>
      <c r="V79" s="2" t="s">
        <v>404</v>
      </c>
      <c r="W79">
        <v>15</v>
      </c>
      <c r="X79">
        <v>5</v>
      </c>
      <c r="Y79" t="s">
        <v>70</v>
      </c>
      <c r="Z79" t="s">
        <v>70</v>
      </c>
      <c r="AA79" s="2" t="s">
        <v>165</v>
      </c>
      <c r="AB79" s="2" t="s">
        <v>165</v>
      </c>
      <c r="AC79" s="2" t="s">
        <v>165</v>
      </c>
      <c r="AD79" s="3" t="s">
        <v>70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s">
        <v>70</v>
      </c>
      <c r="AN79" s="5" t="s">
        <v>72</v>
      </c>
      <c r="AO79" t="s">
        <v>73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G79" t="s">
        <v>63</v>
      </c>
      <c r="BI79">
        <v>1</v>
      </c>
      <c r="BJ79" s="2">
        <v>0.2</v>
      </c>
      <c r="BK79" t="s">
        <v>509</v>
      </c>
      <c r="BL79">
        <v>0</v>
      </c>
      <c r="BM79">
        <v>1</v>
      </c>
      <c r="BN79">
        <v>0</v>
      </c>
      <c r="BO79">
        <v>0</v>
      </c>
      <c r="BP79">
        <v>0</v>
      </c>
      <c r="BR79" t="s">
        <v>575</v>
      </c>
      <c r="BS79" t="s">
        <v>71</v>
      </c>
      <c r="BT79" t="s">
        <v>506</v>
      </c>
      <c r="BU79" t="s">
        <v>515</v>
      </c>
      <c r="BV79" t="s">
        <v>513</v>
      </c>
      <c r="BW79">
        <v>2022</v>
      </c>
      <c r="BX79">
        <v>1</v>
      </c>
      <c r="BY79" t="s">
        <v>508</v>
      </c>
      <c r="BZ79">
        <v>1</v>
      </c>
      <c r="CA79">
        <v>0</v>
      </c>
      <c r="CB79">
        <v>0</v>
      </c>
      <c r="CC79">
        <v>0</v>
      </c>
      <c r="CD79">
        <v>0</v>
      </c>
    </row>
    <row r="80" spans="1:82" x14ac:dyDescent="0.25">
      <c r="A80">
        <v>79</v>
      </c>
      <c r="B80" t="s">
        <v>405</v>
      </c>
      <c r="C80" t="s">
        <v>406</v>
      </c>
      <c r="D80" t="s">
        <v>97</v>
      </c>
      <c r="E80">
        <v>36</v>
      </c>
      <c r="F80" t="s">
        <v>58</v>
      </c>
      <c r="G80" t="s">
        <v>76</v>
      </c>
      <c r="H80" t="s">
        <v>60</v>
      </c>
      <c r="I80" t="s">
        <v>61</v>
      </c>
      <c r="J80" t="s">
        <v>62</v>
      </c>
      <c r="K80" t="s">
        <v>84</v>
      </c>
      <c r="L80" t="s">
        <v>98</v>
      </c>
      <c r="M80" t="s">
        <v>146</v>
      </c>
      <c r="N80" t="s">
        <v>316</v>
      </c>
      <c r="O80">
        <v>5</v>
      </c>
      <c r="P80" s="1" t="s">
        <v>407</v>
      </c>
      <c r="Q80" s="5">
        <v>13</v>
      </c>
      <c r="R80" s="5">
        <v>87</v>
      </c>
      <c r="S80" s="1">
        <v>0</v>
      </c>
      <c r="T80" t="s">
        <v>148</v>
      </c>
      <c r="U80" s="7">
        <v>6000</v>
      </c>
      <c r="V80" s="2" t="s">
        <v>69</v>
      </c>
      <c r="W80">
        <v>0</v>
      </c>
      <c r="X80">
        <v>0</v>
      </c>
      <c r="Y80" t="s">
        <v>408</v>
      </c>
      <c r="Z80" t="s">
        <v>409</v>
      </c>
      <c r="AA80" s="2" t="s">
        <v>165</v>
      </c>
      <c r="AB80" s="2" t="s">
        <v>165</v>
      </c>
      <c r="AC80" s="2" t="s">
        <v>165</v>
      </c>
      <c r="AD80" s="3" t="s">
        <v>70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70</v>
      </c>
      <c r="AN80" s="5" t="s">
        <v>72</v>
      </c>
      <c r="AO80" t="s">
        <v>94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G80" t="s">
        <v>63</v>
      </c>
      <c r="BI80">
        <v>1</v>
      </c>
      <c r="BJ80" s="2">
        <v>0.25</v>
      </c>
      <c r="BK80" t="s">
        <v>531</v>
      </c>
      <c r="BL80">
        <v>0</v>
      </c>
      <c r="BM80">
        <v>0</v>
      </c>
      <c r="BN80">
        <v>1</v>
      </c>
      <c r="BO80">
        <v>0</v>
      </c>
      <c r="BP80">
        <v>0</v>
      </c>
      <c r="BR80" t="s">
        <v>529</v>
      </c>
      <c r="BS80" t="s">
        <v>71</v>
      </c>
      <c r="BT80" t="s">
        <v>568</v>
      </c>
      <c r="BU80" t="s">
        <v>533</v>
      </c>
      <c r="BV80" t="s">
        <v>568</v>
      </c>
      <c r="BW80">
        <v>2020</v>
      </c>
      <c r="BX80">
        <v>3</v>
      </c>
      <c r="BY80" t="s">
        <v>508</v>
      </c>
      <c r="BZ80">
        <v>1</v>
      </c>
      <c r="CA80">
        <v>0</v>
      </c>
      <c r="CB80">
        <v>0</v>
      </c>
      <c r="CC80">
        <v>0</v>
      </c>
      <c r="CD80">
        <v>0</v>
      </c>
    </row>
    <row r="81" spans="1:82" x14ac:dyDescent="0.25">
      <c r="A81">
        <v>80</v>
      </c>
      <c r="B81" t="s">
        <v>410</v>
      </c>
      <c r="C81" t="s">
        <v>411</v>
      </c>
      <c r="D81" t="s">
        <v>57</v>
      </c>
      <c r="E81">
        <v>30</v>
      </c>
      <c r="F81" t="s">
        <v>58</v>
      </c>
      <c r="G81" t="s">
        <v>76</v>
      </c>
      <c r="H81" t="s">
        <v>60</v>
      </c>
      <c r="I81" t="s">
        <v>61</v>
      </c>
      <c r="J81" t="s">
        <v>62</v>
      </c>
      <c r="K81" t="s">
        <v>63</v>
      </c>
      <c r="M81" t="s">
        <v>146</v>
      </c>
      <c r="N81" t="s">
        <v>316</v>
      </c>
      <c r="O81">
        <v>5</v>
      </c>
      <c r="P81" s="1" t="s">
        <v>412</v>
      </c>
      <c r="Q81" s="5">
        <v>29</v>
      </c>
      <c r="R81" s="5">
        <v>71</v>
      </c>
      <c r="S81" s="1">
        <v>0</v>
      </c>
      <c r="T81" t="s">
        <v>148</v>
      </c>
      <c r="U81" s="7">
        <v>17000</v>
      </c>
      <c r="V81" s="2" t="s">
        <v>69</v>
      </c>
      <c r="W81">
        <v>0</v>
      </c>
      <c r="X81">
        <v>0</v>
      </c>
      <c r="Y81" t="s">
        <v>413</v>
      </c>
      <c r="Z81" t="s">
        <v>409</v>
      </c>
      <c r="AA81" s="2" t="s">
        <v>165</v>
      </c>
      <c r="AB81" s="2" t="s">
        <v>165</v>
      </c>
      <c r="AC81" s="2" t="s">
        <v>165</v>
      </c>
      <c r="AD81" s="3" t="s">
        <v>70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70</v>
      </c>
      <c r="AN81" s="5" t="s">
        <v>72</v>
      </c>
      <c r="AO81" t="s">
        <v>94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 t="s">
        <v>63</v>
      </c>
      <c r="BI81">
        <v>1</v>
      </c>
      <c r="BJ81" s="2">
        <v>0.25</v>
      </c>
      <c r="BK81" t="s">
        <v>503</v>
      </c>
      <c r="BL81">
        <v>0</v>
      </c>
      <c r="BM81">
        <v>0</v>
      </c>
      <c r="BN81">
        <v>0</v>
      </c>
      <c r="BO81">
        <v>1</v>
      </c>
      <c r="BP81">
        <v>0</v>
      </c>
      <c r="BR81" t="s">
        <v>583</v>
      </c>
      <c r="BS81" t="s">
        <v>71</v>
      </c>
      <c r="BT81" t="s">
        <v>584</v>
      </c>
      <c r="BU81" t="s">
        <v>584</v>
      </c>
      <c r="BV81" t="s">
        <v>578</v>
      </c>
      <c r="BW81">
        <v>2021</v>
      </c>
      <c r="BX81">
        <v>2</v>
      </c>
      <c r="BY81" t="s">
        <v>508</v>
      </c>
      <c r="BZ81">
        <v>1</v>
      </c>
      <c r="CA81">
        <v>0</v>
      </c>
      <c r="CB81">
        <v>0</v>
      </c>
      <c r="CC81">
        <v>0</v>
      </c>
      <c r="CD81">
        <v>0</v>
      </c>
    </row>
    <row r="82" spans="1:82" x14ac:dyDescent="0.25">
      <c r="A82">
        <v>81</v>
      </c>
      <c r="B82" t="s">
        <v>414</v>
      </c>
      <c r="C82" t="s">
        <v>415</v>
      </c>
      <c r="D82" t="s">
        <v>97</v>
      </c>
      <c r="E82">
        <v>63</v>
      </c>
      <c r="F82" t="s">
        <v>294</v>
      </c>
      <c r="G82" t="s">
        <v>76</v>
      </c>
      <c r="H82" t="s">
        <v>250</v>
      </c>
      <c r="I82" t="s">
        <v>61</v>
      </c>
      <c r="J82" t="s">
        <v>62</v>
      </c>
      <c r="K82" t="s">
        <v>63</v>
      </c>
      <c r="M82" t="s">
        <v>309</v>
      </c>
      <c r="N82" t="s">
        <v>70</v>
      </c>
      <c r="O82">
        <v>3</v>
      </c>
      <c r="P82" s="1" t="s">
        <v>320</v>
      </c>
      <c r="Q82" s="5">
        <v>100</v>
      </c>
      <c r="R82" s="5">
        <v>0</v>
      </c>
      <c r="S82" s="1">
        <v>0</v>
      </c>
      <c r="T82" t="s">
        <v>416</v>
      </c>
      <c r="U82" s="7">
        <v>8000</v>
      </c>
      <c r="V82" s="2" t="s">
        <v>417</v>
      </c>
      <c r="W82">
        <v>0</v>
      </c>
      <c r="X82">
        <v>0</v>
      </c>
      <c r="Y82" t="s">
        <v>70</v>
      </c>
      <c r="Z82" t="s">
        <v>70</v>
      </c>
      <c r="AA82" s="2" t="s">
        <v>165</v>
      </c>
      <c r="AB82" s="2" t="s">
        <v>165</v>
      </c>
      <c r="AC82" s="2" t="s">
        <v>165</v>
      </c>
      <c r="AD82" s="3" t="s">
        <v>70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70</v>
      </c>
      <c r="AN82" s="5" t="s">
        <v>72</v>
      </c>
      <c r="AO82" t="s">
        <v>94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G82" t="s">
        <v>63</v>
      </c>
      <c r="BI82">
        <v>1</v>
      </c>
      <c r="BJ82" s="2">
        <v>6.25E-2</v>
      </c>
      <c r="BK82" t="s">
        <v>531</v>
      </c>
      <c r="BL82">
        <v>0</v>
      </c>
      <c r="BM82">
        <v>0</v>
      </c>
      <c r="BN82">
        <v>1</v>
      </c>
      <c r="BO82">
        <v>0</v>
      </c>
      <c r="BP82">
        <v>0</v>
      </c>
      <c r="BR82" t="s">
        <v>585</v>
      </c>
      <c r="BS82" t="s">
        <v>511</v>
      </c>
      <c r="BU82" t="s">
        <v>512</v>
      </c>
      <c r="BV82" t="s">
        <v>507</v>
      </c>
      <c r="BW82">
        <v>1983</v>
      </c>
      <c r="BX82">
        <v>40</v>
      </c>
      <c r="BY82" t="s">
        <v>508</v>
      </c>
      <c r="BZ82">
        <v>1</v>
      </c>
      <c r="CA82">
        <v>0</v>
      </c>
      <c r="CB82">
        <v>0</v>
      </c>
      <c r="CC82">
        <v>0</v>
      </c>
      <c r="CD82">
        <v>0</v>
      </c>
    </row>
    <row r="83" spans="1:82" x14ac:dyDescent="0.25">
      <c r="A83">
        <v>82</v>
      </c>
      <c r="B83" t="s">
        <v>418</v>
      </c>
      <c r="C83" t="s">
        <v>419</v>
      </c>
      <c r="D83" t="s">
        <v>97</v>
      </c>
      <c r="E83">
        <v>41</v>
      </c>
      <c r="F83" t="s">
        <v>58</v>
      </c>
      <c r="G83" t="s">
        <v>76</v>
      </c>
      <c r="H83" t="s">
        <v>60</v>
      </c>
      <c r="I83" t="s">
        <v>61</v>
      </c>
      <c r="J83" t="s">
        <v>62</v>
      </c>
      <c r="K83" t="s">
        <v>63</v>
      </c>
      <c r="M83" t="s">
        <v>295</v>
      </c>
      <c r="N83" t="s">
        <v>70</v>
      </c>
      <c r="O83">
        <v>6</v>
      </c>
      <c r="P83" s="1" t="s">
        <v>79</v>
      </c>
      <c r="Q83" s="5">
        <v>100</v>
      </c>
      <c r="R83" s="5">
        <v>0</v>
      </c>
      <c r="S83" s="1">
        <v>0</v>
      </c>
      <c r="T83" t="s">
        <v>420</v>
      </c>
      <c r="U83" s="7">
        <v>70000</v>
      </c>
      <c r="V83" s="2" t="s">
        <v>69</v>
      </c>
      <c r="W83">
        <v>0</v>
      </c>
      <c r="X83">
        <v>0</v>
      </c>
      <c r="Y83" t="s">
        <v>70</v>
      </c>
      <c r="Z83" t="s">
        <v>70</v>
      </c>
      <c r="AA83" s="2" t="s">
        <v>165</v>
      </c>
      <c r="AB83" s="2" t="s">
        <v>165</v>
      </c>
      <c r="AC83" s="2" t="s">
        <v>165</v>
      </c>
      <c r="AD83" s="3" t="s">
        <v>70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70</v>
      </c>
      <c r="AN83" s="5" t="s">
        <v>72</v>
      </c>
      <c r="AO83" t="s">
        <v>94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G83" t="s">
        <v>63</v>
      </c>
      <c r="BI83">
        <v>1</v>
      </c>
      <c r="BJ83" s="2">
        <v>1.75</v>
      </c>
      <c r="BK83" t="s">
        <v>503</v>
      </c>
      <c r="BL83">
        <v>0</v>
      </c>
      <c r="BM83">
        <v>0</v>
      </c>
      <c r="BN83">
        <v>0</v>
      </c>
      <c r="BO83">
        <v>1</v>
      </c>
      <c r="BP83">
        <v>0</v>
      </c>
      <c r="BR83" t="s">
        <v>586</v>
      </c>
      <c r="BS83" t="s">
        <v>505</v>
      </c>
      <c r="BU83" t="s">
        <v>512</v>
      </c>
      <c r="BV83" t="s">
        <v>507</v>
      </c>
      <c r="BW83">
        <v>2006</v>
      </c>
      <c r="BX83">
        <v>17</v>
      </c>
      <c r="BY83" t="s">
        <v>508</v>
      </c>
      <c r="BZ83">
        <v>1</v>
      </c>
      <c r="CA83">
        <v>0</v>
      </c>
      <c r="CB83">
        <v>0</v>
      </c>
      <c r="CC83">
        <v>0</v>
      </c>
      <c r="CD83">
        <v>0</v>
      </c>
    </row>
    <row r="84" spans="1:82" x14ac:dyDescent="0.25">
      <c r="A84">
        <v>83</v>
      </c>
      <c r="B84" t="s">
        <v>421</v>
      </c>
      <c r="C84" t="s">
        <v>422</v>
      </c>
      <c r="D84" t="s">
        <v>57</v>
      </c>
      <c r="E84">
        <v>49</v>
      </c>
      <c r="F84" t="s">
        <v>58</v>
      </c>
      <c r="G84" t="s">
        <v>303</v>
      </c>
      <c r="H84" t="s">
        <v>60</v>
      </c>
      <c r="I84" t="s">
        <v>113</v>
      </c>
      <c r="J84" t="s">
        <v>62</v>
      </c>
      <c r="K84" t="s">
        <v>63</v>
      </c>
      <c r="M84" t="s">
        <v>295</v>
      </c>
      <c r="N84" t="s">
        <v>300</v>
      </c>
      <c r="O84">
        <v>6</v>
      </c>
      <c r="P84" s="1" t="s">
        <v>423</v>
      </c>
      <c r="Q84" s="5">
        <f>80000/216000*100</f>
        <v>37.037037037037038</v>
      </c>
      <c r="R84" s="5">
        <v>63</v>
      </c>
      <c r="S84" s="1" t="s">
        <v>258</v>
      </c>
      <c r="T84" t="s">
        <v>209</v>
      </c>
      <c r="U84" s="7">
        <v>80000</v>
      </c>
      <c r="V84" s="2" t="s">
        <v>69</v>
      </c>
      <c r="W84">
        <v>0</v>
      </c>
      <c r="X84">
        <v>0</v>
      </c>
      <c r="Y84" t="s">
        <v>424</v>
      </c>
      <c r="Z84" t="s">
        <v>214</v>
      </c>
      <c r="AA84" s="2" t="s">
        <v>69</v>
      </c>
      <c r="AB84" s="2" t="s">
        <v>165</v>
      </c>
      <c r="AC84" s="2" t="s">
        <v>165</v>
      </c>
      <c r="AD84" s="3" t="s">
        <v>93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70</v>
      </c>
      <c r="AN84" s="5">
        <v>16000</v>
      </c>
      <c r="AO84" t="s">
        <v>94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G84" t="s">
        <v>63</v>
      </c>
      <c r="BI84">
        <v>1</v>
      </c>
      <c r="BJ84" s="2">
        <v>0.75</v>
      </c>
      <c r="BK84" t="s">
        <v>531</v>
      </c>
      <c r="BL84">
        <v>0</v>
      </c>
      <c r="BM84">
        <v>0</v>
      </c>
      <c r="BN84">
        <v>1</v>
      </c>
      <c r="BO84">
        <v>0</v>
      </c>
      <c r="BP84">
        <v>0</v>
      </c>
      <c r="BR84" t="s">
        <v>587</v>
      </c>
      <c r="BS84" t="s">
        <v>71</v>
      </c>
      <c r="BT84" t="s">
        <v>567</v>
      </c>
      <c r="BU84" t="s">
        <v>533</v>
      </c>
      <c r="BV84" t="s">
        <v>568</v>
      </c>
      <c r="BW84">
        <v>2017</v>
      </c>
      <c r="BX84">
        <v>6</v>
      </c>
      <c r="BY84" t="s">
        <v>508</v>
      </c>
      <c r="BZ84">
        <v>1</v>
      </c>
      <c r="CA84">
        <v>0</v>
      </c>
      <c r="CB84">
        <v>0</v>
      </c>
      <c r="CC84">
        <v>0</v>
      </c>
      <c r="CD84">
        <v>0</v>
      </c>
    </row>
    <row r="85" spans="1:82" x14ac:dyDescent="0.25">
      <c r="A85">
        <v>84</v>
      </c>
      <c r="B85" t="s">
        <v>425</v>
      </c>
      <c r="C85" t="s">
        <v>70</v>
      </c>
      <c r="D85" t="s">
        <v>97</v>
      </c>
      <c r="E85">
        <v>56</v>
      </c>
      <c r="F85" t="s">
        <v>58</v>
      </c>
      <c r="G85" t="s">
        <v>76</v>
      </c>
      <c r="H85" t="s">
        <v>60</v>
      </c>
      <c r="I85" t="s">
        <v>61</v>
      </c>
      <c r="J85" t="s">
        <v>62</v>
      </c>
      <c r="K85" t="s">
        <v>84</v>
      </c>
      <c r="L85" t="s">
        <v>98</v>
      </c>
      <c r="M85" t="s">
        <v>160</v>
      </c>
      <c r="N85" t="s">
        <v>70</v>
      </c>
      <c r="O85">
        <v>6</v>
      </c>
      <c r="P85" s="1">
        <v>50000</v>
      </c>
      <c r="Q85" s="5">
        <v>100</v>
      </c>
      <c r="R85" s="5">
        <v>0</v>
      </c>
      <c r="S85" s="1">
        <v>0</v>
      </c>
      <c r="T85" t="s">
        <v>70</v>
      </c>
      <c r="U85" s="7">
        <v>50000</v>
      </c>
      <c r="V85" s="2" t="s">
        <v>165</v>
      </c>
      <c r="W85">
        <v>0</v>
      </c>
      <c r="X85">
        <v>0</v>
      </c>
      <c r="Y85" t="s">
        <v>70</v>
      </c>
      <c r="Z85" t="s">
        <v>70</v>
      </c>
      <c r="AA85" s="2" t="s">
        <v>165</v>
      </c>
      <c r="AB85" s="2" t="s">
        <v>165</v>
      </c>
      <c r="AC85" s="2" t="s">
        <v>165</v>
      </c>
      <c r="AD85" s="3" t="s">
        <v>70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70</v>
      </c>
      <c r="AN85" s="5" t="s">
        <v>72</v>
      </c>
      <c r="AO85" t="s">
        <v>94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G85" t="s">
        <v>63</v>
      </c>
    </row>
    <row r="86" spans="1:82" x14ac:dyDescent="0.25">
      <c r="A86">
        <v>85</v>
      </c>
      <c r="B86" t="s">
        <v>426</v>
      </c>
      <c r="C86" t="s">
        <v>427</v>
      </c>
      <c r="D86" t="s">
        <v>57</v>
      </c>
      <c r="E86">
        <v>63</v>
      </c>
      <c r="F86" t="s">
        <v>58</v>
      </c>
      <c r="G86" t="s">
        <v>303</v>
      </c>
      <c r="H86" t="s">
        <v>60</v>
      </c>
      <c r="I86" t="s">
        <v>61</v>
      </c>
      <c r="J86" t="s">
        <v>62</v>
      </c>
      <c r="K86" t="s">
        <v>63</v>
      </c>
      <c r="M86" t="s">
        <v>309</v>
      </c>
      <c r="N86" t="s">
        <v>428</v>
      </c>
      <c r="O86">
        <v>2</v>
      </c>
      <c r="P86" s="1" t="s">
        <v>82</v>
      </c>
      <c r="Q86" s="5">
        <f>24000/P86*100</f>
        <v>80</v>
      </c>
      <c r="R86" s="5">
        <v>20</v>
      </c>
      <c r="S86" s="1" t="s">
        <v>311</v>
      </c>
      <c r="T86" t="s">
        <v>81</v>
      </c>
      <c r="U86" s="7">
        <v>24000</v>
      </c>
      <c r="V86" s="2" t="s">
        <v>417</v>
      </c>
      <c r="W86">
        <v>50</v>
      </c>
      <c r="X86">
        <v>25</v>
      </c>
      <c r="Y86" t="s">
        <v>70</v>
      </c>
      <c r="Z86" t="s">
        <v>70</v>
      </c>
      <c r="AA86" s="2" t="s">
        <v>165</v>
      </c>
      <c r="AB86" s="2" t="s">
        <v>165</v>
      </c>
      <c r="AC86" s="2" t="s">
        <v>165</v>
      </c>
      <c r="AD86" s="3" t="s">
        <v>71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 t="s">
        <v>429</v>
      </c>
      <c r="AN86" s="5">
        <v>6000</v>
      </c>
      <c r="AO86" t="s">
        <v>94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G86" t="s">
        <v>63</v>
      </c>
      <c r="BI86">
        <v>1</v>
      </c>
      <c r="BJ86" s="2">
        <v>0.5</v>
      </c>
      <c r="BK86" t="s">
        <v>503</v>
      </c>
      <c r="BL86">
        <v>0</v>
      </c>
      <c r="BM86">
        <v>0</v>
      </c>
      <c r="BN86">
        <v>0</v>
      </c>
      <c r="BO86">
        <v>1</v>
      </c>
      <c r="BP86">
        <v>0</v>
      </c>
      <c r="BR86" t="s">
        <v>162</v>
      </c>
      <c r="BS86" t="s">
        <v>71</v>
      </c>
      <c r="BT86" t="s">
        <v>521</v>
      </c>
      <c r="BU86" t="s">
        <v>521</v>
      </c>
      <c r="BV86" t="s">
        <v>521</v>
      </c>
      <c r="BW86">
        <v>2018</v>
      </c>
      <c r="BX86">
        <v>5</v>
      </c>
      <c r="BY86" t="s">
        <v>508</v>
      </c>
      <c r="BZ86">
        <v>1</v>
      </c>
      <c r="CA86">
        <v>0</v>
      </c>
      <c r="CB86">
        <v>0</v>
      </c>
      <c r="CC86">
        <v>0</v>
      </c>
      <c r="CD86">
        <v>0</v>
      </c>
    </row>
    <row r="87" spans="1:82" x14ac:dyDescent="0.25">
      <c r="A87">
        <v>86</v>
      </c>
      <c r="B87" t="s">
        <v>430</v>
      </c>
      <c r="C87" t="s">
        <v>70</v>
      </c>
      <c r="D87" t="s">
        <v>97</v>
      </c>
      <c r="E87">
        <v>47</v>
      </c>
      <c r="F87" t="s">
        <v>394</v>
      </c>
      <c r="G87" t="s">
        <v>76</v>
      </c>
      <c r="H87" t="s">
        <v>250</v>
      </c>
      <c r="I87" t="s">
        <v>61</v>
      </c>
      <c r="J87" t="s">
        <v>62</v>
      </c>
      <c r="K87" t="s">
        <v>84</v>
      </c>
      <c r="L87" t="s">
        <v>98</v>
      </c>
      <c r="M87" t="s">
        <v>146</v>
      </c>
      <c r="N87" t="s">
        <v>316</v>
      </c>
      <c r="O87">
        <v>6</v>
      </c>
      <c r="P87" s="1" t="s">
        <v>221</v>
      </c>
      <c r="Q87" s="5">
        <v>33</v>
      </c>
      <c r="R87" s="5">
        <v>67</v>
      </c>
      <c r="S87" s="1">
        <v>0</v>
      </c>
      <c r="T87" t="s">
        <v>148</v>
      </c>
      <c r="U87" s="7">
        <v>15000</v>
      </c>
      <c r="V87" s="2" t="s">
        <v>69</v>
      </c>
      <c r="W87">
        <v>0</v>
      </c>
      <c r="X87">
        <v>0</v>
      </c>
      <c r="Y87" t="s">
        <v>431</v>
      </c>
      <c r="Z87" t="s">
        <v>82</v>
      </c>
      <c r="AA87" s="2" t="s">
        <v>165</v>
      </c>
      <c r="AB87" s="2" t="s">
        <v>165</v>
      </c>
      <c r="AC87" s="2" t="s">
        <v>165</v>
      </c>
      <c r="AD87" s="3" t="s">
        <v>70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70</v>
      </c>
      <c r="AN87" s="5" t="s">
        <v>72</v>
      </c>
      <c r="AO87" t="s">
        <v>73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G87" t="s">
        <v>63</v>
      </c>
      <c r="BI87">
        <v>1</v>
      </c>
      <c r="BJ87" s="2">
        <v>0.125</v>
      </c>
      <c r="BK87" t="s">
        <v>509</v>
      </c>
      <c r="BL87">
        <v>0</v>
      </c>
      <c r="BM87">
        <v>1</v>
      </c>
      <c r="BN87">
        <v>0</v>
      </c>
      <c r="BO87">
        <v>0</v>
      </c>
      <c r="BP87">
        <v>0</v>
      </c>
      <c r="BR87" t="s">
        <v>588</v>
      </c>
      <c r="BS87" t="s">
        <v>71</v>
      </c>
      <c r="BT87" t="s">
        <v>568</v>
      </c>
      <c r="BU87" t="s">
        <v>533</v>
      </c>
      <c r="BV87" t="s">
        <v>568</v>
      </c>
      <c r="BW87">
        <v>2015</v>
      </c>
      <c r="BX87">
        <v>8</v>
      </c>
      <c r="BY87" t="s">
        <v>508</v>
      </c>
      <c r="BZ87">
        <v>1</v>
      </c>
      <c r="CA87">
        <v>0</v>
      </c>
      <c r="CB87">
        <v>0</v>
      </c>
      <c r="CC87">
        <v>0</v>
      </c>
      <c r="CD87">
        <v>0</v>
      </c>
    </row>
    <row r="88" spans="1:82" x14ac:dyDescent="0.25">
      <c r="A88">
        <v>87</v>
      </c>
      <c r="B88" t="s">
        <v>432</v>
      </c>
      <c r="C88" t="s">
        <v>70</v>
      </c>
      <c r="D88" t="s">
        <v>57</v>
      </c>
      <c r="E88">
        <v>33</v>
      </c>
      <c r="F88" t="s">
        <v>481</v>
      </c>
      <c r="G88" t="s">
        <v>76</v>
      </c>
      <c r="H88" t="s">
        <v>60</v>
      </c>
      <c r="I88" t="s">
        <v>61</v>
      </c>
      <c r="J88" t="s">
        <v>62</v>
      </c>
      <c r="K88" t="s">
        <v>63</v>
      </c>
      <c r="M88" t="s">
        <v>146</v>
      </c>
      <c r="N88" t="s">
        <v>316</v>
      </c>
      <c r="O88">
        <v>5</v>
      </c>
      <c r="P88" s="1" t="s">
        <v>433</v>
      </c>
      <c r="Q88" s="5">
        <v>59</v>
      </c>
      <c r="R88" s="5">
        <v>41</v>
      </c>
      <c r="S88" s="1" t="s">
        <v>342</v>
      </c>
      <c r="T88" t="s">
        <v>148</v>
      </c>
      <c r="U88" s="7">
        <v>20000</v>
      </c>
      <c r="V88" s="2" t="s">
        <v>286</v>
      </c>
      <c r="W88">
        <v>3</v>
      </c>
      <c r="X88">
        <v>2</v>
      </c>
      <c r="Y88" t="s">
        <v>434</v>
      </c>
      <c r="Z88" t="s">
        <v>235</v>
      </c>
      <c r="AA88" s="2" t="s">
        <v>165</v>
      </c>
      <c r="AB88" s="2" t="s">
        <v>165</v>
      </c>
      <c r="AC88" s="2" t="s">
        <v>165</v>
      </c>
      <c r="AD88" s="3" t="s">
        <v>71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 t="s">
        <v>224</v>
      </c>
      <c r="AN88" s="5">
        <v>4000</v>
      </c>
      <c r="AO88" t="s">
        <v>73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G88" t="s">
        <v>63</v>
      </c>
      <c r="BI88">
        <v>1</v>
      </c>
      <c r="BJ88" s="2">
        <v>0.25</v>
      </c>
      <c r="BK88" t="s">
        <v>509</v>
      </c>
      <c r="BL88">
        <v>0</v>
      </c>
      <c r="BM88">
        <v>1</v>
      </c>
      <c r="BN88">
        <v>0</v>
      </c>
      <c r="BO88">
        <v>0</v>
      </c>
      <c r="BP88">
        <v>0</v>
      </c>
      <c r="BR88" t="s">
        <v>529</v>
      </c>
      <c r="BS88" t="s">
        <v>71</v>
      </c>
      <c r="BT88" t="s">
        <v>568</v>
      </c>
      <c r="BU88" t="s">
        <v>533</v>
      </c>
      <c r="BV88" t="s">
        <v>521</v>
      </c>
      <c r="BW88">
        <v>2018</v>
      </c>
      <c r="BX88">
        <v>5</v>
      </c>
      <c r="BY88" t="s">
        <v>508</v>
      </c>
      <c r="BZ88">
        <v>1</v>
      </c>
      <c r="CA88">
        <v>0</v>
      </c>
      <c r="CB88">
        <v>0</v>
      </c>
      <c r="CC88">
        <v>0</v>
      </c>
      <c r="CD88">
        <v>0</v>
      </c>
    </row>
    <row r="89" spans="1:82" x14ac:dyDescent="0.25">
      <c r="A89">
        <v>88</v>
      </c>
      <c r="B89" t="s">
        <v>435</v>
      </c>
      <c r="C89" t="s">
        <v>70</v>
      </c>
      <c r="D89" t="s">
        <v>57</v>
      </c>
      <c r="E89">
        <v>19</v>
      </c>
      <c r="F89" t="s">
        <v>481</v>
      </c>
      <c r="G89" t="s">
        <v>76</v>
      </c>
      <c r="H89" t="s">
        <v>60</v>
      </c>
      <c r="I89" t="s">
        <v>113</v>
      </c>
      <c r="J89" t="s">
        <v>62</v>
      </c>
      <c r="K89" t="s">
        <v>63</v>
      </c>
      <c r="M89" t="s">
        <v>146</v>
      </c>
      <c r="N89" t="s">
        <v>316</v>
      </c>
      <c r="O89">
        <v>3</v>
      </c>
      <c r="P89" s="1" t="s">
        <v>436</v>
      </c>
      <c r="Q89" s="5">
        <v>53</v>
      </c>
      <c r="R89" s="5">
        <v>47</v>
      </c>
      <c r="S89" s="1">
        <v>0</v>
      </c>
      <c r="T89" t="s">
        <v>437</v>
      </c>
      <c r="U89" s="7">
        <v>10000</v>
      </c>
      <c r="V89" s="2" t="s">
        <v>438</v>
      </c>
      <c r="W89">
        <v>2</v>
      </c>
      <c r="X89">
        <v>2</v>
      </c>
      <c r="Y89" t="s">
        <v>439</v>
      </c>
      <c r="Z89" t="s">
        <v>440</v>
      </c>
      <c r="AA89" s="2" t="s">
        <v>165</v>
      </c>
      <c r="AB89" s="2" t="s">
        <v>165</v>
      </c>
      <c r="AC89" s="2" t="s">
        <v>165</v>
      </c>
      <c r="AD89" s="3" t="s">
        <v>70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70</v>
      </c>
      <c r="AN89" s="5" t="s">
        <v>72</v>
      </c>
      <c r="AO89" t="s">
        <v>94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G89" t="s">
        <v>63</v>
      </c>
      <c r="BI89">
        <v>1</v>
      </c>
      <c r="BJ89" s="2">
        <v>0.25</v>
      </c>
      <c r="BK89" t="s">
        <v>531</v>
      </c>
      <c r="BL89">
        <v>0</v>
      </c>
      <c r="BM89">
        <v>0</v>
      </c>
      <c r="BN89">
        <v>1</v>
      </c>
      <c r="BO89">
        <v>0</v>
      </c>
      <c r="BP89">
        <v>0</v>
      </c>
      <c r="BR89" t="s">
        <v>529</v>
      </c>
      <c r="BS89" t="s">
        <v>71</v>
      </c>
      <c r="BT89" t="s">
        <v>506</v>
      </c>
      <c r="BU89" t="s">
        <v>515</v>
      </c>
      <c r="BV89" t="s">
        <v>513</v>
      </c>
      <c r="BW89">
        <v>2020</v>
      </c>
      <c r="BX89">
        <v>3</v>
      </c>
      <c r="BY89" t="s">
        <v>508</v>
      </c>
      <c r="BZ89">
        <v>1</v>
      </c>
      <c r="CA89">
        <v>0</v>
      </c>
      <c r="CB89">
        <v>0</v>
      </c>
      <c r="CC89">
        <v>0</v>
      </c>
      <c r="CD89">
        <v>0</v>
      </c>
    </row>
    <row r="90" spans="1:82" x14ac:dyDescent="0.25">
      <c r="A90">
        <v>89</v>
      </c>
      <c r="B90" t="s">
        <v>441</v>
      </c>
      <c r="C90" t="s">
        <v>70</v>
      </c>
      <c r="D90" t="s">
        <v>57</v>
      </c>
      <c r="E90">
        <v>34</v>
      </c>
      <c r="F90" t="s">
        <v>87</v>
      </c>
      <c r="G90" t="s">
        <v>76</v>
      </c>
      <c r="H90" t="s">
        <v>60</v>
      </c>
      <c r="I90" t="s">
        <v>61</v>
      </c>
      <c r="J90" t="s">
        <v>62</v>
      </c>
      <c r="K90" t="s">
        <v>63</v>
      </c>
      <c r="M90" t="s">
        <v>146</v>
      </c>
      <c r="N90" t="s">
        <v>70</v>
      </c>
      <c r="O90">
        <v>5</v>
      </c>
      <c r="P90" s="1" t="s">
        <v>118</v>
      </c>
      <c r="Q90" s="5">
        <v>50</v>
      </c>
      <c r="R90" s="5">
        <v>50</v>
      </c>
      <c r="S90" s="1">
        <v>0</v>
      </c>
      <c r="T90" t="s">
        <v>81</v>
      </c>
      <c r="U90" s="7">
        <v>25000</v>
      </c>
      <c r="V90" s="2" t="s">
        <v>128</v>
      </c>
      <c r="W90">
        <v>5</v>
      </c>
      <c r="X90">
        <v>5</v>
      </c>
      <c r="Y90" t="s">
        <v>81</v>
      </c>
      <c r="Z90" t="s">
        <v>271</v>
      </c>
      <c r="AA90" s="2" t="s">
        <v>128</v>
      </c>
      <c r="AB90" s="2" t="s">
        <v>80</v>
      </c>
      <c r="AC90" s="2" t="s">
        <v>80</v>
      </c>
      <c r="AD90" s="3" t="s">
        <v>70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70</v>
      </c>
      <c r="AN90" s="5" t="s">
        <v>72</v>
      </c>
      <c r="AO90" t="s">
        <v>83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G90" t="s">
        <v>63</v>
      </c>
      <c r="BI90">
        <v>1</v>
      </c>
      <c r="BJ90" s="2">
        <v>0.25</v>
      </c>
      <c r="BK90" t="s">
        <v>509</v>
      </c>
      <c r="BL90">
        <v>0</v>
      </c>
      <c r="BM90">
        <v>1</v>
      </c>
      <c r="BN90">
        <v>0</v>
      </c>
      <c r="BO90">
        <v>0</v>
      </c>
      <c r="BP90">
        <v>0</v>
      </c>
      <c r="BR90" t="s">
        <v>527</v>
      </c>
      <c r="BS90" t="s">
        <v>71</v>
      </c>
      <c r="BT90" t="s">
        <v>506</v>
      </c>
      <c r="BU90" t="s">
        <v>515</v>
      </c>
      <c r="BV90" t="s">
        <v>513</v>
      </c>
      <c r="BW90">
        <v>2000</v>
      </c>
      <c r="BX90">
        <v>23</v>
      </c>
      <c r="BY90" t="s">
        <v>508</v>
      </c>
      <c r="BZ90">
        <v>1</v>
      </c>
      <c r="CA90">
        <v>0</v>
      </c>
      <c r="CB90">
        <v>0</v>
      </c>
      <c r="CC90">
        <v>0</v>
      </c>
      <c r="CD90">
        <v>0</v>
      </c>
    </row>
    <row r="91" spans="1:82" x14ac:dyDescent="0.25">
      <c r="A91">
        <v>90</v>
      </c>
      <c r="B91" t="s">
        <v>442</v>
      </c>
      <c r="C91" t="s">
        <v>443</v>
      </c>
      <c r="D91" t="s">
        <v>97</v>
      </c>
      <c r="E91">
        <v>41</v>
      </c>
      <c r="F91" t="s">
        <v>58</v>
      </c>
      <c r="G91" t="s">
        <v>59</v>
      </c>
      <c r="H91" t="s">
        <v>60</v>
      </c>
      <c r="I91" t="s">
        <v>61</v>
      </c>
      <c r="J91" t="s">
        <v>62</v>
      </c>
      <c r="K91" t="s">
        <v>84</v>
      </c>
      <c r="L91" t="s">
        <v>98</v>
      </c>
      <c r="M91" t="s">
        <v>444</v>
      </c>
      <c r="N91" t="s">
        <v>445</v>
      </c>
      <c r="O91">
        <v>5</v>
      </c>
      <c r="P91" s="1" t="s">
        <v>446</v>
      </c>
      <c r="Q91" s="5">
        <v>96</v>
      </c>
      <c r="R91" s="5">
        <v>4</v>
      </c>
      <c r="S91" s="1">
        <v>14400</v>
      </c>
      <c r="T91" t="s">
        <v>447</v>
      </c>
      <c r="U91" s="7">
        <v>350000</v>
      </c>
      <c r="V91" s="2">
        <v>95</v>
      </c>
      <c r="W91">
        <v>0</v>
      </c>
      <c r="X91">
        <v>5</v>
      </c>
      <c r="Y91" t="s">
        <v>70</v>
      </c>
      <c r="Z91" t="s">
        <v>70</v>
      </c>
      <c r="AA91" s="2" t="s">
        <v>165</v>
      </c>
      <c r="AB91" s="2" t="s">
        <v>165</v>
      </c>
      <c r="AC91" s="2" t="s">
        <v>165</v>
      </c>
      <c r="AD91" s="3" t="s">
        <v>71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 t="s">
        <v>445</v>
      </c>
      <c r="AN91" s="5">
        <v>14400</v>
      </c>
      <c r="AO91" t="s">
        <v>73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G91" t="s">
        <v>63</v>
      </c>
      <c r="BI91">
        <v>1</v>
      </c>
      <c r="BJ91" s="2">
        <v>0.75</v>
      </c>
      <c r="BK91" t="s">
        <v>503</v>
      </c>
      <c r="BL91">
        <v>0</v>
      </c>
      <c r="BM91">
        <v>0</v>
      </c>
      <c r="BN91">
        <v>0</v>
      </c>
      <c r="BO91">
        <v>1</v>
      </c>
      <c r="BP91">
        <v>0</v>
      </c>
      <c r="BR91" t="s">
        <v>589</v>
      </c>
      <c r="BS91" t="s">
        <v>530</v>
      </c>
      <c r="BU91" t="s">
        <v>512</v>
      </c>
      <c r="BV91" t="s">
        <v>513</v>
      </c>
      <c r="BW91">
        <v>2022</v>
      </c>
      <c r="BX91">
        <v>1</v>
      </c>
      <c r="BY91" t="s">
        <v>71</v>
      </c>
      <c r="BZ91">
        <v>0</v>
      </c>
      <c r="CA91">
        <v>0</v>
      </c>
      <c r="CB91">
        <v>0</v>
      </c>
      <c r="CC91">
        <v>0</v>
      </c>
      <c r="CD91">
        <v>1</v>
      </c>
    </row>
    <row r="92" spans="1:82" x14ac:dyDescent="0.25">
      <c r="A92">
        <v>91</v>
      </c>
      <c r="B92" t="s">
        <v>448</v>
      </c>
      <c r="C92" t="s">
        <v>449</v>
      </c>
      <c r="D92" t="s">
        <v>57</v>
      </c>
      <c r="E92">
        <v>42</v>
      </c>
      <c r="F92" t="s">
        <v>58</v>
      </c>
      <c r="G92" t="s">
        <v>105</v>
      </c>
      <c r="H92" t="s">
        <v>60</v>
      </c>
      <c r="I92" t="s">
        <v>113</v>
      </c>
      <c r="J92" t="s">
        <v>62</v>
      </c>
      <c r="K92" t="s">
        <v>63</v>
      </c>
      <c r="M92" t="s">
        <v>146</v>
      </c>
      <c r="N92" t="s">
        <v>65</v>
      </c>
      <c r="O92">
        <v>4</v>
      </c>
      <c r="P92" s="1" t="s">
        <v>114</v>
      </c>
      <c r="Q92" s="5">
        <v>59</v>
      </c>
      <c r="R92" s="5">
        <v>41</v>
      </c>
      <c r="S92" s="1">
        <v>0</v>
      </c>
      <c r="T92" t="s">
        <v>81</v>
      </c>
      <c r="U92" s="7">
        <v>100000</v>
      </c>
      <c r="V92" s="2" t="s">
        <v>404</v>
      </c>
      <c r="W92">
        <v>10</v>
      </c>
      <c r="X92">
        <v>10</v>
      </c>
      <c r="Y92" t="s">
        <v>70</v>
      </c>
      <c r="Z92" t="s">
        <v>70</v>
      </c>
      <c r="AA92" s="2" t="s">
        <v>165</v>
      </c>
      <c r="AB92" s="2" t="s">
        <v>165</v>
      </c>
      <c r="AC92" s="2" t="s">
        <v>165</v>
      </c>
      <c r="AD92" s="3" t="s">
        <v>71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 t="s">
        <v>65</v>
      </c>
      <c r="AN92" s="5">
        <v>50000</v>
      </c>
      <c r="AO92" t="s">
        <v>177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G92" t="s">
        <v>63</v>
      </c>
      <c r="BI92">
        <v>1</v>
      </c>
      <c r="BJ92" s="2">
        <v>1.25</v>
      </c>
      <c r="BK92" t="s">
        <v>509</v>
      </c>
      <c r="BL92">
        <v>0</v>
      </c>
      <c r="BM92">
        <v>1</v>
      </c>
      <c r="BN92">
        <v>0</v>
      </c>
      <c r="BO92">
        <v>0</v>
      </c>
      <c r="BP92">
        <v>0</v>
      </c>
      <c r="BR92" t="s">
        <v>590</v>
      </c>
      <c r="BS92" t="s">
        <v>511</v>
      </c>
      <c r="BU92" t="s">
        <v>512</v>
      </c>
      <c r="BV92" t="s">
        <v>507</v>
      </c>
      <c r="BW92">
        <v>2012</v>
      </c>
      <c r="BX92">
        <v>11</v>
      </c>
      <c r="BY92" t="s">
        <v>508</v>
      </c>
      <c r="BZ92">
        <v>1</v>
      </c>
      <c r="CA92">
        <v>0</v>
      </c>
      <c r="CB92">
        <v>0</v>
      </c>
      <c r="CC92">
        <v>0</v>
      </c>
      <c r="CD92">
        <v>0</v>
      </c>
    </row>
    <row r="93" spans="1:82" x14ac:dyDescent="0.25">
      <c r="A93">
        <v>92</v>
      </c>
      <c r="B93" t="s">
        <v>450</v>
      </c>
      <c r="C93" t="s">
        <v>451</v>
      </c>
      <c r="D93" t="s">
        <v>57</v>
      </c>
      <c r="E93">
        <v>36</v>
      </c>
      <c r="F93" t="s">
        <v>58</v>
      </c>
      <c r="G93" t="s">
        <v>452</v>
      </c>
      <c r="H93" t="s">
        <v>60</v>
      </c>
      <c r="I93" t="s">
        <v>88</v>
      </c>
      <c r="J93" t="s">
        <v>62</v>
      </c>
      <c r="K93" t="s">
        <v>63</v>
      </c>
      <c r="M93" t="s">
        <v>77</v>
      </c>
      <c r="N93" t="s">
        <v>453</v>
      </c>
      <c r="O93">
        <v>5</v>
      </c>
      <c r="P93" s="1" t="s">
        <v>82</v>
      </c>
      <c r="Q93" s="5">
        <v>95</v>
      </c>
      <c r="R93" s="5">
        <v>5</v>
      </c>
      <c r="S93" s="1">
        <f>30000*0.05</f>
        <v>1500</v>
      </c>
      <c r="T93" t="s">
        <v>140</v>
      </c>
      <c r="U93" s="7">
        <v>30000</v>
      </c>
      <c r="V93" s="2" t="s">
        <v>69</v>
      </c>
      <c r="W93">
        <v>0</v>
      </c>
      <c r="X93">
        <v>0</v>
      </c>
      <c r="Y93" t="s">
        <v>70</v>
      </c>
      <c r="Z93" t="s">
        <v>70</v>
      </c>
      <c r="AA93" s="2" t="s">
        <v>165</v>
      </c>
      <c r="AB93" s="2" t="s">
        <v>165</v>
      </c>
      <c r="AC93" s="2" t="s">
        <v>165</v>
      </c>
      <c r="AD93" s="3" t="s">
        <v>71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 t="s">
        <v>453</v>
      </c>
      <c r="AN93" s="5">
        <v>10000</v>
      </c>
      <c r="AO93" t="s">
        <v>94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G93" t="s">
        <v>84</v>
      </c>
      <c r="BH93" t="s">
        <v>454</v>
      </c>
      <c r="BI93">
        <v>1</v>
      </c>
      <c r="BJ93" s="2">
        <v>0.25</v>
      </c>
      <c r="BK93" t="s">
        <v>591</v>
      </c>
      <c r="BL93">
        <v>0</v>
      </c>
      <c r="BM93">
        <v>1</v>
      </c>
      <c r="BN93">
        <v>1</v>
      </c>
      <c r="BO93">
        <v>1</v>
      </c>
      <c r="BP93">
        <v>0</v>
      </c>
      <c r="BR93" t="s">
        <v>592</v>
      </c>
      <c r="BS93" t="s">
        <v>511</v>
      </c>
      <c r="BU93" t="s">
        <v>515</v>
      </c>
      <c r="BV93" t="s">
        <v>507</v>
      </c>
      <c r="BW93">
        <v>2002</v>
      </c>
      <c r="BX93">
        <v>21</v>
      </c>
      <c r="BY93" t="s">
        <v>508</v>
      </c>
      <c r="BZ93">
        <v>1</v>
      </c>
      <c r="CA93">
        <v>0</v>
      </c>
      <c r="CB93">
        <v>0</v>
      </c>
      <c r="CC93">
        <v>0</v>
      </c>
      <c r="CD93">
        <v>0</v>
      </c>
    </row>
    <row r="94" spans="1:82" x14ac:dyDescent="0.25">
      <c r="A94">
        <v>93</v>
      </c>
      <c r="B94" t="s">
        <v>455</v>
      </c>
      <c r="C94" t="s">
        <v>456</v>
      </c>
      <c r="D94" t="s">
        <v>57</v>
      </c>
      <c r="E94">
        <v>43</v>
      </c>
      <c r="F94" t="s">
        <v>58</v>
      </c>
      <c r="G94" t="s">
        <v>76</v>
      </c>
      <c r="H94" t="s">
        <v>60</v>
      </c>
      <c r="I94" t="s">
        <v>61</v>
      </c>
      <c r="J94" t="s">
        <v>62</v>
      </c>
      <c r="K94" t="s">
        <v>63</v>
      </c>
      <c r="M94" t="s">
        <v>146</v>
      </c>
      <c r="N94" t="s">
        <v>316</v>
      </c>
      <c r="O94">
        <v>9</v>
      </c>
      <c r="P94" s="1" t="s">
        <v>107</v>
      </c>
      <c r="Q94" s="5">
        <v>50</v>
      </c>
      <c r="R94" s="5">
        <v>50</v>
      </c>
      <c r="S94" s="1">
        <v>0</v>
      </c>
      <c r="T94" t="s">
        <v>457</v>
      </c>
      <c r="U94" s="7">
        <v>46000</v>
      </c>
      <c r="V94" s="2" t="s">
        <v>69</v>
      </c>
      <c r="W94">
        <v>0</v>
      </c>
      <c r="X94">
        <v>0</v>
      </c>
      <c r="Y94" t="s">
        <v>316</v>
      </c>
      <c r="Z94" t="s">
        <v>458</v>
      </c>
      <c r="AA94" s="2">
        <v>0</v>
      </c>
      <c r="AB94" s="2">
        <v>0</v>
      </c>
      <c r="AC94" s="2">
        <v>0</v>
      </c>
      <c r="AD94" s="3" t="s">
        <v>70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t="s">
        <v>70</v>
      </c>
      <c r="AN94" s="5" t="s">
        <v>72</v>
      </c>
      <c r="AO94" t="s">
        <v>177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G94" t="s">
        <v>63</v>
      </c>
      <c r="BI94">
        <v>1</v>
      </c>
      <c r="BJ94" s="2">
        <v>0.75</v>
      </c>
      <c r="BK94" t="s">
        <v>531</v>
      </c>
      <c r="BL94">
        <v>0</v>
      </c>
      <c r="BM94">
        <v>0</v>
      </c>
      <c r="BN94">
        <v>1</v>
      </c>
      <c r="BO94">
        <v>0</v>
      </c>
      <c r="BP94">
        <v>0</v>
      </c>
      <c r="BR94" t="s">
        <v>593</v>
      </c>
      <c r="BS94" t="s">
        <v>511</v>
      </c>
      <c r="BU94" t="s">
        <v>506</v>
      </c>
      <c r="BV94" t="s">
        <v>507</v>
      </c>
      <c r="BW94">
        <v>1995</v>
      </c>
      <c r="BX94">
        <v>28</v>
      </c>
      <c r="BY94" t="s">
        <v>508</v>
      </c>
      <c r="BZ94">
        <v>1</v>
      </c>
      <c r="CA94">
        <v>0</v>
      </c>
      <c r="CB94">
        <v>0</v>
      </c>
      <c r="CC94">
        <v>0</v>
      </c>
      <c r="CD94">
        <v>0</v>
      </c>
    </row>
    <row r="95" spans="1:82" x14ac:dyDescent="0.25">
      <c r="A95">
        <v>94</v>
      </c>
      <c r="B95" t="s">
        <v>459</v>
      </c>
      <c r="C95" t="s">
        <v>70</v>
      </c>
      <c r="D95" t="s">
        <v>57</v>
      </c>
      <c r="E95">
        <v>55</v>
      </c>
      <c r="F95" t="s">
        <v>58</v>
      </c>
      <c r="G95" t="s">
        <v>59</v>
      </c>
      <c r="H95" t="s">
        <v>60</v>
      </c>
      <c r="I95" t="s">
        <v>61</v>
      </c>
      <c r="J95" t="s">
        <v>62</v>
      </c>
      <c r="K95" t="s">
        <v>63</v>
      </c>
      <c r="M95" t="s">
        <v>146</v>
      </c>
      <c r="N95" t="s">
        <v>316</v>
      </c>
      <c r="O95">
        <v>5</v>
      </c>
      <c r="P95" s="1" t="s">
        <v>460</v>
      </c>
      <c r="Q95" s="5">
        <v>70</v>
      </c>
      <c r="R95" s="5">
        <v>30</v>
      </c>
      <c r="S95" s="1">
        <v>0</v>
      </c>
      <c r="T95" t="s">
        <v>115</v>
      </c>
      <c r="U95" s="7">
        <v>100000</v>
      </c>
      <c r="V95" s="2" t="s">
        <v>69</v>
      </c>
      <c r="W95">
        <v>0</v>
      </c>
      <c r="X95">
        <v>0</v>
      </c>
      <c r="Y95" t="s">
        <v>70</v>
      </c>
      <c r="Z95" t="s">
        <v>461</v>
      </c>
      <c r="AA95" s="2">
        <v>0</v>
      </c>
      <c r="AB95" s="2">
        <v>0</v>
      </c>
      <c r="AC95" s="2">
        <v>0</v>
      </c>
      <c r="AD95" s="3" t="s">
        <v>70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t="s">
        <v>70</v>
      </c>
      <c r="AN95" s="5" t="s">
        <v>72</v>
      </c>
      <c r="AO95" t="s">
        <v>83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G95" t="s">
        <v>63</v>
      </c>
      <c r="BI95">
        <v>1</v>
      </c>
      <c r="BJ95" s="2">
        <v>0.75</v>
      </c>
      <c r="BK95" t="s">
        <v>509</v>
      </c>
      <c r="BL95">
        <v>0</v>
      </c>
      <c r="BM95">
        <v>1</v>
      </c>
      <c r="BN95">
        <v>0</v>
      </c>
      <c r="BO95">
        <v>0</v>
      </c>
      <c r="BP95">
        <v>0</v>
      </c>
      <c r="BR95" t="s">
        <v>517</v>
      </c>
      <c r="BS95" t="s">
        <v>511</v>
      </c>
      <c r="BU95" t="s">
        <v>512</v>
      </c>
      <c r="BV95" t="s">
        <v>581</v>
      </c>
      <c r="BW95">
        <v>2016</v>
      </c>
      <c r="BX95">
        <v>7</v>
      </c>
      <c r="BY95" t="s">
        <v>508</v>
      </c>
      <c r="BZ95">
        <v>1</v>
      </c>
      <c r="CA95">
        <v>0</v>
      </c>
      <c r="CB95">
        <v>0</v>
      </c>
      <c r="CC95">
        <v>0</v>
      </c>
      <c r="CD95">
        <v>0</v>
      </c>
    </row>
    <row r="96" spans="1:82" x14ac:dyDescent="0.25">
      <c r="A96">
        <v>95</v>
      </c>
      <c r="B96" t="s">
        <v>462</v>
      </c>
      <c r="C96" t="s">
        <v>70</v>
      </c>
      <c r="D96" t="s">
        <v>97</v>
      </c>
      <c r="E96">
        <v>37</v>
      </c>
      <c r="F96" t="s">
        <v>58</v>
      </c>
      <c r="G96" t="s">
        <v>59</v>
      </c>
      <c r="H96" t="s">
        <v>60</v>
      </c>
      <c r="I96" t="s">
        <v>61</v>
      </c>
      <c r="J96" t="s">
        <v>62</v>
      </c>
      <c r="K96" t="s">
        <v>84</v>
      </c>
      <c r="L96" t="s">
        <v>98</v>
      </c>
      <c r="M96" t="s">
        <v>146</v>
      </c>
      <c r="N96" t="s">
        <v>316</v>
      </c>
      <c r="O96">
        <v>5</v>
      </c>
      <c r="P96" s="1" t="s">
        <v>463</v>
      </c>
      <c r="Q96" s="5">
        <v>12</v>
      </c>
      <c r="R96" s="5">
        <v>88</v>
      </c>
      <c r="S96" s="1">
        <f>130700*0.37</f>
        <v>48359</v>
      </c>
      <c r="T96" t="s">
        <v>464</v>
      </c>
      <c r="U96" s="7">
        <v>15500</v>
      </c>
      <c r="V96" s="2" t="s">
        <v>69</v>
      </c>
      <c r="W96">
        <v>0</v>
      </c>
      <c r="X96">
        <v>0</v>
      </c>
      <c r="Y96" t="s">
        <v>465</v>
      </c>
      <c r="Z96" t="s">
        <v>466</v>
      </c>
      <c r="AA96" s="2">
        <v>0</v>
      </c>
      <c r="AB96" s="2">
        <v>0</v>
      </c>
      <c r="AC96" s="2">
        <v>0</v>
      </c>
      <c r="AD96" s="3" t="s">
        <v>70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t="s">
        <v>70</v>
      </c>
      <c r="AN96" s="5" t="s">
        <v>72</v>
      </c>
      <c r="AO96" t="s">
        <v>467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G96" t="s">
        <v>84</v>
      </c>
      <c r="BH96" t="s">
        <v>468</v>
      </c>
      <c r="BI96">
        <v>1</v>
      </c>
      <c r="BJ96" s="2">
        <v>0.75</v>
      </c>
      <c r="BK96" t="s">
        <v>503</v>
      </c>
      <c r="BL96">
        <v>0</v>
      </c>
      <c r="BM96">
        <v>0</v>
      </c>
      <c r="BN96">
        <v>0</v>
      </c>
      <c r="BO96">
        <v>1</v>
      </c>
      <c r="BP96">
        <v>0</v>
      </c>
      <c r="BS96" t="s">
        <v>511</v>
      </c>
      <c r="BU96" t="s">
        <v>512</v>
      </c>
      <c r="BV96" t="s">
        <v>507</v>
      </c>
      <c r="BW96">
        <v>2022</v>
      </c>
      <c r="BX96">
        <v>1</v>
      </c>
      <c r="BY96" t="s">
        <v>508</v>
      </c>
      <c r="BZ96">
        <v>1</v>
      </c>
      <c r="CA96">
        <v>0</v>
      </c>
      <c r="CB96">
        <v>0</v>
      </c>
      <c r="CC96">
        <v>0</v>
      </c>
      <c r="CD96">
        <v>0</v>
      </c>
    </row>
    <row r="97" spans="1:346" x14ac:dyDescent="0.25">
      <c r="A97">
        <v>96</v>
      </c>
      <c r="B97" t="s">
        <v>469</v>
      </c>
      <c r="C97" t="s">
        <v>70</v>
      </c>
      <c r="D97" t="s">
        <v>57</v>
      </c>
      <c r="E97">
        <v>61</v>
      </c>
      <c r="F97" t="s">
        <v>58</v>
      </c>
      <c r="G97" t="s">
        <v>59</v>
      </c>
      <c r="H97" t="s">
        <v>60</v>
      </c>
      <c r="I97" t="s">
        <v>61</v>
      </c>
      <c r="J97" t="s">
        <v>62</v>
      </c>
      <c r="K97" t="s">
        <v>63</v>
      </c>
      <c r="M97" t="s">
        <v>146</v>
      </c>
      <c r="N97" t="s">
        <v>224</v>
      </c>
      <c r="O97">
        <v>3</v>
      </c>
      <c r="P97" s="1" t="s">
        <v>252</v>
      </c>
      <c r="Q97" s="5">
        <v>100</v>
      </c>
      <c r="R97" s="5">
        <v>0</v>
      </c>
      <c r="S97" s="1" t="s">
        <v>82</v>
      </c>
      <c r="T97" t="s">
        <v>148</v>
      </c>
      <c r="U97" s="7">
        <v>13000</v>
      </c>
      <c r="V97" s="2" t="s">
        <v>69</v>
      </c>
      <c r="W97">
        <v>0</v>
      </c>
      <c r="X97">
        <v>0</v>
      </c>
      <c r="Y97" t="s">
        <v>70</v>
      </c>
      <c r="Z97" t="s">
        <v>70</v>
      </c>
      <c r="AA97" s="2">
        <v>0</v>
      </c>
      <c r="AB97" s="2">
        <v>0</v>
      </c>
      <c r="AC97" s="2">
        <v>0</v>
      </c>
      <c r="AD97" s="3" t="s">
        <v>93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224</v>
      </c>
      <c r="AN97" s="5">
        <v>30000</v>
      </c>
      <c r="AO97" t="s">
        <v>467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G97" t="s">
        <v>63</v>
      </c>
      <c r="BI97">
        <v>1</v>
      </c>
      <c r="BJ97" s="2">
        <v>0.25</v>
      </c>
      <c r="BK97" t="s">
        <v>516</v>
      </c>
      <c r="BL97">
        <v>1</v>
      </c>
      <c r="BM97">
        <v>0</v>
      </c>
      <c r="BN97">
        <v>0</v>
      </c>
      <c r="BO97">
        <v>0</v>
      </c>
      <c r="BP97">
        <v>0</v>
      </c>
      <c r="BR97" t="s">
        <v>162</v>
      </c>
      <c r="BS97" t="s">
        <v>505</v>
      </c>
      <c r="BT97">
        <v>1</v>
      </c>
      <c r="BU97" t="s">
        <v>512</v>
      </c>
      <c r="BV97" t="s">
        <v>507</v>
      </c>
      <c r="BW97">
        <v>2005</v>
      </c>
      <c r="BX97">
        <v>18</v>
      </c>
      <c r="BY97" t="s">
        <v>508</v>
      </c>
      <c r="BZ97">
        <v>1</v>
      </c>
      <c r="CA97">
        <v>0</v>
      </c>
      <c r="CB97">
        <v>0</v>
      </c>
      <c r="CC97">
        <v>0</v>
      </c>
      <c r="CD97">
        <v>0</v>
      </c>
    </row>
    <row r="98" spans="1:346" x14ac:dyDescent="0.25">
      <c r="A98">
        <v>97</v>
      </c>
      <c r="B98" t="s">
        <v>470</v>
      </c>
      <c r="C98" t="s">
        <v>70</v>
      </c>
      <c r="D98" t="s">
        <v>97</v>
      </c>
      <c r="E98">
        <v>35</v>
      </c>
      <c r="F98" t="s">
        <v>481</v>
      </c>
      <c r="G98" t="s">
        <v>76</v>
      </c>
      <c r="H98" t="s">
        <v>60</v>
      </c>
      <c r="I98" t="s">
        <v>61</v>
      </c>
      <c r="J98" t="s">
        <v>62</v>
      </c>
      <c r="K98" t="s">
        <v>84</v>
      </c>
      <c r="L98" t="s">
        <v>98</v>
      </c>
      <c r="M98" t="s">
        <v>146</v>
      </c>
      <c r="N98" t="s">
        <v>316</v>
      </c>
      <c r="O98">
        <v>5</v>
      </c>
      <c r="P98" s="1">
        <v>12000</v>
      </c>
      <c r="Q98" s="5">
        <v>0</v>
      </c>
      <c r="R98" s="5">
        <v>100</v>
      </c>
      <c r="S98" s="1">
        <v>0</v>
      </c>
      <c r="T98" t="s">
        <v>70</v>
      </c>
      <c r="U98" s="7">
        <v>12000</v>
      </c>
      <c r="V98" s="2">
        <v>0</v>
      </c>
      <c r="W98">
        <v>0</v>
      </c>
      <c r="X98">
        <v>0</v>
      </c>
      <c r="Y98" t="s">
        <v>316</v>
      </c>
      <c r="Z98" t="s">
        <v>471</v>
      </c>
      <c r="AA98" s="2">
        <v>0</v>
      </c>
      <c r="AB98" s="2">
        <v>0</v>
      </c>
      <c r="AC98" s="2">
        <v>0</v>
      </c>
      <c r="AD98" s="3" t="s">
        <v>70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t="s">
        <v>70</v>
      </c>
      <c r="AN98" s="5" t="s">
        <v>72</v>
      </c>
      <c r="AO98" t="s">
        <v>177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G98" t="s">
        <v>63</v>
      </c>
    </row>
    <row r="99" spans="1:346" x14ac:dyDescent="0.25">
      <c r="A99">
        <v>98</v>
      </c>
      <c r="B99" t="s">
        <v>472</v>
      </c>
      <c r="C99" t="s">
        <v>473</v>
      </c>
      <c r="D99" t="s">
        <v>97</v>
      </c>
      <c r="E99">
        <v>30</v>
      </c>
      <c r="F99" t="s">
        <v>58</v>
      </c>
      <c r="G99" t="s">
        <v>76</v>
      </c>
      <c r="H99" t="s">
        <v>60</v>
      </c>
      <c r="I99" t="s">
        <v>61</v>
      </c>
      <c r="J99" t="s">
        <v>62</v>
      </c>
      <c r="K99" t="s">
        <v>84</v>
      </c>
      <c r="L99" t="s">
        <v>98</v>
      </c>
      <c r="M99" t="s">
        <v>146</v>
      </c>
      <c r="N99" t="s">
        <v>316</v>
      </c>
      <c r="O99">
        <v>5</v>
      </c>
      <c r="P99" s="1" t="s">
        <v>407</v>
      </c>
      <c r="Q99" s="5">
        <v>0</v>
      </c>
      <c r="R99" s="5">
        <v>100</v>
      </c>
      <c r="S99" s="1">
        <v>0</v>
      </c>
      <c r="T99" t="s">
        <v>70</v>
      </c>
      <c r="U99" s="7">
        <v>48000</v>
      </c>
      <c r="V99" s="2" t="s">
        <v>165</v>
      </c>
      <c r="W99">
        <v>0</v>
      </c>
      <c r="X99">
        <v>0</v>
      </c>
      <c r="Y99" t="s">
        <v>316</v>
      </c>
      <c r="Z99" t="s">
        <v>407</v>
      </c>
      <c r="AA99" s="2">
        <v>0</v>
      </c>
      <c r="AB99" s="2">
        <v>0</v>
      </c>
      <c r="AC99" s="2">
        <v>0</v>
      </c>
      <c r="AD99" s="3" t="s">
        <v>70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t="s">
        <v>70</v>
      </c>
      <c r="AN99" s="5" t="s">
        <v>72</v>
      </c>
      <c r="AO99" t="s">
        <v>83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G99" t="s">
        <v>63</v>
      </c>
    </row>
    <row r="100" spans="1:346" x14ac:dyDescent="0.25">
      <c r="A100">
        <v>99</v>
      </c>
      <c r="B100" t="s">
        <v>474</v>
      </c>
      <c r="C100" t="s">
        <v>475</v>
      </c>
      <c r="D100" t="s">
        <v>57</v>
      </c>
      <c r="E100">
        <v>29</v>
      </c>
      <c r="F100" t="s">
        <v>58</v>
      </c>
      <c r="G100" t="s">
        <v>76</v>
      </c>
      <c r="H100" t="s">
        <v>476</v>
      </c>
      <c r="I100" t="s">
        <v>113</v>
      </c>
      <c r="J100" t="s">
        <v>62</v>
      </c>
      <c r="K100" t="s">
        <v>63</v>
      </c>
      <c r="M100" t="s">
        <v>146</v>
      </c>
      <c r="N100" t="s">
        <v>70</v>
      </c>
      <c r="O100">
        <v>4</v>
      </c>
      <c r="P100" s="1">
        <v>50000</v>
      </c>
      <c r="Q100" s="5">
        <v>80</v>
      </c>
      <c r="R100" s="5">
        <v>20</v>
      </c>
      <c r="S100" s="1">
        <v>5000</v>
      </c>
      <c r="T100" t="s">
        <v>140</v>
      </c>
      <c r="U100" s="7">
        <v>50000</v>
      </c>
      <c r="V100" s="2" t="s">
        <v>298</v>
      </c>
      <c r="W100">
        <v>10</v>
      </c>
      <c r="X100">
        <v>10</v>
      </c>
      <c r="Y100" t="s">
        <v>70</v>
      </c>
      <c r="Z100" t="s">
        <v>70</v>
      </c>
      <c r="AA100" s="2">
        <v>0</v>
      </c>
      <c r="AB100" s="2">
        <v>0</v>
      </c>
      <c r="AC100" s="2">
        <v>0</v>
      </c>
      <c r="AD100" s="3" t="s">
        <v>70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t="s">
        <v>70</v>
      </c>
      <c r="AN100" s="5" t="s">
        <v>72</v>
      </c>
      <c r="AO100" t="s">
        <v>94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G100" t="s">
        <v>63</v>
      </c>
      <c r="BI100">
        <v>1</v>
      </c>
      <c r="BJ100" s="2"/>
      <c r="BK100" t="s">
        <v>503</v>
      </c>
      <c r="BL100">
        <v>0</v>
      </c>
      <c r="BM100">
        <v>0</v>
      </c>
      <c r="BN100">
        <v>0</v>
      </c>
      <c r="BO100">
        <v>1</v>
      </c>
      <c r="BP100">
        <v>0</v>
      </c>
      <c r="BR100" t="s">
        <v>162</v>
      </c>
      <c r="BS100" t="s">
        <v>511</v>
      </c>
      <c r="BU100" t="s">
        <v>594</v>
      </c>
      <c r="BV100" t="s">
        <v>507</v>
      </c>
      <c r="BW100">
        <v>2010</v>
      </c>
      <c r="BX100">
        <v>13</v>
      </c>
      <c r="BY100" t="s">
        <v>508</v>
      </c>
      <c r="BZ100">
        <v>1</v>
      </c>
      <c r="CA100">
        <v>0</v>
      </c>
      <c r="CB100">
        <v>0</v>
      </c>
      <c r="CC100">
        <v>0</v>
      </c>
      <c r="CD100">
        <v>0</v>
      </c>
    </row>
    <row r="101" spans="1:346" x14ac:dyDescent="0.25">
      <c r="A101">
        <v>100</v>
      </c>
      <c r="B101" t="s">
        <v>477</v>
      </c>
      <c r="C101" t="s">
        <v>478</v>
      </c>
      <c r="D101" t="s">
        <v>97</v>
      </c>
      <c r="E101">
        <v>39</v>
      </c>
      <c r="F101" t="s">
        <v>481</v>
      </c>
      <c r="G101" t="s">
        <v>76</v>
      </c>
      <c r="H101" t="s">
        <v>60</v>
      </c>
      <c r="I101" t="s">
        <v>88</v>
      </c>
      <c r="J101" t="s">
        <v>62</v>
      </c>
      <c r="K101" t="s">
        <v>84</v>
      </c>
      <c r="L101" t="s">
        <v>98</v>
      </c>
      <c r="M101" t="s">
        <v>309</v>
      </c>
      <c r="N101" t="s">
        <v>70</v>
      </c>
      <c r="O101">
        <v>3</v>
      </c>
      <c r="P101" s="1">
        <v>95000</v>
      </c>
      <c r="Q101" s="5">
        <f>50000/P101*100</f>
        <v>52.631578947368418</v>
      </c>
      <c r="R101" s="5">
        <v>47</v>
      </c>
      <c r="S101" s="1">
        <v>0</v>
      </c>
      <c r="T101" t="s">
        <v>479</v>
      </c>
      <c r="U101" s="7">
        <v>95000</v>
      </c>
      <c r="V101" s="2" t="s">
        <v>69</v>
      </c>
      <c r="W101">
        <v>0</v>
      </c>
      <c r="X101">
        <v>0</v>
      </c>
      <c r="Y101" t="s">
        <v>70</v>
      </c>
      <c r="Z101" t="s">
        <v>70</v>
      </c>
      <c r="AA101" s="2">
        <v>0</v>
      </c>
      <c r="AB101" s="2">
        <v>0</v>
      </c>
      <c r="AC101" s="2">
        <v>0</v>
      </c>
      <c r="AD101" s="3" t="s">
        <v>70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t="s">
        <v>70</v>
      </c>
      <c r="AN101" s="5" t="s">
        <v>72</v>
      </c>
      <c r="AO101" t="s">
        <v>94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G101" t="s">
        <v>63</v>
      </c>
      <c r="BI101">
        <v>1</v>
      </c>
      <c r="BJ101" s="2">
        <v>0.25</v>
      </c>
      <c r="BK101" t="s">
        <v>531</v>
      </c>
      <c r="BL101">
        <v>0</v>
      </c>
      <c r="BM101">
        <v>0</v>
      </c>
      <c r="BN101">
        <v>1</v>
      </c>
      <c r="BO101">
        <v>0</v>
      </c>
      <c r="BP101">
        <v>0</v>
      </c>
      <c r="BR101" t="s">
        <v>595</v>
      </c>
      <c r="BS101" t="s">
        <v>71</v>
      </c>
      <c r="BT101" t="s">
        <v>596</v>
      </c>
      <c r="BU101" t="s">
        <v>596</v>
      </c>
      <c r="BV101" t="s">
        <v>521</v>
      </c>
      <c r="BW101">
        <v>2018</v>
      </c>
      <c r="BX101">
        <v>5</v>
      </c>
      <c r="BY101" t="s">
        <v>508</v>
      </c>
      <c r="BZ101">
        <v>1</v>
      </c>
      <c r="CA101">
        <v>0</v>
      </c>
      <c r="CB101">
        <v>0</v>
      </c>
      <c r="CC101">
        <v>0</v>
      </c>
      <c r="CD101">
        <v>0</v>
      </c>
    </row>
    <row r="102" spans="1:346" x14ac:dyDescent="0.25">
      <c r="E102" s="4"/>
      <c r="O102" s="4"/>
    </row>
    <row r="106" spans="1:346" x14ac:dyDescent="0.25">
      <c r="MH106" s="22"/>
    </row>
    <row r="109" spans="1:346" x14ac:dyDescent="0.25">
      <c r="MH109" s="22"/>
    </row>
    <row r="113" spans="346:346" x14ac:dyDescent="0.25">
      <c r="MH113" s="22"/>
    </row>
    <row r="114" spans="346:346" x14ac:dyDescent="0.25">
      <c r="MH114" s="22"/>
    </row>
    <row r="115" spans="346:346" x14ac:dyDescent="0.25">
      <c r="MH115" s="22"/>
    </row>
    <row r="116" spans="346:346" x14ac:dyDescent="0.25">
      <c r="MH116" s="22"/>
    </row>
    <row r="117" spans="346:346" x14ac:dyDescent="0.25">
      <c r="MH117" s="22"/>
    </row>
    <row r="118" spans="346:346" x14ac:dyDescent="0.25">
      <c r="MH118" s="22"/>
    </row>
    <row r="119" spans="346:346" x14ac:dyDescent="0.25">
      <c r="MH119" s="22"/>
    </row>
    <row r="120" spans="346:346" x14ac:dyDescent="0.25">
      <c r="MH120" s="22"/>
    </row>
    <row r="121" spans="346:346" x14ac:dyDescent="0.25">
      <c r="MH121" s="22"/>
    </row>
    <row r="122" spans="346:346" x14ac:dyDescent="0.25">
      <c r="MH122" s="22"/>
    </row>
    <row r="123" spans="346:346" x14ac:dyDescent="0.25">
      <c r="MH123" s="22"/>
    </row>
    <row r="124" spans="346:346" x14ac:dyDescent="0.25">
      <c r="MH124" s="22"/>
    </row>
  </sheetData>
  <pageMargins left="0.7" right="0.7" top="0.75" bottom="0.75" header="0.3" footer="0.3"/>
  <ignoredErrors>
    <ignoredError sqref="P58:P101 S58:S101 U20 U53 U25:U26 U28 U36 U38:U40 U42 U67:U76 U85 U95:U101 V58:V101 V2 S2 P2 V3:V55 S3:S55 P3:P55 V56:V57 S56:S57 P56:P5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88F4-9E7A-4414-9D2D-D849C2D0ADAC}">
  <dimension ref="A1:K14"/>
  <sheetViews>
    <sheetView workbookViewId="0">
      <selection activeCell="P3" sqref="P3"/>
    </sheetView>
  </sheetViews>
  <sheetFormatPr defaultRowHeight="15" x14ac:dyDescent="0.25"/>
  <cols>
    <col min="1" max="1" width="24.140625" customWidth="1"/>
  </cols>
  <sheetData>
    <row r="1" spans="1:11" x14ac:dyDescent="0.25">
      <c r="A1" s="8" t="s">
        <v>598</v>
      </c>
      <c r="B1" s="8"/>
      <c r="C1" s="8"/>
    </row>
    <row r="2" spans="1:11" x14ac:dyDescent="0.25">
      <c r="A2" s="44" t="s">
        <v>599</v>
      </c>
      <c r="B2" s="45" t="s">
        <v>600</v>
      </c>
      <c r="C2" s="45"/>
      <c r="D2" s="46" t="s">
        <v>601</v>
      </c>
      <c r="E2" s="46"/>
      <c r="F2" s="47" t="s">
        <v>602</v>
      </c>
      <c r="G2" s="47"/>
      <c r="H2" s="42" t="s">
        <v>603</v>
      </c>
      <c r="I2" s="43"/>
      <c r="J2" s="40" t="s">
        <v>604</v>
      </c>
      <c r="K2" s="41"/>
    </row>
    <row r="3" spans="1:11" x14ac:dyDescent="0.25">
      <c r="A3" s="44"/>
      <c r="B3" s="45" t="s">
        <v>605</v>
      </c>
      <c r="C3" s="45"/>
      <c r="D3" s="46" t="s">
        <v>605</v>
      </c>
      <c r="E3" s="46"/>
      <c r="F3" s="47" t="s">
        <v>605</v>
      </c>
      <c r="G3" s="47"/>
      <c r="H3" s="38" t="s">
        <v>605</v>
      </c>
      <c r="I3" s="38"/>
      <c r="J3" s="39" t="s">
        <v>605</v>
      </c>
      <c r="K3" s="39"/>
    </row>
    <row r="4" spans="1:11" x14ac:dyDescent="0.25">
      <c r="A4" s="44"/>
      <c r="B4" s="11" t="s">
        <v>606</v>
      </c>
      <c r="C4" s="11" t="s">
        <v>607</v>
      </c>
      <c r="D4" s="12" t="s">
        <v>608</v>
      </c>
      <c r="E4" s="12" t="s">
        <v>607</v>
      </c>
      <c r="F4" s="13" t="s">
        <v>606</v>
      </c>
      <c r="G4" s="13" t="s">
        <v>607</v>
      </c>
      <c r="H4" s="9" t="s">
        <v>606</v>
      </c>
      <c r="I4" s="9" t="s">
        <v>607</v>
      </c>
      <c r="J4" s="10" t="s">
        <v>97</v>
      </c>
      <c r="K4" s="10" t="s">
        <v>57</v>
      </c>
    </row>
    <row r="5" spans="1:11" x14ac:dyDescent="0.25">
      <c r="A5" s="14" t="s">
        <v>609</v>
      </c>
      <c r="B5" s="15">
        <v>0.8</v>
      </c>
      <c r="C5" s="15">
        <v>41</v>
      </c>
      <c r="D5" s="16">
        <v>0</v>
      </c>
      <c r="E5" s="16">
        <v>14.777777777777779</v>
      </c>
      <c r="F5" s="17">
        <v>0</v>
      </c>
      <c r="G5" s="17">
        <v>0</v>
      </c>
      <c r="H5" s="18">
        <v>0</v>
      </c>
      <c r="I5" s="18">
        <v>4.666666666666667</v>
      </c>
      <c r="J5" s="19">
        <v>0</v>
      </c>
      <c r="K5" s="19">
        <v>0</v>
      </c>
    </row>
    <row r="6" spans="1:11" x14ac:dyDescent="0.25">
      <c r="A6" s="14" t="s">
        <v>610</v>
      </c>
      <c r="B6" s="15">
        <v>29.375824175824171</v>
      </c>
      <c r="C6" s="15">
        <v>18.875886524822693</v>
      </c>
      <c r="D6" s="16">
        <v>23.496296296296297</v>
      </c>
      <c r="E6" s="16">
        <v>27.446464646464648</v>
      </c>
      <c r="F6" s="20">
        <v>10.666666666666666</v>
      </c>
      <c r="G6" s="20">
        <v>19.555555555555554</v>
      </c>
      <c r="H6" s="18">
        <v>11.733333333333333</v>
      </c>
      <c r="I6" s="18">
        <v>12.74074074074074</v>
      </c>
      <c r="J6" s="21">
        <v>9.3333333333333339</v>
      </c>
      <c r="K6" s="21">
        <v>5.5</v>
      </c>
    </row>
    <row r="7" spans="1:11" x14ac:dyDescent="0.25">
      <c r="A7" s="14" t="s">
        <v>611</v>
      </c>
      <c r="B7" s="15">
        <v>22.011428571428567</v>
      </c>
      <c r="C7" s="15">
        <v>24.29344729344729</v>
      </c>
      <c r="D7" s="16">
        <v>11.777777777777777</v>
      </c>
      <c r="E7" s="16">
        <v>22.835443037974688</v>
      </c>
      <c r="F7" s="20">
        <v>14.222222222222221</v>
      </c>
      <c r="G7" s="20">
        <v>7.5555555555555545</v>
      </c>
      <c r="H7" s="18">
        <v>17.733333333333334</v>
      </c>
      <c r="I7" s="18">
        <v>27.388888888888889</v>
      </c>
      <c r="J7" s="21">
        <v>6</v>
      </c>
      <c r="K7" s="21">
        <v>11.142857142857142</v>
      </c>
    </row>
    <row r="8" spans="1:11" x14ac:dyDescent="0.25">
      <c r="A8" s="14" t="s">
        <v>612</v>
      </c>
      <c r="B8" s="15">
        <v>32</v>
      </c>
      <c r="C8" s="15">
        <v>21.333333333333332</v>
      </c>
      <c r="D8" s="16">
        <v>64</v>
      </c>
      <c r="E8" s="16">
        <v>18</v>
      </c>
      <c r="F8" s="20">
        <v>0</v>
      </c>
      <c r="G8" s="20">
        <v>0</v>
      </c>
      <c r="H8" s="18">
        <v>0</v>
      </c>
      <c r="I8" s="18">
        <v>0</v>
      </c>
      <c r="J8" s="21">
        <v>0</v>
      </c>
      <c r="K8" s="21">
        <v>0</v>
      </c>
    </row>
    <row r="9" spans="1:11" x14ac:dyDescent="0.25">
      <c r="A9" s="14" t="s">
        <v>613</v>
      </c>
      <c r="B9" s="15">
        <v>26.615238095238094</v>
      </c>
      <c r="C9" s="15">
        <v>23.791975308641977</v>
      </c>
      <c r="D9" s="16">
        <v>32.566666666666663</v>
      </c>
      <c r="E9" s="16">
        <v>19.241481481481479</v>
      </c>
      <c r="F9" s="20">
        <v>10.666666666666666</v>
      </c>
      <c r="G9" s="20">
        <v>6.2222222222222214</v>
      </c>
      <c r="H9" s="18">
        <v>15.40740740740741</v>
      </c>
      <c r="I9" s="18">
        <v>12.444444444444445</v>
      </c>
      <c r="J9" s="21">
        <v>8</v>
      </c>
      <c r="K9" s="21">
        <v>6</v>
      </c>
    </row>
    <row r="10" spans="1:11" x14ac:dyDescent="0.25">
      <c r="A10" s="14" t="s">
        <v>614</v>
      </c>
      <c r="B10" s="15">
        <v>41.67619047619047</v>
      </c>
      <c r="C10" s="15">
        <v>47.202674897119351</v>
      </c>
      <c r="D10" s="16">
        <v>27.274999999999999</v>
      </c>
      <c r="E10" s="16">
        <v>44.303875968992244</v>
      </c>
      <c r="F10" s="20">
        <v>26.666666666666668</v>
      </c>
      <c r="G10" s="20">
        <v>40.888888888888886</v>
      </c>
      <c r="H10" s="18">
        <v>21.6</v>
      </c>
      <c r="I10" s="18">
        <v>15.649122807017543</v>
      </c>
      <c r="J10" s="21">
        <v>13.333333333333334</v>
      </c>
      <c r="K10" s="21">
        <v>13.846153846153847</v>
      </c>
    </row>
    <row r="11" spans="1:11" x14ac:dyDescent="0.25">
      <c r="A11" s="14" t="s">
        <v>615</v>
      </c>
      <c r="B11" s="15">
        <v>0</v>
      </c>
      <c r="C11" s="15">
        <v>0</v>
      </c>
      <c r="D11" s="16">
        <v>0</v>
      </c>
      <c r="E11" s="16">
        <v>0</v>
      </c>
      <c r="F11" s="20">
        <v>0</v>
      </c>
      <c r="G11" s="20">
        <v>0</v>
      </c>
      <c r="H11" s="18">
        <v>14.222222222222221</v>
      </c>
      <c r="I11" s="18">
        <v>128</v>
      </c>
      <c r="J11" s="21">
        <v>8</v>
      </c>
      <c r="K11" s="21">
        <v>8</v>
      </c>
    </row>
    <row r="12" spans="1:11" x14ac:dyDescent="0.25">
      <c r="A12" s="14" t="s">
        <v>616</v>
      </c>
      <c r="B12" s="15">
        <v>66.707482993197274</v>
      </c>
      <c r="C12" s="15">
        <v>46.566308243727605</v>
      </c>
      <c r="D12" s="16">
        <v>43.733333333333327</v>
      </c>
      <c r="E12" s="16">
        <v>39.397979797979808</v>
      </c>
      <c r="F12" s="20">
        <v>32</v>
      </c>
      <c r="G12" s="20">
        <v>6.2222222222222214</v>
      </c>
      <c r="H12" s="18">
        <v>13.518518518518519</v>
      </c>
      <c r="I12" s="18">
        <v>33.777777777777779</v>
      </c>
      <c r="J12" s="21">
        <v>28</v>
      </c>
      <c r="K12" s="21">
        <v>20</v>
      </c>
    </row>
    <row r="13" spans="1:11" x14ac:dyDescent="0.25">
      <c r="A13" s="14" t="s">
        <v>617</v>
      </c>
      <c r="B13" s="15">
        <v>39</v>
      </c>
      <c r="C13" s="15">
        <v>56.70261437908497</v>
      </c>
      <c r="D13" s="16">
        <v>25.047619047619047</v>
      </c>
      <c r="E13" s="16">
        <v>108.03571428571429</v>
      </c>
      <c r="F13" s="20">
        <v>432</v>
      </c>
      <c r="G13" s="20">
        <v>19.555555555555554</v>
      </c>
      <c r="H13" s="18">
        <v>20</v>
      </c>
      <c r="I13" s="18">
        <v>15.466666666666665</v>
      </c>
      <c r="J13" s="21">
        <v>30</v>
      </c>
      <c r="K13" s="21">
        <v>32.200000000000003</v>
      </c>
    </row>
    <row r="14" spans="1:11" x14ac:dyDescent="0.25">
      <c r="A14" s="14" t="s">
        <v>618</v>
      </c>
      <c r="B14" s="15">
        <v>52.789115646258495</v>
      </c>
      <c r="C14" s="15">
        <v>58.138047138047135</v>
      </c>
      <c r="D14" s="16">
        <v>61.288888888888891</v>
      </c>
      <c r="E14" s="16">
        <v>34.927407407407408</v>
      </c>
      <c r="F14" s="20">
        <v>10.666666666666666</v>
      </c>
      <c r="G14" s="20">
        <v>16.666666666666668</v>
      </c>
      <c r="H14" s="18">
        <v>36</v>
      </c>
      <c r="I14" s="18">
        <v>24.933333333333334</v>
      </c>
      <c r="J14" s="21">
        <v>14.5</v>
      </c>
      <c r="K14" s="21">
        <v>24.666666666666668</v>
      </c>
    </row>
  </sheetData>
  <mergeCells count="11">
    <mergeCell ref="H3:I3"/>
    <mergeCell ref="J3:K3"/>
    <mergeCell ref="J2:K2"/>
    <mergeCell ref="H2:I2"/>
    <mergeCell ref="A2:A4"/>
    <mergeCell ref="B2:C2"/>
    <mergeCell ref="D2:E2"/>
    <mergeCell ref="F2:G2"/>
    <mergeCell ref="B3:C3"/>
    <mergeCell ref="D3:E3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EBC2-6ABC-4AB3-B62A-FE3162D0240C}">
  <dimension ref="A1:C8"/>
  <sheetViews>
    <sheetView workbookViewId="0">
      <selection activeCell="F4" sqref="F4"/>
    </sheetView>
  </sheetViews>
  <sheetFormatPr defaultRowHeight="15" x14ac:dyDescent="0.25"/>
  <cols>
    <col min="1" max="1" width="26.140625" customWidth="1"/>
    <col min="2" max="2" width="39.5703125" customWidth="1"/>
    <col min="3" max="3" width="44.7109375" customWidth="1"/>
  </cols>
  <sheetData>
    <row r="1" spans="1:3" ht="17.25" x14ac:dyDescent="0.25">
      <c r="A1" s="23" t="s">
        <v>4218</v>
      </c>
    </row>
    <row r="2" spans="1:3" ht="15.75" thickBot="1" x14ac:dyDescent="0.3"/>
    <row r="3" spans="1:3" s="29" customFormat="1" ht="30.75" thickBot="1" x14ac:dyDescent="0.3">
      <c r="A3" s="28" t="s">
        <v>4190</v>
      </c>
      <c r="B3" s="28" t="s">
        <v>4191</v>
      </c>
      <c r="C3" s="28" t="s">
        <v>4219</v>
      </c>
    </row>
    <row r="4" spans="1:3" s="29" customFormat="1" ht="86.25" thickBot="1" x14ac:dyDescent="0.3">
      <c r="A4" s="28" t="s">
        <v>4192</v>
      </c>
      <c r="B4" s="30" t="s">
        <v>4220</v>
      </c>
      <c r="C4" s="30" t="s">
        <v>4221</v>
      </c>
    </row>
    <row r="5" spans="1:3" s="29" customFormat="1" ht="86.25" thickBot="1" x14ac:dyDescent="0.3">
      <c r="A5" s="28" t="s">
        <v>4194</v>
      </c>
      <c r="B5" s="30" t="s">
        <v>4222</v>
      </c>
      <c r="C5" s="30" t="s">
        <v>4223</v>
      </c>
    </row>
    <row r="6" spans="1:3" s="29" customFormat="1" ht="57.75" thickBot="1" x14ac:dyDescent="0.3">
      <c r="A6" s="28" t="s">
        <v>4193</v>
      </c>
      <c r="B6" s="30" t="s">
        <v>4224</v>
      </c>
      <c r="C6" s="30" t="s">
        <v>4225</v>
      </c>
    </row>
    <row r="7" spans="1:3" s="29" customFormat="1" ht="88.5" thickBot="1" x14ac:dyDescent="0.3">
      <c r="A7" s="28" t="s">
        <v>4196</v>
      </c>
      <c r="B7" s="30" t="s">
        <v>4226</v>
      </c>
      <c r="C7" s="30" t="s">
        <v>4227</v>
      </c>
    </row>
    <row r="8" spans="1:3" s="29" customFormat="1" ht="57.75" thickBot="1" x14ac:dyDescent="0.3">
      <c r="A8" s="28" t="s">
        <v>4195</v>
      </c>
      <c r="B8" s="30" t="s">
        <v>4228</v>
      </c>
      <c r="C8" s="30" t="s">
        <v>4229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E943-EAD0-41AF-B416-31C234B6A53B}">
  <dimension ref="A1:A49"/>
  <sheetViews>
    <sheetView topLeftCell="A46" workbookViewId="0">
      <selection activeCell="M65" sqref="M65"/>
    </sheetView>
  </sheetViews>
  <sheetFormatPr defaultRowHeight="15" x14ac:dyDescent="0.25"/>
  <sheetData>
    <row r="1" spans="1:1" x14ac:dyDescent="0.25">
      <c r="A1" t="s">
        <v>4230</v>
      </c>
    </row>
    <row r="5" spans="1:1" ht="18" x14ac:dyDescent="0.25">
      <c r="A5" s="31" t="s">
        <v>4231</v>
      </c>
    </row>
    <row r="7" spans="1:1" x14ac:dyDescent="0.25">
      <c r="A7" t="s">
        <v>4232</v>
      </c>
    </row>
    <row r="8" spans="1:1" x14ac:dyDescent="0.25">
      <c r="A8" s="32"/>
    </row>
    <row r="9" spans="1:1" x14ac:dyDescent="0.25">
      <c r="A9" s="33" t="s">
        <v>4233</v>
      </c>
    </row>
    <row r="10" spans="1:1" x14ac:dyDescent="0.25">
      <c r="A10" s="32"/>
    </row>
    <row r="11" spans="1:1" x14ac:dyDescent="0.25">
      <c r="A11" s="33" t="s">
        <v>4234</v>
      </c>
    </row>
    <row r="13" spans="1:1" ht="18" x14ac:dyDescent="0.25">
      <c r="A13" s="31" t="s">
        <v>4235</v>
      </c>
    </row>
    <row r="15" spans="1:1" x14ac:dyDescent="0.25">
      <c r="A15" t="s">
        <v>4236</v>
      </c>
    </row>
    <row r="16" spans="1:1" x14ac:dyDescent="0.25">
      <c r="A16" s="32"/>
    </row>
    <row r="17" spans="1:1" x14ac:dyDescent="0.25">
      <c r="A17" s="33" t="s">
        <v>4237</v>
      </c>
    </row>
    <row r="18" spans="1:1" x14ac:dyDescent="0.25">
      <c r="A18" s="32"/>
    </row>
    <row r="19" spans="1:1" x14ac:dyDescent="0.25">
      <c r="A19" s="33" t="s">
        <v>4238</v>
      </c>
    </row>
    <row r="20" spans="1:1" x14ac:dyDescent="0.25">
      <c r="A20" s="32"/>
    </row>
    <row r="21" spans="1:1" x14ac:dyDescent="0.25">
      <c r="A21" s="33" t="s">
        <v>4239</v>
      </c>
    </row>
    <row r="23" spans="1:1" ht="18" x14ac:dyDescent="0.25">
      <c r="A23" s="31" t="s">
        <v>4240</v>
      </c>
    </row>
    <row r="25" spans="1:1" x14ac:dyDescent="0.25">
      <c r="A25" t="s">
        <v>4241</v>
      </c>
    </row>
    <row r="26" spans="1:1" x14ac:dyDescent="0.25">
      <c r="A26" s="32"/>
    </row>
    <row r="27" spans="1:1" x14ac:dyDescent="0.25">
      <c r="A27" s="33" t="s">
        <v>4242</v>
      </c>
    </row>
    <row r="28" spans="1:1" x14ac:dyDescent="0.25">
      <c r="A28" s="32"/>
    </row>
    <row r="29" spans="1:1" x14ac:dyDescent="0.25">
      <c r="A29" s="33" t="s">
        <v>4243</v>
      </c>
    </row>
    <row r="30" spans="1:1" x14ac:dyDescent="0.25">
      <c r="A30" s="32"/>
    </row>
    <row r="31" spans="1:1" x14ac:dyDescent="0.25">
      <c r="A31" s="33" t="s">
        <v>4244</v>
      </c>
    </row>
    <row r="33" spans="1:1" ht="18" x14ac:dyDescent="0.25">
      <c r="A33" s="31" t="s">
        <v>4245</v>
      </c>
    </row>
    <row r="35" spans="1:1" x14ac:dyDescent="0.25">
      <c r="A35" t="s">
        <v>4246</v>
      </c>
    </row>
    <row r="36" spans="1:1" x14ac:dyDescent="0.25">
      <c r="A36" s="32"/>
    </row>
    <row r="37" spans="1:1" x14ac:dyDescent="0.25">
      <c r="A37" s="33" t="s">
        <v>4247</v>
      </c>
    </row>
    <row r="38" spans="1:1" x14ac:dyDescent="0.25">
      <c r="A38" s="32"/>
    </row>
    <row r="39" spans="1:1" x14ac:dyDescent="0.25">
      <c r="A39" s="33" t="s">
        <v>4248</v>
      </c>
    </row>
    <row r="40" spans="1:1" x14ac:dyDescent="0.25">
      <c r="A40" s="32"/>
    </row>
    <row r="41" spans="1:1" x14ac:dyDescent="0.25">
      <c r="A41" s="33" t="s">
        <v>4249</v>
      </c>
    </row>
    <row r="43" spans="1:1" ht="18" x14ac:dyDescent="0.25">
      <c r="A43" s="31" t="s">
        <v>4250</v>
      </c>
    </row>
    <row r="45" spans="1:1" x14ac:dyDescent="0.25">
      <c r="A45" t="s">
        <v>4251</v>
      </c>
    </row>
    <row r="46" spans="1:1" x14ac:dyDescent="0.25">
      <c r="A46" s="32"/>
    </row>
    <row r="47" spans="1:1" x14ac:dyDescent="0.25">
      <c r="A47" s="33" t="s">
        <v>4252</v>
      </c>
    </row>
    <row r="48" spans="1:1" x14ac:dyDescent="0.25">
      <c r="A48" s="32"/>
    </row>
    <row r="49" spans="1:1" x14ac:dyDescent="0.25">
      <c r="A49" s="33" t="s">
        <v>4253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Consolidated</vt:lpstr>
      <vt:lpstr>var name</vt:lpstr>
      <vt:lpstr>i_need_this</vt:lpstr>
      <vt:lpstr>i_need_this (2)</vt:lpstr>
      <vt:lpstr>var_need</vt:lpstr>
      <vt:lpstr>Sheet1</vt:lpstr>
      <vt:lpstr>Labor Hours</vt:lpstr>
      <vt:lpstr>Notes_Agri Practices</vt:lpstr>
      <vt:lpstr>Notes_Technologies Learned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Christopher Llones</cp:lastModifiedBy>
  <dcterms:created xsi:type="dcterms:W3CDTF">2026-05-07T07:48:27Z</dcterms:created>
  <dcterms:modified xsi:type="dcterms:W3CDTF">2026-05-08T07:59:15Z</dcterms:modified>
</cp:coreProperties>
</file>