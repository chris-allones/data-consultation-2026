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Chris Llones - 2024\GoogleDrive\VSU\viserdac\viserdac-data-analysis\20260503-pening-saad-digital-marketing-adoption\"/>
    </mc:Choice>
  </mc:AlternateContent>
  <xr:revisionPtr revIDLastSave="0" documentId="8_{777C4AE1-91A4-46E5-BD38-B66F0DB7E5E0}" xr6:coauthVersionLast="47" xr6:coauthVersionMax="47" xr10:uidLastSave="{00000000-0000-0000-0000-000000000000}"/>
  <bookViews>
    <workbookView xWindow="-108" yWindow="-108" windowWidth="23256" windowHeight="13176" xr2:uid="{6C9933B8-D739-4C2C-BD08-E89F383740DE}"/>
  </bookViews>
  <sheets>
    <sheet name="raw_data" sheetId="4" r:id="rId1"/>
    <sheet name="lkrt-data" sheetId="5" r:id="rId2"/>
    <sheet name="Raw Data" sheetId="1" r:id="rId3"/>
    <sheet name="Aggregated" sheetId="3" r:id="rId4"/>
  </sheets>
  <definedNames>
    <definedName name="_xlnm._FilterDatabase" localSheetId="3" hidden="1">Aggregated!$C$2:$C$31</definedName>
    <definedName name="_xlnm._FilterDatabase" localSheetId="2" hidden="1">'Raw Data'!$C$2:$C$31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" l="1"/>
  <c r="A11" i="3" s="1"/>
  <c r="A12" i="3" s="1"/>
  <c r="AC55" i="3"/>
  <c r="AD55" i="3"/>
  <c r="AE55" i="3"/>
  <c r="AF55" i="3"/>
  <c r="AG55" i="3"/>
  <c r="AH55" i="3"/>
  <c r="AI55" i="3"/>
  <c r="AJ55" i="3"/>
  <c r="AK55" i="3"/>
  <c r="T55" i="3"/>
  <c r="U55" i="3"/>
  <c r="V55" i="3"/>
  <c r="W55" i="3"/>
  <c r="X55" i="3"/>
  <c r="Y55" i="3"/>
  <c r="Z55" i="3"/>
  <c r="AA55" i="3"/>
  <c r="AB55" i="3"/>
  <c r="S55" i="3"/>
  <c r="AH54" i="3"/>
  <c r="AI54" i="3"/>
  <c r="AJ54" i="3"/>
  <c r="AK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S54" i="3"/>
  <c r="AJ53" i="3"/>
  <c r="AK53" i="3"/>
  <c r="AB53" i="3"/>
  <c r="AC53" i="3"/>
  <c r="AD53" i="3"/>
  <c r="AE53" i="3"/>
  <c r="AF53" i="3"/>
  <c r="AG53" i="3"/>
  <c r="AH53" i="3"/>
  <c r="AI53" i="3"/>
  <c r="T53" i="3"/>
  <c r="U53" i="3"/>
  <c r="V53" i="3"/>
  <c r="W53" i="3"/>
  <c r="X53" i="3"/>
  <c r="Y53" i="3"/>
  <c r="Z53" i="3"/>
  <c r="AA53" i="3"/>
  <c r="S53" i="3"/>
  <c r="AG52" i="3"/>
  <c r="AH52" i="3"/>
  <c r="AI52" i="3"/>
  <c r="AJ52" i="3"/>
  <c r="AK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S52" i="3"/>
  <c r="AF51" i="3"/>
  <c r="AG51" i="3"/>
  <c r="AH51" i="3"/>
  <c r="AI51" i="3"/>
  <c r="AJ51" i="3"/>
  <c r="AK51" i="3"/>
  <c r="T51" i="3"/>
  <c r="U51" i="3"/>
  <c r="V51" i="3"/>
  <c r="W51" i="3"/>
  <c r="X51" i="3"/>
  <c r="Y51" i="3"/>
  <c r="Z51" i="3"/>
  <c r="AA51" i="3"/>
  <c r="AB51" i="3"/>
  <c r="AC51" i="3"/>
  <c r="AD51" i="3"/>
  <c r="AE51" i="3"/>
  <c r="S51" i="3"/>
  <c r="AK46" i="3"/>
  <c r="AJ46" i="3"/>
  <c r="AC46" i="3"/>
  <c r="AD46" i="3"/>
  <c r="AE46" i="3"/>
  <c r="AF46" i="3"/>
  <c r="AG46" i="3"/>
  <c r="AH46" i="3"/>
  <c r="AI46" i="3"/>
  <c r="T46" i="3"/>
  <c r="U46" i="3"/>
  <c r="V46" i="3"/>
  <c r="W46" i="3"/>
  <c r="X46" i="3"/>
  <c r="Y46" i="3"/>
  <c r="Z46" i="3"/>
  <c r="AA46" i="3"/>
  <c r="AB46" i="3"/>
  <c r="S46" i="3"/>
  <c r="AD45" i="3"/>
  <c r="AE45" i="3"/>
  <c r="AF45" i="3"/>
  <c r="AG45" i="3"/>
  <c r="AH45" i="3"/>
  <c r="AI45" i="3"/>
  <c r="AJ45" i="3"/>
  <c r="AK45" i="3"/>
  <c r="T45" i="3"/>
  <c r="U45" i="3"/>
  <c r="V45" i="3"/>
  <c r="W45" i="3"/>
  <c r="X45" i="3"/>
  <c r="Y45" i="3"/>
  <c r="Z45" i="3"/>
  <c r="AA45" i="3"/>
  <c r="AB45" i="3"/>
  <c r="AC45" i="3"/>
  <c r="S45" i="3"/>
  <c r="AD44" i="3"/>
  <c r="AE44" i="3"/>
  <c r="AF44" i="3"/>
  <c r="AG44" i="3"/>
  <c r="AH44" i="3"/>
  <c r="AI44" i="3"/>
  <c r="AJ44" i="3"/>
  <c r="AK44" i="3"/>
  <c r="T44" i="3"/>
  <c r="U44" i="3"/>
  <c r="V44" i="3"/>
  <c r="W44" i="3"/>
  <c r="X44" i="3"/>
  <c r="Y44" i="3"/>
  <c r="Z44" i="3"/>
  <c r="AA44" i="3"/>
  <c r="AB44" i="3"/>
  <c r="AC44" i="3"/>
  <c r="S44" i="3"/>
  <c r="AD43" i="3"/>
  <c r="AE43" i="3"/>
  <c r="AF43" i="3"/>
  <c r="AG43" i="3"/>
  <c r="AH43" i="3"/>
  <c r="AI43" i="3"/>
  <c r="AJ43" i="3"/>
  <c r="AK43" i="3"/>
  <c r="T43" i="3"/>
  <c r="U43" i="3"/>
  <c r="V43" i="3"/>
  <c r="W43" i="3"/>
  <c r="X43" i="3"/>
  <c r="Y43" i="3"/>
  <c r="Z43" i="3"/>
  <c r="AA43" i="3"/>
  <c r="AB43" i="3"/>
  <c r="AC43" i="3"/>
  <c r="S43" i="3"/>
  <c r="AF41" i="3"/>
  <c r="AG41" i="3"/>
  <c r="AH41" i="3"/>
  <c r="AI41" i="3"/>
  <c r="AJ41" i="3"/>
  <c r="AK41" i="3"/>
  <c r="T41" i="3"/>
  <c r="U41" i="3"/>
  <c r="V41" i="3"/>
  <c r="W41" i="3"/>
  <c r="X41" i="3"/>
  <c r="Y41" i="3"/>
  <c r="Z41" i="3"/>
  <c r="AA41" i="3"/>
  <c r="AB41" i="3"/>
  <c r="AC41" i="3"/>
  <c r="AD41" i="3"/>
  <c r="AE41" i="3"/>
  <c r="S41" i="3"/>
  <c r="AC40" i="3"/>
  <c r="AD40" i="3"/>
  <c r="AE40" i="3"/>
  <c r="AF40" i="3"/>
  <c r="AG40" i="3"/>
  <c r="AH40" i="3"/>
  <c r="AI40" i="3"/>
  <c r="AJ40" i="3"/>
  <c r="AK40" i="3"/>
  <c r="T40" i="3"/>
  <c r="U40" i="3"/>
  <c r="V40" i="3"/>
  <c r="W40" i="3"/>
  <c r="X40" i="3"/>
  <c r="Y40" i="3"/>
  <c r="Z40" i="3"/>
  <c r="AA40" i="3"/>
  <c r="AB40" i="3"/>
  <c r="S40" i="3"/>
  <c r="AC39" i="3"/>
  <c r="AD39" i="3"/>
  <c r="AE39" i="3"/>
  <c r="AF39" i="3"/>
  <c r="AG39" i="3"/>
  <c r="AH39" i="3"/>
  <c r="AI39" i="3"/>
  <c r="AJ39" i="3"/>
  <c r="AK39" i="3"/>
  <c r="T39" i="3"/>
  <c r="U39" i="3"/>
  <c r="V39" i="3"/>
  <c r="W39" i="3"/>
  <c r="X39" i="3"/>
  <c r="Y39" i="3"/>
  <c r="Z39" i="3"/>
  <c r="AA39" i="3"/>
  <c r="AB39" i="3"/>
  <c r="S39" i="3"/>
  <c r="AD37" i="3"/>
  <c r="AE37" i="3"/>
  <c r="AF37" i="3"/>
  <c r="AG37" i="3"/>
  <c r="AH37" i="3"/>
  <c r="AI37" i="3"/>
  <c r="AJ37" i="3"/>
  <c r="AK37" i="3"/>
  <c r="T37" i="3"/>
  <c r="U37" i="3"/>
  <c r="V37" i="3"/>
  <c r="W37" i="3"/>
  <c r="X37" i="3"/>
  <c r="Y37" i="3"/>
  <c r="Z37" i="3"/>
  <c r="AA37" i="3"/>
  <c r="AB37" i="3"/>
  <c r="AC37" i="3"/>
  <c r="S37" i="3"/>
  <c r="AF35" i="3"/>
  <c r="AG35" i="3"/>
  <c r="AH35" i="3"/>
  <c r="AI35" i="3"/>
  <c r="AJ35" i="3"/>
  <c r="AK35" i="3"/>
  <c r="T35" i="3"/>
  <c r="U35" i="3"/>
  <c r="V35" i="3"/>
  <c r="W35" i="3"/>
  <c r="X35" i="3"/>
  <c r="Y35" i="3"/>
  <c r="Z35" i="3"/>
  <c r="AA35" i="3"/>
  <c r="AB35" i="3"/>
  <c r="AC35" i="3"/>
  <c r="AD35" i="3"/>
  <c r="AE35" i="3"/>
  <c r="S35" i="3"/>
  <c r="AF33" i="3"/>
  <c r="AG33" i="3"/>
  <c r="AH33" i="3"/>
  <c r="AI33" i="3"/>
  <c r="AJ33" i="3"/>
  <c r="AK33" i="3"/>
  <c r="T33" i="3"/>
  <c r="U33" i="3"/>
  <c r="V33" i="3"/>
  <c r="W33" i="3"/>
  <c r="X33" i="3"/>
  <c r="Y33" i="3"/>
  <c r="Z33" i="3"/>
  <c r="AA33" i="3"/>
  <c r="AB33" i="3"/>
  <c r="AC33" i="3"/>
  <c r="AD33" i="3"/>
  <c r="AE33" i="3"/>
  <c r="S33" i="3"/>
  <c r="AF32" i="3"/>
  <c r="AG32" i="3"/>
  <c r="AH32" i="3"/>
  <c r="AI32" i="3"/>
  <c r="AJ32" i="3"/>
  <c r="AK32" i="3"/>
  <c r="T32" i="3"/>
  <c r="U32" i="3"/>
  <c r="V32" i="3"/>
  <c r="W32" i="3"/>
  <c r="X32" i="3"/>
  <c r="Y32" i="3"/>
  <c r="Z32" i="3"/>
  <c r="AA32" i="3"/>
  <c r="AB32" i="3"/>
  <c r="AC32" i="3"/>
  <c r="AD32" i="3"/>
  <c r="AE32" i="3"/>
  <c r="S32" i="3"/>
  <c r="AH31" i="3"/>
  <c r="AI31" i="3"/>
  <c r="AJ31" i="3"/>
  <c r="AK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S31" i="3"/>
  <c r="AK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S30" i="3"/>
  <c r="AD29" i="3"/>
  <c r="AE29" i="3"/>
  <c r="AF29" i="3"/>
  <c r="AG29" i="3"/>
  <c r="AH29" i="3"/>
  <c r="AI29" i="3"/>
  <c r="AJ29" i="3"/>
  <c r="AK29" i="3"/>
  <c r="T29" i="3"/>
  <c r="U29" i="3"/>
  <c r="V29" i="3"/>
  <c r="W29" i="3"/>
  <c r="X29" i="3"/>
  <c r="Y29" i="3"/>
  <c r="Z29" i="3"/>
  <c r="AA29" i="3"/>
  <c r="AB29" i="3"/>
  <c r="AC29" i="3"/>
  <c r="S29" i="3"/>
  <c r="AJ27" i="3"/>
  <c r="AK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S27" i="3"/>
  <c r="AA25" i="3"/>
  <c r="AB25" i="3"/>
  <c r="AC25" i="3"/>
  <c r="AD25" i="3"/>
  <c r="AE25" i="3"/>
  <c r="AF25" i="3"/>
  <c r="AG25" i="3"/>
  <c r="AH25" i="3"/>
  <c r="AI25" i="3"/>
  <c r="AJ25" i="3"/>
  <c r="AK25" i="3"/>
  <c r="T25" i="3"/>
  <c r="U25" i="3"/>
  <c r="V25" i="3"/>
  <c r="W25" i="3"/>
  <c r="X25" i="3"/>
  <c r="Y25" i="3"/>
  <c r="Z25" i="3"/>
  <c r="S25" i="3"/>
  <c r="AF24" i="3"/>
  <c r="AG24" i="3"/>
  <c r="AH24" i="3"/>
  <c r="AI24" i="3"/>
  <c r="AJ24" i="3"/>
  <c r="AK24" i="3"/>
  <c r="T24" i="3"/>
  <c r="U24" i="3"/>
  <c r="V24" i="3"/>
  <c r="W24" i="3"/>
  <c r="X24" i="3"/>
  <c r="Y24" i="3"/>
  <c r="Z24" i="3"/>
  <c r="AA24" i="3"/>
  <c r="AB24" i="3"/>
  <c r="AC24" i="3"/>
  <c r="AD24" i="3"/>
  <c r="AE24" i="3"/>
  <c r="S24" i="3"/>
  <c r="AD21" i="3"/>
  <c r="AE21" i="3"/>
  <c r="AF21" i="3"/>
  <c r="AG21" i="3"/>
  <c r="AH21" i="3"/>
  <c r="AI21" i="3"/>
  <c r="AJ21" i="3"/>
  <c r="AK21" i="3"/>
  <c r="T21" i="3"/>
  <c r="U21" i="3"/>
  <c r="V21" i="3"/>
  <c r="W21" i="3"/>
  <c r="X21" i="3"/>
  <c r="Y21" i="3"/>
  <c r="Z21" i="3"/>
  <c r="AA21" i="3"/>
  <c r="AB21" i="3"/>
  <c r="AC21" i="3"/>
  <c r="S21" i="3"/>
  <c r="AH10" i="3"/>
  <c r="AI10" i="3"/>
  <c r="AJ10" i="3"/>
  <c r="AK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S10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S8" i="3"/>
  <c r="AK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S7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S6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S5" i="3"/>
  <c r="AK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S3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S2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S49" i="3"/>
  <c r="AI48" i="3"/>
  <c r="AJ48" i="3"/>
  <c r="AK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S48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S47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S42" i="3"/>
  <c r="AI36" i="3"/>
  <c r="AJ36" i="3"/>
  <c r="AK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S36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S38" i="3"/>
  <c r="AE34" i="3"/>
  <c r="AF34" i="3"/>
  <c r="AG34" i="3"/>
  <c r="AH34" i="3"/>
  <c r="AI34" i="3"/>
  <c r="AJ34" i="3"/>
  <c r="AK34" i="3"/>
  <c r="T34" i="3"/>
  <c r="U34" i="3"/>
  <c r="V34" i="3"/>
  <c r="W34" i="3"/>
  <c r="X34" i="3"/>
  <c r="Y34" i="3"/>
  <c r="Z34" i="3"/>
  <c r="AA34" i="3"/>
  <c r="AB34" i="3"/>
  <c r="AC34" i="3"/>
  <c r="AD34" i="3"/>
  <c r="S34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S28" i="3"/>
  <c r="AI26" i="3"/>
  <c r="AJ26" i="3"/>
  <c r="AK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S26" i="3"/>
  <c r="AD23" i="3"/>
  <c r="AE23" i="3"/>
  <c r="AF23" i="3"/>
  <c r="AG23" i="3"/>
  <c r="AH23" i="3"/>
  <c r="AI23" i="3"/>
  <c r="AJ23" i="3"/>
  <c r="AK23" i="3"/>
  <c r="T23" i="3"/>
  <c r="U23" i="3"/>
  <c r="V23" i="3"/>
  <c r="W23" i="3"/>
  <c r="X23" i="3"/>
  <c r="Y23" i="3"/>
  <c r="Z23" i="3"/>
  <c r="AA23" i="3"/>
  <c r="AB23" i="3"/>
  <c r="AC23" i="3"/>
  <c r="S23" i="3"/>
  <c r="A44" i="1"/>
  <c r="AK22" i="3"/>
  <c r="AB22" i="3"/>
  <c r="AC22" i="3"/>
  <c r="AD22" i="3"/>
  <c r="AE22" i="3"/>
  <c r="AF22" i="3"/>
  <c r="AG22" i="3"/>
  <c r="AH22" i="3"/>
  <c r="AI22" i="3"/>
  <c r="AJ22" i="3"/>
  <c r="T22" i="3"/>
  <c r="U22" i="3"/>
  <c r="V22" i="3"/>
  <c r="W22" i="3"/>
  <c r="X22" i="3"/>
  <c r="Y22" i="3"/>
  <c r="Z22" i="3"/>
  <c r="AA22" i="3"/>
  <c r="S22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S20" i="3"/>
  <c r="AE19" i="3"/>
  <c r="AF19" i="3"/>
  <c r="AG19" i="3"/>
  <c r="AH19" i="3"/>
  <c r="AI19" i="3"/>
  <c r="AJ19" i="3"/>
  <c r="AK19" i="3"/>
  <c r="T19" i="3"/>
  <c r="U19" i="3"/>
  <c r="V19" i="3"/>
  <c r="W19" i="3"/>
  <c r="X19" i="3"/>
  <c r="Y19" i="3"/>
  <c r="Z19" i="3"/>
  <c r="AA19" i="3"/>
  <c r="AB19" i="3"/>
  <c r="AC19" i="3"/>
  <c r="AD19" i="3"/>
  <c r="S19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S18" i="3"/>
  <c r="AH17" i="3"/>
  <c r="AI17" i="3"/>
  <c r="AJ17" i="3"/>
  <c r="AK17" i="3"/>
  <c r="AD17" i="3"/>
  <c r="AE17" i="3"/>
  <c r="AF17" i="3"/>
  <c r="AG17" i="3"/>
  <c r="T17" i="3"/>
  <c r="U17" i="3"/>
  <c r="V17" i="3"/>
  <c r="W17" i="3"/>
  <c r="X17" i="3"/>
  <c r="Y17" i="3"/>
  <c r="Z17" i="3"/>
  <c r="AA17" i="3"/>
  <c r="AB17" i="3"/>
  <c r="AC17" i="3"/>
  <c r="S17" i="3"/>
  <c r="AA16" i="3"/>
  <c r="AB16" i="3"/>
  <c r="AC16" i="3"/>
  <c r="AD16" i="3"/>
  <c r="AE16" i="3"/>
  <c r="AF16" i="3"/>
  <c r="AG16" i="3"/>
  <c r="AH16" i="3"/>
  <c r="AI16" i="3"/>
  <c r="AJ16" i="3"/>
  <c r="AK16" i="3"/>
  <c r="T16" i="3"/>
  <c r="U16" i="3"/>
  <c r="V16" i="3"/>
  <c r="W16" i="3"/>
  <c r="X16" i="3"/>
  <c r="Y16" i="3"/>
  <c r="Z16" i="3"/>
  <c r="S16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S15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S14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S13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T12" i="3"/>
  <c r="S12" i="3"/>
  <c r="AC11" i="3"/>
  <c r="AD11" i="3"/>
  <c r="AE11" i="3"/>
  <c r="AF11" i="3"/>
  <c r="AG11" i="3"/>
  <c r="AH11" i="3"/>
  <c r="AI11" i="3"/>
  <c r="AJ11" i="3"/>
  <c r="AK11" i="3"/>
  <c r="T11" i="3"/>
  <c r="U11" i="3"/>
  <c r="V11" i="3"/>
  <c r="W11" i="3"/>
  <c r="X11" i="3"/>
  <c r="Y11" i="3"/>
  <c r="Z11" i="3"/>
  <c r="AA11" i="3"/>
  <c r="AB11" i="3"/>
  <c r="S11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S9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S4" i="3"/>
  <c r="A4" i="3"/>
  <c r="A5" i="3" s="1"/>
  <c r="A6" i="3" s="1"/>
  <c r="A7" i="3" s="1"/>
  <c r="A8" i="3" s="1"/>
  <c r="A9" i="3" s="1"/>
  <c r="A3" i="3"/>
  <c r="A13" i="3" l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3" i="1"/>
  <c r="A4" i="1" s="1"/>
  <c r="A5" i="1" s="1"/>
  <c r="A6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sharedStrings.xml><?xml version="1.0" encoding="utf-8"?>
<sst xmlns="http://schemas.openxmlformats.org/spreadsheetml/2006/main" count="4143" uniqueCount="301">
  <si>
    <t>Respondent No.</t>
  </si>
  <si>
    <t>Role</t>
  </si>
  <si>
    <t>Sex</t>
  </si>
  <si>
    <t>Education</t>
  </si>
  <si>
    <t>Age_Range</t>
  </si>
  <si>
    <t xml:space="preserve">Farm_Size </t>
  </si>
  <si>
    <t>Has_Device</t>
  </si>
  <si>
    <t>Training_Details</t>
  </si>
  <si>
    <t>TB1</t>
  </si>
  <si>
    <t>TB2</t>
  </si>
  <si>
    <t>TB3</t>
  </si>
  <si>
    <t>TB4</t>
  </si>
  <si>
    <t>TB5</t>
  </si>
  <si>
    <t>TB6</t>
  </si>
  <si>
    <t>OB7</t>
  </si>
  <si>
    <t>OB8</t>
  </si>
  <si>
    <t>OB9</t>
  </si>
  <si>
    <t>OB10</t>
  </si>
  <si>
    <t>OB11</t>
  </si>
  <si>
    <t>OB12</t>
  </si>
  <si>
    <t>EB13</t>
  </si>
  <si>
    <t>EB14</t>
  </si>
  <si>
    <t>EB15</t>
  </si>
  <si>
    <t>DMA16</t>
  </si>
  <si>
    <t>DMA17</t>
  </si>
  <si>
    <t>DMA18</t>
  </si>
  <si>
    <t>DMA19</t>
  </si>
  <si>
    <t>Challenges</t>
  </si>
  <si>
    <t>Support_ Suggestions</t>
  </si>
  <si>
    <t>Internet_ Type</t>
  </si>
  <si>
    <t>Organization_Name</t>
  </si>
  <si>
    <t xml:space="preserve">Years_Managing  </t>
  </si>
  <si>
    <t>Years_Established</t>
  </si>
  <si>
    <t>Membership _Size</t>
  </si>
  <si>
    <t>Value_Adding/ Processed_ Products_Specify</t>
  </si>
  <si>
    <t>Income_Level</t>
  </si>
  <si>
    <t>Attended_Training</t>
  </si>
  <si>
    <t>Commodity</t>
  </si>
  <si>
    <t>Market</t>
  </si>
  <si>
    <t>Sampao Small Water Irrigation System Association, Inc.</t>
  </si>
  <si>
    <t>Pinangomhan Farmers Association</t>
  </si>
  <si>
    <t>Culaba Integrated Hilltop Farm</t>
  </si>
  <si>
    <t>Cabucgayan Farmers Association (CAFA)</t>
  </si>
  <si>
    <t>Samahan ng mga Manggagawa Para sa Agrikulturang Pangkabuhayan (SMAP)</t>
  </si>
  <si>
    <t>Tucdao-Anas Farmers’ Irrigator’s Association, Inc.</t>
  </si>
  <si>
    <t>Maripipi Farmers and Fisherfolks Association</t>
  </si>
  <si>
    <t>Bariis Corn Farmers Association</t>
  </si>
  <si>
    <t>Mga Aktibong Ina sa Brgy. Pinamihagan</t>
  </si>
  <si>
    <t>Tamarindo Integrated Peace Development Workers Association (TIPDWA)</t>
  </si>
  <si>
    <t>Barangay Aringit Farmers Association</t>
  </si>
  <si>
    <t>Julitanhon Integrated Farmers Association</t>
  </si>
  <si>
    <t>Pagburublig han Parag-uma Association</t>
  </si>
  <si>
    <t>Guingauan Small Farmers Association</t>
  </si>
  <si>
    <t>Assuncion Del Senior Integrated Farmers Association</t>
  </si>
  <si>
    <t>San Vicente Farmers and Fisherfolks Association</t>
  </si>
  <si>
    <t>Blissful N' Abound Integrated Farmers Association</t>
  </si>
  <si>
    <t>District 4 Rice, Coconut and Banana Farmers Association</t>
  </si>
  <si>
    <t>Lamaca Farmers Association</t>
  </si>
  <si>
    <t>San Roque Farmers and Fisherfolks Association</t>
  </si>
  <si>
    <t>Calintaan Farmers Association</t>
  </si>
  <si>
    <t>Barangay Dayanog Small Coconut Farmers and Fisherfolks Association</t>
  </si>
  <si>
    <t>PUNDOK MAAMUMAHON</t>
  </si>
  <si>
    <t>Coot-Dinahugan Integrated Farming Association</t>
  </si>
  <si>
    <t>Magallanes Farmers Association</t>
  </si>
  <si>
    <t>Pinamudlan Women's Association</t>
  </si>
  <si>
    <t>Maalagaron Abtik Responsable Ug Ehemplo Nga Mga Kababayen-An (MARE) CARES sa Hinapo Women’s Association</t>
  </si>
  <si>
    <t>Cabulisan Farmers Association</t>
  </si>
  <si>
    <t>Talisay Women's Association</t>
  </si>
  <si>
    <t>Sabang II Rural Improvement Club</t>
  </si>
  <si>
    <t>Aguada Fisherfolks Mangrove Kinis and Bangus Sustainable Association</t>
  </si>
  <si>
    <t>Magsasakang Masisipag ng Mapanas (3M) Association</t>
  </si>
  <si>
    <t>Pio Del Pilar Farmers Association</t>
  </si>
  <si>
    <t>Victoria Vegetable Producers Association</t>
  </si>
  <si>
    <t>Bagong Sabang Vegetable Raisers Association</t>
  </si>
  <si>
    <t>Destacado Farmers Association</t>
  </si>
  <si>
    <t>Cawayan Farmers and Fisherfolks Association</t>
  </si>
  <si>
    <t>Capul Poblacion Integrated Farmers Association</t>
  </si>
  <si>
    <t>Manraya Fisherfolks and Farmers Association</t>
  </si>
  <si>
    <t>Bolusao Coconut Based Integrated FA</t>
  </si>
  <si>
    <t>San Isidro Women's Association</t>
  </si>
  <si>
    <t>Sagkaray Farmers and Development Association</t>
  </si>
  <si>
    <t>Tanglad Farmers Association</t>
  </si>
  <si>
    <t>Buyayawon Farmers Association</t>
  </si>
  <si>
    <t>Bangon-Alugan-Tanauan-Sta. Cruz Corn and Cassava FA</t>
  </si>
  <si>
    <t>Mabuhay Farmers Peace Builders and Development Association</t>
  </si>
  <si>
    <t>Kapit Bisig Tungo sa Pag-unlad ng Mamamayan Farmers and Fisherfolks Association</t>
  </si>
  <si>
    <t>Casapa Livestock Raisers Association (CLiRA)</t>
  </si>
  <si>
    <t>Kauswagan Crop Farmers Association</t>
  </si>
  <si>
    <t>Calanyugan Farmers Association</t>
  </si>
  <si>
    <t>Brgy. Lunang II Farmers and Fisherfolks Association</t>
  </si>
  <si>
    <t>Barangay Pinalangga Fishermens and Farmers Association</t>
  </si>
  <si>
    <t>Balocawe Hog Raisers Association</t>
  </si>
  <si>
    <t>Balogo Integrated Farmers Association</t>
  </si>
  <si>
    <t>BOD</t>
  </si>
  <si>
    <t>41-50</t>
  </si>
  <si>
    <t>Male</t>
  </si>
  <si>
    <t>HS Grad</t>
  </si>
  <si>
    <t>3-5 yrs</t>
  </si>
  <si>
    <t>1-2 yrs</t>
  </si>
  <si>
    <t>11-20 members</t>
  </si>
  <si>
    <t>less than 1 ha</t>
  </si>
  <si>
    <t>Fresh vegetables</t>
  </si>
  <si>
    <t>No</t>
  </si>
  <si>
    <t>Direct selling, Online</t>
  </si>
  <si>
    <t>less than 5,000</t>
  </si>
  <si>
    <t>Yes</t>
  </si>
  <si>
    <t>Both Mobile &amp; WiFi</t>
  </si>
  <si>
    <t>Training and more stable internet connection</t>
  </si>
  <si>
    <t>unstable internet connection</t>
  </si>
  <si>
    <t>Secretary</t>
  </si>
  <si>
    <t>31-40</t>
  </si>
  <si>
    <t>Female</t>
  </si>
  <si>
    <t>Member</t>
  </si>
  <si>
    <t>more than 5 yrs</t>
  </si>
  <si>
    <t>21-30 members</t>
  </si>
  <si>
    <t>Fresh vegetables, Livestock, Poultry, Processed products</t>
  </si>
  <si>
    <t xml:space="preserve">Yes; Banana chips, pakunbo, spicy coco vinegar </t>
  </si>
  <si>
    <t>Public market, Trader,Direct selling, Online</t>
  </si>
  <si>
    <t>10,001 - 20,000</t>
  </si>
  <si>
    <t>Tools/ infrastructure, stable internet connection</t>
  </si>
  <si>
    <t>limited digital tools, unstable internet connection</t>
  </si>
  <si>
    <t>President</t>
  </si>
  <si>
    <t>College Grad</t>
  </si>
  <si>
    <t>1-2 ha</t>
  </si>
  <si>
    <t>Fresh vegetables, Poultry</t>
  </si>
  <si>
    <t>Mobile data</t>
  </si>
  <si>
    <t>Fresh vegetables, Fruits, Poultry</t>
  </si>
  <si>
    <t>Public market, Kadiwa ng Pangulo, Trader, Institutional buyer, Online</t>
  </si>
  <si>
    <t>limited skills &amp; digital tools, unstable internet connection</t>
  </si>
  <si>
    <t>Treasurer</t>
  </si>
  <si>
    <t>5,001 - 10,000</t>
  </si>
  <si>
    <t>limited skills and unstable internet connection</t>
  </si>
  <si>
    <t>stable internet connection, Training</t>
  </si>
  <si>
    <t>51 &amp; above</t>
  </si>
  <si>
    <t>College Level</t>
  </si>
  <si>
    <t>Public market, Direct selling, Institutional buyer, Online</t>
  </si>
  <si>
    <t>Above 20,000</t>
  </si>
  <si>
    <t>Posting products on social media</t>
  </si>
  <si>
    <t>Training, Tools/ infrastructure, stable internet connection</t>
  </si>
  <si>
    <t>tools/ infrastructure, additional training</t>
  </si>
  <si>
    <t>few buyers online</t>
  </si>
  <si>
    <t>Elementary Graduate</t>
  </si>
  <si>
    <t>Public market, Direct selling, Trader, Online</t>
  </si>
  <si>
    <t>High School Level</t>
  </si>
  <si>
    <t>more than 30</t>
  </si>
  <si>
    <t>Yes; Banana chips, Virgin coconut oil</t>
  </si>
  <si>
    <t>Oo</t>
  </si>
  <si>
    <t>Higher fuel prices impact deliveries for online buyers</t>
  </si>
  <si>
    <t>College Graduate</t>
  </si>
  <si>
    <t>Trader, Direct selling, Online</t>
  </si>
  <si>
    <t>Below 5,000</t>
  </si>
  <si>
    <t>Training, Stable internet connection</t>
  </si>
  <si>
    <t>Poor photo and writing skills for online marketing.</t>
  </si>
  <si>
    <t>Elementary Level</t>
  </si>
  <si>
    <t>Direct selling, Trader</t>
  </si>
  <si>
    <t>None</t>
  </si>
  <si>
    <t>Tools, internet access, Training</t>
  </si>
  <si>
    <t>Lack of tools/devices, and skills</t>
  </si>
  <si>
    <t>No formal training in digital marketing</t>
  </si>
  <si>
    <t>Training</t>
  </si>
  <si>
    <t>High School Grad</t>
  </si>
  <si>
    <t>Public market, Direct selling, Online</t>
  </si>
  <si>
    <t>Training, Stable internet connection, tools</t>
  </si>
  <si>
    <t>limited tools, unstable internet connection</t>
  </si>
  <si>
    <t>18-30</t>
  </si>
  <si>
    <t xml:space="preserve">less than 1 </t>
  </si>
  <si>
    <t>WiFi</t>
  </si>
  <si>
    <t>Lack of digital marketing and content creation skills.</t>
  </si>
  <si>
    <t>Trader, Direct selling</t>
  </si>
  <si>
    <t>Business Manager</t>
  </si>
  <si>
    <t>Lack of basic digital skills.</t>
  </si>
  <si>
    <t>Trader, Direct, Institutional buyer</t>
  </si>
  <si>
    <t>Not using digital marketing yet.</t>
  </si>
  <si>
    <t>Training, tools</t>
  </si>
  <si>
    <t>Public market, Direct selling</t>
  </si>
  <si>
    <t>Training, stable internet connection</t>
  </si>
  <si>
    <t>Limited skills, time, budget, and manpower, lack of strategy</t>
  </si>
  <si>
    <t>Poultry</t>
  </si>
  <si>
    <t>Trader, Direct Selling, Institutional buyer</t>
  </si>
  <si>
    <t>stable internet connection, additional  Training</t>
  </si>
  <si>
    <t>3-5 ys</t>
  </si>
  <si>
    <t>Direct selling</t>
  </si>
  <si>
    <t>limited digital tools and skills, unstable internet connection</t>
  </si>
  <si>
    <t>Livestock, Poultry</t>
  </si>
  <si>
    <t>Direct selling, Institutional buyer</t>
  </si>
  <si>
    <t xml:space="preserve">Training </t>
  </si>
  <si>
    <t>limited skills</t>
  </si>
  <si>
    <t>College level</t>
  </si>
  <si>
    <t>Direct selling, Institutional buyer, online</t>
  </si>
  <si>
    <t>limited skills and tools</t>
  </si>
  <si>
    <t xml:space="preserve">Training, stable internet connection </t>
  </si>
  <si>
    <t>livestock</t>
  </si>
  <si>
    <t>Institutional buyer, direct selling</t>
  </si>
  <si>
    <t>Tools, stable internet connection</t>
  </si>
  <si>
    <t>Tools/devices, stable internet connection</t>
  </si>
  <si>
    <t>High School level</t>
  </si>
  <si>
    <t>lack of skills/experience, budget, tools, and stable internet connection</t>
  </si>
  <si>
    <t>training, tools/devices, stable internet connection</t>
  </si>
  <si>
    <t>Public market</t>
  </si>
  <si>
    <t>training, stable internet connection</t>
  </si>
  <si>
    <t>more than 5</t>
  </si>
  <si>
    <t>Livestock</t>
  </si>
  <si>
    <t>Limited digital tools</t>
  </si>
  <si>
    <t>Limited digital skills</t>
  </si>
  <si>
    <t>High school level</t>
  </si>
  <si>
    <t>limited skills, unstable internet connection</t>
  </si>
  <si>
    <t xml:space="preserve"> transportation of products</t>
  </si>
  <si>
    <t>Yes; Cassava cake</t>
  </si>
  <si>
    <t>Trader, Direct selling, Institutional buyer, Online</t>
  </si>
  <si>
    <t>Training, tools, stable internet connection</t>
  </si>
  <si>
    <t>limited skills and usage of digital marketing</t>
  </si>
  <si>
    <t>limited digital skills</t>
  </si>
  <si>
    <t>High School Graduate</t>
  </si>
  <si>
    <t>3-5 y</t>
  </si>
  <si>
    <t>Training, tools/devices</t>
  </si>
  <si>
    <t>limited  experience in digital marketing</t>
  </si>
  <si>
    <t>Limited tools /resources</t>
  </si>
  <si>
    <t>proper tools/ equipment to improve content creation</t>
  </si>
  <si>
    <t>Additonal training, stable internet connection, tools/ equipment</t>
  </si>
  <si>
    <t>limited content creation skills, unstable internet connection</t>
  </si>
  <si>
    <t>Fresh Vegetables, Corn</t>
  </si>
  <si>
    <t>Training, stable internet connection, tools</t>
  </si>
  <si>
    <t>Unstable internet connection, limited manpower for digital marketing</t>
  </si>
  <si>
    <t>limited digital skills, Unstable internet connection</t>
  </si>
  <si>
    <t>Training, reliable tools/ devices</t>
  </si>
  <si>
    <t xml:space="preserve">unstable internet connection </t>
  </si>
  <si>
    <t>stable internet connection, tools</t>
  </si>
  <si>
    <t>not consistently using digital marketing</t>
  </si>
  <si>
    <t>limited skills/ experience</t>
  </si>
  <si>
    <t>Direct selling, Trader, Online</t>
  </si>
  <si>
    <t>Public market, Direct selling, Trader</t>
  </si>
  <si>
    <t>10,001 - 20,001</t>
  </si>
  <si>
    <t>Training, Internet Access</t>
  </si>
  <si>
    <t>No internet access, and experience in Digital marketing</t>
  </si>
  <si>
    <t>5,001 - 10,001</t>
  </si>
  <si>
    <t>Yes; Tablea</t>
  </si>
  <si>
    <t>few members engage digital marketing, limited skills</t>
  </si>
  <si>
    <t>Training, internet connection, tools</t>
  </si>
  <si>
    <t>Limited skills</t>
  </si>
  <si>
    <t>not actively using digital marketing</t>
  </si>
  <si>
    <t>Public market, Trader,Direct selling</t>
  </si>
  <si>
    <t>Limited skills and manpower</t>
  </si>
  <si>
    <t>Limited time and skills for creating content</t>
  </si>
  <si>
    <t>High school Graduate</t>
  </si>
  <si>
    <t>limited tools/ devices and internet access</t>
  </si>
  <si>
    <t>Trader, Direct selling, Institutional buyer</t>
  </si>
  <si>
    <t>training</t>
  </si>
  <si>
    <t>training, tools</t>
  </si>
  <si>
    <t>limited skills in content creation</t>
  </si>
  <si>
    <t>Unstable internet connection</t>
  </si>
  <si>
    <t>Direct Selling, Institutional buyer</t>
  </si>
  <si>
    <t>lack of consistency in creating content</t>
  </si>
  <si>
    <t>transportation for product delivery</t>
  </si>
  <si>
    <t>Fresh vegetables, Corn</t>
  </si>
  <si>
    <t>Lack of tools for product photography</t>
  </si>
  <si>
    <t>Fresh vegetables, fruits</t>
  </si>
  <si>
    <t>tools/ device, Transportation for tranporting products</t>
  </si>
  <si>
    <t>limited tools/ resources</t>
  </si>
  <si>
    <t>tools/ device</t>
  </si>
  <si>
    <t>limited tools/ gadgets</t>
  </si>
  <si>
    <t xml:space="preserve">limited skills </t>
  </si>
  <si>
    <t>limited experience</t>
  </si>
  <si>
    <t>Fresh vegetables, processed products</t>
  </si>
  <si>
    <t>Yes; tablea</t>
  </si>
  <si>
    <t>Fresh vegetables, Poultry, Processed products</t>
  </si>
  <si>
    <t>Fresh vegetables, Processed products</t>
  </si>
  <si>
    <t xml:space="preserve">41-50 </t>
  </si>
  <si>
    <t>Poultry, Processed products</t>
  </si>
  <si>
    <t>Yes; Tablea, Chocolate, sandwich spread</t>
  </si>
  <si>
    <t>Trader, Direct selling, online</t>
  </si>
  <si>
    <t>Direct selling, Instituional buyer, online</t>
  </si>
  <si>
    <t>Elementray Graduate</t>
  </si>
  <si>
    <t>High School</t>
  </si>
  <si>
    <t>Yes; tocino</t>
  </si>
  <si>
    <t>Livestock; Processed products</t>
  </si>
  <si>
    <t>lack of strategy</t>
  </si>
  <si>
    <t>Additional training, stable internet connection</t>
  </si>
  <si>
    <t>statement</t>
  </si>
  <si>
    <t>items</t>
  </si>
  <si>
    <t>factor</t>
  </si>
  <si>
    <t>Technological barriers</t>
  </si>
  <si>
    <t>Organizational barriers</t>
  </si>
  <si>
    <t>Environmental barriers</t>
  </si>
  <si>
    <t>Digital marketing adoption</t>
  </si>
  <si>
    <t xml:space="preserve">Unreliable internet connectivity limits our enterprise’s ability to conduct digital marketing activities.  </t>
  </si>
  <si>
    <t xml:space="preserve">The available internet and digital facilities are insufficient to support our enterprise’s digital marketing activities.  </t>
  </si>
  <si>
    <t xml:space="preserve">Digital marketing tools are difficult for our enterprise to understand. </t>
  </si>
  <si>
    <t xml:space="preserve">Digital marketing platforms are complicated for our enterprise to use.  </t>
  </si>
  <si>
    <t>Managing multiple digital marketing platforms is complicated for our enterprise.</t>
  </si>
  <si>
    <t>Members of our enterprise lack the digital skills needed to carry out digital marketing activities.</t>
  </si>
  <si>
    <t>Few members of our enterprise are capable of  managing  digital marketing tools effectively.</t>
  </si>
  <si>
    <t xml:space="preserve">Our enterprise  has limited knowledge in creating and managing online marketing content.  </t>
  </si>
  <si>
    <t xml:space="preserve">The leaders of our enterprise do not strongly encourage the use of digital marketing. </t>
  </si>
  <si>
    <t xml:space="preserve">Our enterprise leaders provide limited guidance for implementing digital marketing activities.  </t>
  </si>
  <si>
    <t xml:space="preserve">Digital marketing is not prioritized by the leadership of our enterprise. </t>
  </si>
  <si>
    <t xml:space="preserve">Our enterprise receives limited training or assistance from government agencies related to digital marketing.  </t>
  </si>
  <si>
    <t xml:space="preserve">There are few government programs that support enterprises in adopting digital marketing.  </t>
  </si>
  <si>
    <t xml:space="preserve">Government agencies provide limited technical guidance for enterprises that want to use digital marketing. </t>
  </si>
  <si>
    <t xml:space="preserve">Our enterprise uses social media platforms (e.g., Facebook) to promote our products. </t>
  </si>
  <si>
    <t xml:space="preserve">Our enterprise communicates with customers through messaging applications (e.g., Messenger or WhatsApp) for marketing or sales purposes. </t>
  </si>
  <si>
    <t xml:space="preserve">Our enterprise interacts with customers online by  responding to comments, messages, or feedback on digital platforms.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</si>
</sst>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Cambria"/>
      <family val="1"/>
    </font>
    <font>
      <sz val="10"/>
      <color theme="1"/>
      <name val="Cambria"/>
      <family val="1"/>
    </font>
    <font>
      <sz val="8"/>
      <color rgb="FFFF000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60F2E-15E0-4DCB-9867-595089422D9C}">
  <dimension ref="A1:AM109"/>
  <sheetViews>
    <sheetView tabSelected="1" topLeftCell="O1" workbookViewId="0">
      <selection activeCell="AA15" sqref="AA15"/>
    </sheetView>
  </sheetViews>
  <sheetFormatPr defaultRowHeight="14.4" x14ac:dyDescent="0.3"/>
  <cols>
    <col min="38" max="38" width="53.88671875" customWidth="1"/>
  </cols>
  <sheetData>
    <row r="1" spans="1:39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31</v>
      </c>
      <c r="G1" t="s">
        <v>30</v>
      </c>
      <c r="H1" t="s">
        <v>32</v>
      </c>
      <c r="I1" t="s">
        <v>33</v>
      </c>
      <c r="J1" t="s">
        <v>5</v>
      </c>
      <c r="K1" t="s">
        <v>37</v>
      </c>
      <c r="L1" t="s">
        <v>34</v>
      </c>
      <c r="M1" t="s">
        <v>38</v>
      </c>
      <c r="N1" t="s">
        <v>35</v>
      </c>
      <c r="O1" t="s">
        <v>6</v>
      </c>
      <c r="P1" t="s">
        <v>29</v>
      </c>
      <c r="Q1" t="s">
        <v>36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28</v>
      </c>
      <c r="AM1" t="s">
        <v>27</v>
      </c>
    </row>
    <row r="2" spans="1:39" x14ac:dyDescent="0.3">
      <c r="A2">
        <v>1</v>
      </c>
      <c r="B2" t="s">
        <v>121</v>
      </c>
      <c r="C2" t="s">
        <v>133</v>
      </c>
      <c r="D2" t="s">
        <v>95</v>
      </c>
      <c r="E2" t="s">
        <v>160</v>
      </c>
      <c r="F2" t="s">
        <v>98</v>
      </c>
      <c r="G2" t="s">
        <v>39</v>
      </c>
      <c r="H2" t="s">
        <v>98</v>
      </c>
      <c r="I2" t="s">
        <v>99</v>
      </c>
      <c r="J2" t="s">
        <v>123</v>
      </c>
      <c r="K2" t="s">
        <v>220</v>
      </c>
      <c r="L2" t="s">
        <v>102</v>
      </c>
      <c r="M2" t="s">
        <v>142</v>
      </c>
      <c r="N2" t="s">
        <v>136</v>
      </c>
      <c r="O2" t="s">
        <v>105</v>
      </c>
      <c r="P2" t="s">
        <v>166</v>
      </c>
      <c r="Q2" t="s">
        <v>102</v>
      </c>
      <c r="S2">
        <v>4</v>
      </c>
      <c r="T2">
        <v>5</v>
      </c>
      <c r="U2">
        <v>4</v>
      </c>
      <c r="V2">
        <v>4</v>
      </c>
      <c r="W2">
        <v>4</v>
      </c>
      <c r="X2">
        <v>4</v>
      </c>
      <c r="Y2">
        <v>5</v>
      </c>
      <c r="Z2">
        <v>5</v>
      </c>
      <c r="AA2">
        <v>5</v>
      </c>
      <c r="AB2">
        <v>3</v>
      </c>
      <c r="AC2">
        <v>3</v>
      </c>
      <c r="AD2">
        <v>3</v>
      </c>
      <c r="AE2">
        <v>4</v>
      </c>
      <c r="AF2">
        <v>3</v>
      </c>
      <c r="AG2">
        <v>4</v>
      </c>
      <c r="AH2">
        <v>3</v>
      </c>
      <c r="AI2">
        <v>3</v>
      </c>
      <c r="AJ2">
        <v>2</v>
      </c>
      <c r="AK2">
        <v>3</v>
      </c>
      <c r="AL2" t="s">
        <v>221</v>
      </c>
      <c r="AM2" t="s">
        <v>222</v>
      </c>
    </row>
    <row r="3" spans="1:39" x14ac:dyDescent="0.3">
      <c r="A3">
        <v>2</v>
      </c>
      <c r="B3" t="s">
        <v>129</v>
      </c>
      <c r="C3" t="s">
        <v>94</v>
      </c>
      <c r="D3" t="s">
        <v>111</v>
      </c>
      <c r="E3" t="s">
        <v>160</v>
      </c>
      <c r="F3" t="s">
        <v>98</v>
      </c>
      <c r="G3" t="s">
        <v>39</v>
      </c>
      <c r="H3" t="s">
        <v>98</v>
      </c>
      <c r="I3" t="s">
        <v>99</v>
      </c>
      <c r="J3" t="s">
        <v>123</v>
      </c>
      <c r="K3" t="s">
        <v>220</v>
      </c>
      <c r="L3" t="s">
        <v>102</v>
      </c>
      <c r="M3" t="s">
        <v>142</v>
      </c>
      <c r="N3" t="s">
        <v>136</v>
      </c>
      <c r="O3" t="s">
        <v>105</v>
      </c>
      <c r="P3" t="s">
        <v>166</v>
      </c>
      <c r="Q3" t="s">
        <v>102</v>
      </c>
      <c r="S3">
        <v>5</v>
      </c>
      <c r="T3">
        <v>5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3</v>
      </c>
      <c r="AC3">
        <v>4</v>
      </c>
      <c r="AD3">
        <v>4</v>
      </c>
      <c r="AE3">
        <v>4</v>
      </c>
      <c r="AF3">
        <v>3</v>
      </c>
      <c r="AG3">
        <v>3</v>
      </c>
      <c r="AH3">
        <v>2</v>
      </c>
      <c r="AI3">
        <v>3</v>
      </c>
      <c r="AJ3">
        <v>2</v>
      </c>
      <c r="AK3">
        <v>2</v>
      </c>
      <c r="AL3" t="s">
        <v>221</v>
      </c>
      <c r="AM3" t="s">
        <v>223</v>
      </c>
    </row>
    <row r="4" spans="1:39" x14ac:dyDescent="0.3">
      <c r="A4">
        <v>3</v>
      </c>
      <c r="B4" t="s">
        <v>109</v>
      </c>
      <c r="C4" t="s">
        <v>94</v>
      </c>
      <c r="D4" t="s">
        <v>111</v>
      </c>
      <c r="E4" t="s">
        <v>143</v>
      </c>
      <c r="F4" t="s">
        <v>98</v>
      </c>
      <c r="G4" t="s">
        <v>40</v>
      </c>
      <c r="H4" t="s">
        <v>98</v>
      </c>
      <c r="I4" t="s">
        <v>114</v>
      </c>
      <c r="J4" t="s">
        <v>123</v>
      </c>
      <c r="K4" t="s">
        <v>124</v>
      </c>
      <c r="L4" t="s">
        <v>102</v>
      </c>
      <c r="M4" t="s">
        <v>142</v>
      </c>
      <c r="N4" t="s">
        <v>136</v>
      </c>
      <c r="O4" t="s">
        <v>105</v>
      </c>
      <c r="P4" t="s">
        <v>166</v>
      </c>
      <c r="Q4" t="s">
        <v>102</v>
      </c>
      <c r="S4">
        <v>5</v>
      </c>
      <c r="T4">
        <v>4</v>
      </c>
      <c r="U4">
        <v>5</v>
      </c>
      <c r="V4">
        <v>3</v>
      </c>
      <c r="W4">
        <v>3</v>
      </c>
      <c r="X4">
        <v>5</v>
      </c>
      <c r="Y4">
        <v>4</v>
      </c>
      <c r="Z4">
        <v>5</v>
      </c>
      <c r="AA4">
        <v>4</v>
      </c>
      <c r="AB4">
        <v>3</v>
      </c>
      <c r="AC4">
        <v>3</v>
      </c>
      <c r="AD4">
        <v>3</v>
      </c>
      <c r="AE4">
        <v>4</v>
      </c>
      <c r="AF4">
        <v>4</v>
      </c>
      <c r="AG4">
        <v>4</v>
      </c>
      <c r="AH4">
        <v>3</v>
      </c>
      <c r="AI4">
        <v>3</v>
      </c>
      <c r="AJ4">
        <v>2</v>
      </c>
      <c r="AK4">
        <v>3</v>
      </c>
      <c r="AL4" t="s">
        <v>224</v>
      </c>
      <c r="AM4" t="s">
        <v>205</v>
      </c>
    </row>
    <row r="5" spans="1:39" x14ac:dyDescent="0.3">
      <c r="A5">
        <v>4</v>
      </c>
      <c r="B5" t="s">
        <v>121</v>
      </c>
      <c r="C5" t="s">
        <v>133</v>
      </c>
      <c r="D5" t="s">
        <v>111</v>
      </c>
      <c r="E5" t="s">
        <v>160</v>
      </c>
      <c r="F5" t="s">
        <v>98</v>
      </c>
      <c r="G5" t="s">
        <v>40</v>
      </c>
      <c r="H5" t="s">
        <v>98</v>
      </c>
      <c r="I5" t="s">
        <v>114</v>
      </c>
      <c r="J5" t="s">
        <v>123</v>
      </c>
      <c r="K5" t="s">
        <v>124</v>
      </c>
      <c r="L5" t="s">
        <v>102</v>
      </c>
      <c r="M5" t="s">
        <v>142</v>
      </c>
      <c r="N5" t="s">
        <v>136</v>
      </c>
      <c r="O5" t="s">
        <v>105</v>
      </c>
      <c r="P5" t="s">
        <v>166</v>
      </c>
      <c r="Q5" t="s">
        <v>102</v>
      </c>
      <c r="S5">
        <v>5</v>
      </c>
      <c r="T5">
        <v>5</v>
      </c>
      <c r="U5">
        <v>5</v>
      </c>
      <c r="V5">
        <v>4</v>
      </c>
      <c r="W5">
        <v>3</v>
      </c>
      <c r="X5">
        <v>4</v>
      </c>
      <c r="Y5">
        <v>4</v>
      </c>
      <c r="Z5">
        <v>4</v>
      </c>
      <c r="AA5">
        <v>4</v>
      </c>
      <c r="AB5">
        <v>4</v>
      </c>
      <c r="AC5">
        <v>3</v>
      </c>
      <c r="AD5">
        <v>3</v>
      </c>
      <c r="AE5">
        <v>4</v>
      </c>
      <c r="AF5">
        <v>3</v>
      </c>
      <c r="AG5">
        <v>4</v>
      </c>
      <c r="AH5">
        <v>3</v>
      </c>
      <c r="AI5">
        <v>2</v>
      </c>
      <c r="AJ5">
        <v>2</v>
      </c>
      <c r="AK5">
        <v>2</v>
      </c>
      <c r="AL5" t="s">
        <v>159</v>
      </c>
      <c r="AM5" t="s">
        <v>225</v>
      </c>
    </row>
    <row r="6" spans="1:39" x14ac:dyDescent="0.3">
      <c r="A6">
        <v>5</v>
      </c>
      <c r="B6" t="s">
        <v>93</v>
      </c>
      <c r="C6" t="s">
        <v>94</v>
      </c>
      <c r="D6" t="s">
        <v>95</v>
      </c>
      <c r="E6" t="s">
        <v>160</v>
      </c>
      <c r="F6" t="s">
        <v>97</v>
      </c>
      <c r="G6" t="s">
        <v>41</v>
      </c>
      <c r="H6" t="s">
        <v>98</v>
      </c>
      <c r="I6" t="s">
        <v>114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102</v>
      </c>
      <c r="S6">
        <v>4</v>
      </c>
      <c r="T6">
        <v>4</v>
      </c>
      <c r="U6">
        <v>4</v>
      </c>
      <c r="V6">
        <v>3</v>
      </c>
      <c r="W6">
        <v>3</v>
      </c>
      <c r="X6">
        <v>4</v>
      </c>
      <c r="Y6">
        <v>4</v>
      </c>
      <c r="Z6">
        <v>4</v>
      </c>
      <c r="AA6">
        <v>4</v>
      </c>
      <c r="AB6">
        <v>3</v>
      </c>
      <c r="AC6">
        <v>3</v>
      </c>
      <c r="AD6">
        <v>3</v>
      </c>
      <c r="AE6">
        <v>5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 t="s">
        <v>107</v>
      </c>
      <c r="AM6" t="s">
        <v>108</v>
      </c>
    </row>
    <row r="7" spans="1:39" x14ac:dyDescent="0.3">
      <c r="A7">
        <v>6</v>
      </c>
      <c r="B7" t="s">
        <v>109</v>
      </c>
      <c r="C7" t="s">
        <v>110</v>
      </c>
      <c r="D7" t="s">
        <v>111</v>
      </c>
      <c r="E7" t="s">
        <v>160</v>
      </c>
      <c r="F7" t="s">
        <v>97</v>
      </c>
      <c r="G7" t="s">
        <v>41</v>
      </c>
      <c r="H7" t="s">
        <v>98</v>
      </c>
      <c r="I7" t="s">
        <v>114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105</v>
      </c>
      <c r="P7" t="s">
        <v>106</v>
      </c>
      <c r="Q7" t="s">
        <v>102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4</v>
      </c>
      <c r="Z7">
        <v>4</v>
      </c>
      <c r="AA7">
        <v>4</v>
      </c>
      <c r="AB7">
        <v>3</v>
      </c>
      <c r="AC7">
        <v>3</v>
      </c>
      <c r="AD7">
        <v>3</v>
      </c>
      <c r="AE7">
        <v>5</v>
      </c>
      <c r="AF7">
        <v>3</v>
      </c>
      <c r="AG7">
        <v>3</v>
      </c>
      <c r="AH7">
        <v>3</v>
      </c>
      <c r="AI7">
        <v>4</v>
      </c>
      <c r="AJ7">
        <v>3</v>
      </c>
      <c r="AK7">
        <v>3</v>
      </c>
      <c r="AL7" t="s">
        <v>107</v>
      </c>
      <c r="AM7" t="s">
        <v>108</v>
      </c>
    </row>
    <row r="8" spans="1:39" x14ac:dyDescent="0.3">
      <c r="A8">
        <v>7</v>
      </c>
      <c r="B8" t="s">
        <v>121</v>
      </c>
      <c r="C8" t="s">
        <v>133</v>
      </c>
      <c r="D8" t="s">
        <v>111</v>
      </c>
      <c r="E8" t="s">
        <v>160</v>
      </c>
      <c r="F8" t="s">
        <v>97</v>
      </c>
      <c r="G8" t="s">
        <v>42</v>
      </c>
      <c r="H8" t="s">
        <v>97</v>
      </c>
      <c r="I8" t="s">
        <v>114</v>
      </c>
      <c r="J8" t="s">
        <v>123</v>
      </c>
      <c r="K8" t="s">
        <v>220</v>
      </c>
      <c r="L8" t="s">
        <v>102</v>
      </c>
      <c r="M8" t="s">
        <v>230</v>
      </c>
      <c r="N8" t="s">
        <v>118</v>
      </c>
      <c r="O8" t="s">
        <v>105</v>
      </c>
      <c r="P8" t="s">
        <v>155</v>
      </c>
      <c r="Q8" t="s">
        <v>102</v>
      </c>
      <c r="S8">
        <v>5</v>
      </c>
      <c r="T8">
        <v>4</v>
      </c>
      <c r="U8">
        <v>5</v>
      </c>
      <c r="V8">
        <v>3</v>
      </c>
      <c r="W8">
        <v>4</v>
      </c>
      <c r="X8">
        <v>5</v>
      </c>
      <c r="Y8">
        <v>5</v>
      </c>
      <c r="Z8">
        <v>5</v>
      </c>
      <c r="AA8">
        <v>5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1</v>
      </c>
      <c r="AI8">
        <v>2</v>
      </c>
      <c r="AJ8">
        <v>1</v>
      </c>
      <c r="AK8">
        <v>1</v>
      </c>
      <c r="AL8" t="s">
        <v>232</v>
      </c>
      <c r="AM8" t="s">
        <v>233</v>
      </c>
    </row>
    <row r="9" spans="1:39" x14ac:dyDescent="0.3">
      <c r="A9">
        <v>8</v>
      </c>
      <c r="B9" t="s">
        <v>129</v>
      </c>
      <c r="C9" t="s">
        <v>94</v>
      </c>
      <c r="D9" t="s">
        <v>111</v>
      </c>
      <c r="E9" t="s">
        <v>160</v>
      </c>
      <c r="F9" t="s">
        <v>97</v>
      </c>
      <c r="G9" t="s">
        <v>42</v>
      </c>
      <c r="H9" t="s">
        <v>97</v>
      </c>
      <c r="I9" t="s">
        <v>114</v>
      </c>
      <c r="J9" t="s">
        <v>123</v>
      </c>
      <c r="K9" t="s">
        <v>220</v>
      </c>
      <c r="L9" t="s">
        <v>102</v>
      </c>
      <c r="M9" t="s">
        <v>230</v>
      </c>
      <c r="N9" t="s">
        <v>231</v>
      </c>
      <c r="O9" t="s">
        <v>105</v>
      </c>
      <c r="P9" t="s">
        <v>155</v>
      </c>
      <c r="Q9" t="s">
        <v>102</v>
      </c>
      <c r="S9">
        <v>5</v>
      </c>
      <c r="T9">
        <v>5</v>
      </c>
      <c r="U9">
        <v>5</v>
      </c>
      <c r="V9">
        <v>4</v>
      </c>
      <c r="W9">
        <v>5</v>
      </c>
      <c r="X9">
        <v>5</v>
      </c>
      <c r="Y9">
        <v>5</v>
      </c>
      <c r="Z9">
        <v>5</v>
      </c>
      <c r="AA9">
        <v>5</v>
      </c>
      <c r="AB9">
        <v>4</v>
      </c>
      <c r="AC9">
        <v>3</v>
      </c>
      <c r="AD9">
        <v>4</v>
      </c>
      <c r="AE9">
        <v>4</v>
      </c>
      <c r="AF9">
        <v>4</v>
      </c>
      <c r="AG9">
        <v>4</v>
      </c>
      <c r="AH9">
        <v>1</v>
      </c>
      <c r="AI9">
        <v>2</v>
      </c>
      <c r="AJ9">
        <v>2</v>
      </c>
      <c r="AK9">
        <v>1</v>
      </c>
      <c r="AL9" t="s">
        <v>232</v>
      </c>
      <c r="AM9" t="s">
        <v>233</v>
      </c>
    </row>
    <row r="10" spans="1:39" x14ac:dyDescent="0.3">
      <c r="A10">
        <v>9</v>
      </c>
      <c r="B10" t="s">
        <v>121</v>
      </c>
      <c r="C10" t="s">
        <v>133</v>
      </c>
      <c r="D10" t="s">
        <v>95</v>
      </c>
      <c r="E10" t="s">
        <v>148</v>
      </c>
      <c r="F10" t="s">
        <v>98</v>
      </c>
      <c r="G10" t="s">
        <v>43</v>
      </c>
      <c r="H10" t="s">
        <v>98</v>
      </c>
      <c r="I10" t="s">
        <v>99</v>
      </c>
      <c r="J10" t="s">
        <v>123</v>
      </c>
      <c r="K10" t="s">
        <v>220</v>
      </c>
      <c r="L10" t="s">
        <v>102</v>
      </c>
      <c r="M10" t="s">
        <v>230</v>
      </c>
      <c r="N10" t="s">
        <v>130</v>
      </c>
      <c r="O10" t="s">
        <v>105</v>
      </c>
      <c r="P10" t="s">
        <v>166</v>
      </c>
      <c r="Q10" t="s">
        <v>102</v>
      </c>
      <c r="S10">
        <v>5</v>
      </c>
      <c r="T10">
        <v>4</v>
      </c>
      <c r="U10">
        <v>4</v>
      </c>
      <c r="V10">
        <v>4</v>
      </c>
      <c r="W10">
        <v>4</v>
      </c>
      <c r="X10">
        <v>4</v>
      </c>
      <c r="Y10">
        <v>4</v>
      </c>
      <c r="Z10">
        <v>4</v>
      </c>
      <c r="AA10">
        <v>4</v>
      </c>
      <c r="AB10">
        <v>3</v>
      </c>
      <c r="AC10">
        <v>4</v>
      </c>
      <c r="AD10">
        <v>4</v>
      </c>
      <c r="AE10">
        <v>4</v>
      </c>
      <c r="AF10">
        <v>3</v>
      </c>
      <c r="AG10">
        <v>4</v>
      </c>
      <c r="AH10">
        <v>2</v>
      </c>
      <c r="AI10">
        <v>2</v>
      </c>
      <c r="AJ10">
        <v>2</v>
      </c>
      <c r="AK10">
        <v>2</v>
      </c>
      <c r="AL10" t="s">
        <v>237</v>
      </c>
      <c r="AM10" t="s">
        <v>205</v>
      </c>
    </row>
    <row r="11" spans="1:39" x14ac:dyDescent="0.3">
      <c r="A11">
        <v>10</v>
      </c>
      <c r="B11" t="s">
        <v>109</v>
      </c>
      <c r="C11" t="s">
        <v>110</v>
      </c>
      <c r="D11" t="s">
        <v>111</v>
      </c>
      <c r="E11" t="s">
        <v>134</v>
      </c>
      <c r="F11" t="s">
        <v>98</v>
      </c>
      <c r="G11" t="s">
        <v>43</v>
      </c>
      <c r="H11" t="s">
        <v>98</v>
      </c>
      <c r="I11" t="s">
        <v>99</v>
      </c>
      <c r="J11" t="s">
        <v>123</v>
      </c>
      <c r="K11" t="s">
        <v>220</v>
      </c>
      <c r="L11" t="s">
        <v>102</v>
      </c>
      <c r="M11" t="s">
        <v>230</v>
      </c>
      <c r="N11" t="s">
        <v>234</v>
      </c>
      <c r="O11" t="s">
        <v>105</v>
      </c>
      <c r="P11" t="s">
        <v>125</v>
      </c>
      <c r="Q11" t="s">
        <v>102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5</v>
      </c>
      <c r="Z11">
        <v>5</v>
      </c>
      <c r="AA11">
        <v>5</v>
      </c>
      <c r="AB11">
        <v>4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1</v>
      </c>
      <c r="AI11">
        <v>2</v>
      </c>
      <c r="AJ11">
        <v>1</v>
      </c>
      <c r="AK11">
        <v>1</v>
      </c>
      <c r="AL11" t="s">
        <v>237</v>
      </c>
      <c r="AM11" t="s">
        <v>205</v>
      </c>
    </row>
    <row r="12" spans="1:39" x14ac:dyDescent="0.3">
      <c r="A12">
        <v>11</v>
      </c>
      <c r="B12" t="s">
        <v>121</v>
      </c>
      <c r="C12" t="s">
        <v>133</v>
      </c>
      <c r="D12" t="s">
        <v>95</v>
      </c>
      <c r="E12" t="s">
        <v>160</v>
      </c>
      <c r="F12" t="s">
        <v>98</v>
      </c>
      <c r="G12" t="s">
        <v>44</v>
      </c>
      <c r="H12" t="s">
        <v>98</v>
      </c>
      <c r="I12" t="s">
        <v>99</v>
      </c>
      <c r="J12" t="s">
        <v>123</v>
      </c>
      <c r="K12" t="s">
        <v>220</v>
      </c>
      <c r="L12" t="s">
        <v>102</v>
      </c>
      <c r="M12" t="s">
        <v>230</v>
      </c>
      <c r="N12" t="s">
        <v>150</v>
      </c>
      <c r="O12" t="s">
        <v>105</v>
      </c>
      <c r="P12" t="s">
        <v>166</v>
      </c>
      <c r="Q12" t="s">
        <v>102</v>
      </c>
      <c r="S12">
        <v>5</v>
      </c>
      <c r="T12">
        <v>4</v>
      </c>
      <c r="U12">
        <v>4</v>
      </c>
      <c r="V12">
        <v>3</v>
      </c>
      <c r="W12">
        <v>4</v>
      </c>
      <c r="X12">
        <v>4</v>
      </c>
      <c r="Y12">
        <v>3</v>
      </c>
      <c r="Z12">
        <v>4</v>
      </c>
      <c r="AA12">
        <v>4</v>
      </c>
      <c r="AB12">
        <v>4</v>
      </c>
      <c r="AC12">
        <v>3</v>
      </c>
      <c r="AD12">
        <v>3</v>
      </c>
      <c r="AE12">
        <v>4</v>
      </c>
      <c r="AF12">
        <v>4</v>
      </c>
      <c r="AG12">
        <v>4</v>
      </c>
      <c r="AH12">
        <v>2</v>
      </c>
      <c r="AI12">
        <v>3</v>
      </c>
      <c r="AJ12">
        <v>2</v>
      </c>
      <c r="AK12">
        <v>2</v>
      </c>
      <c r="AL12" t="s">
        <v>237</v>
      </c>
      <c r="AM12" t="s">
        <v>205</v>
      </c>
    </row>
    <row r="13" spans="1:39" x14ac:dyDescent="0.3">
      <c r="A13">
        <v>12</v>
      </c>
      <c r="B13" t="s">
        <v>129</v>
      </c>
      <c r="C13" t="s">
        <v>94</v>
      </c>
      <c r="D13" t="s">
        <v>111</v>
      </c>
      <c r="E13" t="s">
        <v>160</v>
      </c>
      <c r="F13" t="s">
        <v>98</v>
      </c>
      <c r="G13" t="s">
        <v>44</v>
      </c>
      <c r="H13" t="s">
        <v>98</v>
      </c>
      <c r="I13" t="s">
        <v>99</v>
      </c>
      <c r="J13" t="s">
        <v>123</v>
      </c>
      <c r="K13" t="s">
        <v>220</v>
      </c>
      <c r="L13" t="s">
        <v>102</v>
      </c>
      <c r="M13" t="s">
        <v>230</v>
      </c>
      <c r="N13" t="s">
        <v>150</v>
      </c>
      <c r="O13" t="s">
        <v>105</v>
      </c>
      <c r="P13" t="s">
        <v>166</v>
      </c>
      <c r="Q13" t="s">
        <v>102</v>
      </c>
      <c r="S13">
        <v>5</v>
      </c>
      <c r="T13">
        <v>5</v>
      </c>
      <c r="U13">
        <v>5</v>
      </c>
      <c r="V13">
        <v>4</v>
      </c>
      <c r="W13">
        <v>4</v>
      </c>
      <c r="X13">
        <v>4</v>
      </c>
      <c r="Y13">
        <v>4</v>
      </c>
      <c r="Z13">
        <v>5</v>
      </c>
      <c r="AA13">
        <v>5</v>
      </c>
      <c r="AB13">
        <v>4</v>
      </c>
      <c r="AC13">
        <v>3</v>
      </c>
      <c r="AD13">
        <v>3</v>
      </c>
      <c r="AE13">
        <v>3</v>
      </c>
      <c r="AF13">
        <v>3</v>
      </c>
      <c r="AG13">
        <v>3</v>
      </c>
      <c r="AH13">
        <v>2</v>
      </c>
      <c r="AI13">
        <v>3</v>
      </c>
      <c r="AJ13">
        <v>2</v>
      </c>
      <c r="AK13">
        <v>2</v>
      </c>
      <c r="AL13" t="s">
        <v>237</v>
      </c>
      <c r="AM13" t="s">
        <v>205</v>
      </c>
    </row>
    <row r="14" spans="1:39" x14ac:dyDescent="0.3">
      <c r="A14">
        <v>13</v>
      </c>
      <c r="B14" t="s">
        <v>121</v>
      </c>
      <c r="C14" t="s">
        <v>94</v>
      </c>
      <c r="D14" t="s">
        <v>111</v>
      </c>
      <c r="E14" t="s">
        <v>160</v>
      </c>
      <c r="F14" t="s">
        <v>98</v>
      </c>
      <c r="G14" t="s">
        <v>45</v>
      </c>
      <c r="H14" t="s">
        <v>98</v>
      </c>
      <c r="I14" t="s">
        <v>114</v>
      </c>
      <c r="J14" t="s">
        <v>123</v>
      </c>
      <c r="K14" t="s">
        <v>220</v>
      </c>
      <c r="L14" t="s">
        <v>102</v>
      </c>
      <c r="M14" t="s">
        <v>230</v>
      </c>
      <c r="N14" t="s">
        <v>118</v>
      </c>
      <c r="O14" t="s">
        <v>105</v>
      </c>
      <c r="P14" t="s">
        <v>106</v>
      </c>
      <c r="Q14" t="s">
        <v>102</v>
      </c>
      <c r="S14">
        <v>4</v>
      </c>
      <c r="T14">
        <v>4</v>
      </c>
      <c r="U14">
        <v>4</v>
      </c>
      <c r="V14">
        <v>3</v>
      </c>
      <c r="W14">
        <v>4</v>
      </c>
      <c r="X14">
        <v>4</v>
      </c>
      <c r="Y14">
        <v>4</v>
      </c>
      <c r="Z14">
        <v>5</v>
      </c>
      <c r="AA14">
        <v>4</v>
      </c>
      <c r="AB14">
        <v>3</v>
      </c>
      <c r="AC14">
        <v>3</v>
      </c>
      <c r="AD14">
        <v>3</v>
      </c>
      <c r="AE14">
        <v>4</v>
      </c>
      <c r="AF14">
        <v>3</v>
      </c>
      <c r="AG14">
        <v>4</v>
      </c>
      <c r="AH14">
        <v>3</v>
      </c>
      <c r="AI14">
        <v>3</v>
      </c>
      <c r="AJ14">
        <v>3</v>
      </c>
      <c r="AK14">
        <v>3</v>
      </c>
      <c r="AL14" t="s">
        <v>175</v>
      </c>
      <c r="AM14" t="s">
        <v>236</v>
      </c>
    </row>
    <row r="15" spans="1:39" x14ac:dyDescent="0.3">
      <c r="A15">
        <v>14</v>
      </c>
      <c r="B15" t="s">
        <v>169</v>
      </c>
      <c r="C15" t="s">
        <v>94</v>
      </c>
      <c r="D15" t="s">
        <v>111</v>
      </c>
      <c r="E15" t="s">
        <v>160</v>
      </c>
      <c r="F15" t="s">
        <v>98</v>
      </c>
      <c r="G15" t="s">
        <v>45</v>
      </c>
      <c r="H15" t="s">
        <v>98</v>
      </c>
      <c r="I15" t="s">
        <v>114</v>
      </c>
      <c r="J15" t="s">
        <v>123</v>
      </c>
      <c r="K15" t="s">
        <v>220</v>
      </c>
      <c r="L15" t="s">
        <v>102</v>
      </c>
      <c r="M15" t="s">
        <v>230</v>
      </c>
      <c r="N15" t="s">
        <v>118</v>
      </c>
      <c r="O15" t="s">
        <v>105</v>
      </c>
      <c r="P15" t="s">
        <v>166</v>
      </c>
      <c r="Q15" t="s">
        <v>102</v>
      </c>
      <c r="S15">
        <v>5</v>
      </c>
      <c r="T15">
        <v>4</v>
      </c>
      <c r="U15">
        <v>4</v>
      </c>
      <c r="V15">
        <v>3</v>
      </c>
      <c r="W15">
        <v>3</v>
      </c>
      <c r="X15">
        <v>5</v>
      </c>
      <c r="Y15">
        <v>4</v>
      </c>
      <c r="Z15">
        <v>5</v>
      </c>
      <c r="AA15">
        <v>4</v>
      </c>
      <c r="AB15">
        <v>3</v>
      </c>
      <c r="AC15">
        <v>4</v>
      </c>
      <c r="AD15">
        <v>3</v>
      </c>
      <c r="AE15">
        <v>3</v>
      </c>
      <c r="AF15">
        <v>4</v>
      </c>
      <c r="AG15">
        <v>4</v>
      </c>
      <c r="AH15">
        <v>2</v>
      </c>
      <c r="AI15">
        <v>3</v>
      </c>
      <c r="AJ15">
        <v>2</v>
      </c>
      <c r="AK15">
        <v>2</v>
      </c>
      <c r="AL15" t="s">
        <v>175</v>
      </c>
      <c r="AM15" t="s">
        <v>108</v>
      </c>
    </row>
    <row r="16" spans="1:39" x14ac:dyDescent="0.3">
      <c r="A16">
        <v>15</v>
      </c>
      <c r="B16" t="s">
        <v>112</v>
      </c>
      <c r="C16" t="s">
        <v>110</v>
      </c>
      <c r="D16" t="s">
        <v>111</v>
      </c>
      <c r="E16" t="s">
        <v>96</v>
      </c>
      <c r="F16" t="s">
        <v>113</v>
      </c>
      <c r="G16" t="s">
        <v>46</v>
      </c>
      <c r="H16" t="s">
        <v>97</v>
      </c>
      <c r="I16" t="s">
        <v>99</v>
      </c>
      <c r="J16" t="s">
        <v>100</v>
      </c>
      <c r="K16" t="s">
        <v>115</v>
      </c>
      <c r="L16" t="s">
        <v>116</v>
      </c>
      <c r="M16" t="s">
        <v>117</v>
      </c>
      <c r="N16" t="s">
        <v>118</v>
      </c>
      <c r="O16" t="s">
        <v>105</v>
      </c>
      <c r="P16" t="s">
        <v>106</v>
      </c>
      <c r="Q16" t="s">
        <v>102</v>
      </c>
      <c r="S16">
        <v>5</v>
      </c>
      <c r="T16">
        <v>4</v>
      </c>
      <c r="U16">
        <v>5</v>
      </c>
      <c r="V16">
        <v>3</v>
      </c>
      <c r="W16">
        <v>3</v>
      </c>
      <c r="X16">
        <v>3</v>
      </c>
      <c r="Y16">
        <v>3</v>
      </c>
      <c r="Z16">
        <v>4</v>
      </c>
      <c r="AA16">
        <v>4</v>
      </c>
      <c r="AB16">
        <v>3</v>
      </c>
      <c r="AC16">
        <v>3</v>
      </c>
      <c r="AD16">
        <v>3</v>
      </c>
      <c r="AE16">
        <v>5</v>
      </c>
      <c r="AF16">
        <v>3</v>
      </c>
      <c r="AG16">
        <v>3</v>
      </c>
      <c r="AH16">
        <v>3</v>
      </c>
      <c r="AI16">
        <v>4</v>
      </c>
      <c r="AJ16">
        <v>3</v>
      </c>
      <c r="AK16">
        <v>3</v>
      </c>
      <c r="AL16" t="s">
        <v>119</v>
      </c>
      <c r="AM16" t="s">
        <v>120</v>
      </c>
    </row>
    <row r="17" spans="1:39" x14ac:dyDescent="0.3">
      <c r="A17">
        <v>16</v>
      </c>
      <c r="B17" t="s">
        <v>121</v>
      </c>
      <c r="C17" t="s">
        <v>94</v>
      </c>
      <c r="D17" t="s">
        <v>111</v>
      </c>
      <c r="E17" t="s">
        <v>143</v>
      </c>
      <c r="F17" t="s">
        <v>113</v>
      </c>
      <c r="G17" t="s">
        <v>46</v>
      </c>
      <c r="H17" t="s">
        <v>98</v>
      </c>
      <c r="I17" t="s">
        <v>99</v>
      </c>
      <c r="J17" t="s">
        <v>100</v>
      </c>
      <c r="K17" t="s">
        <v>115</v>
      </c>
      <c r="L17" t="s">
        <v>116</v>
      </c>
      <c r="M17" t="s">
        <v>117</v>
      </c>
      <c r="N17" t="s">
        <v>118</v>
      </c>
      <c r="O17" t="s">
        <v>105</v>
      </c>
      <c r="P17" t="s">
        <v>106</v>
      </c>
      <c r="Q17" t="s">
        <v>102</v>
      </c>
      <c r="S17">
        <v>5</v>
      </c>
      <c r="T17">
        <v>4</v>
      </c>
      <c r="U17">
        <v>4</v>
      </c>
      <c r="V17">
        <v>4</v>
      </c>
      <c r="W17">
        <v>4</v>
      </c>
      <c r="X17">
        <v>4</v>
      </c>
      <c r="Y17">
        <v>5</v>
      </c>
      <c r="Z17">
        <v>5</v>
      </c>
      <c r="AA17">
        <v>5</v>
      </c>
      <c r="AB17">
        <v>3</v>
      </c>
      <c r="AC17">
        <v>4</v>
      </c>
      <c r="AD17">
        <v>4</v>
      </c>
      <c r="AE17">
        <v>4</v>
      </c>
      <c r="AF17">
        <v>3</v>
      </c>
      <c r="AG17">
        <v>4</v>
      </c>
      <c r="AH17">
        <v>3</v>
      </c>
      <c r="AI17">
        <v>3</v>
      </c>
      <c r="AJ17">
        <v>3</v>
      </c>
      <c r="AK17">
        <v>3</v>
      </c>
      <c r="AL17" t="s">
        <v>119</v>
      </c>
      <c r="AM17" t="s">
        <v>120</v>
      </c>
    </row>
    <row r="18" spans="1:39" x14ac:dyDescent="0.3">
      <c r="A18">
        <v>17</v>
      </c>
      <c r="B18" t="s">
        <v>121</v>
      </c>
      <c r="C18" t="s">
        <v>133</v>
      </c>
      <c r="D18" t="s">
        <v>111</v>
      </c>
      <c r="E18" t="s">
        <v>143</v>
      </c>
      <c r="F18" t="s">
        <v>98</v>
      </c>
      <c r="G18" t="s">
        <v>47</v>
      </c>
      <c r="H18" t="s">
        <v>98</v>
      </c>
      <c r="I18" t="s">
        <v>99</v>
      </c>
      <c r="J18" t="s">
        <v>123</v>
      </c>
      <c r="K18" t="s">
        <v>265</v>
      </c>
      <c r="L18" t="s">
        <v>235</v>
      </c>
      <c r="M18" t="s">
        <v>230</v>
      </c>
      <c r="N18" t="s">
        <v>104</v>
      </c>
      <c r="O18" t="s">
        <v>105</v>
      </c>
      <c r="P18" t="s">
        <v>125</v>
      </c>
      <c r="Q18" t="s">
        <v>102</v>
      </c>
      <c r="S18">
        <v>5</v>
      </c>
      <c r="T18">
        <v>5</v>
      </c>
      <c r="U18">
        <v>5</v>
      </c>
      <c r="V18">
        <v>4</v>
      </c>
      <c r="W18">
        <v>4</v>
      </c>
      <c r="X18">
        <v>4</v>
      </c>
      <c r="Y18">
        <v>4</v>
      </c>
      <c r="Z18">
        <v>5</v>
      </c>
      <c r="AA18">
        <v>5</v>
      </c>
      <c r="AB18">
        <v>3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1</v>
      </c>
      <c r="AI18">
        <v>2</v>
      </c>
      <c r="AJ18">
        <v>1</v>
      </c>
      <c r="AK18">
        <v>1</v>
      </c>
      <c r="AL18" t="s">
        <v>119</v>
      </c>
      <c r="AM18" t="s">
        <v>120</v>
      </c>
    </row>
    <row r="19" spans="1:39" x14ac:dyDescent="0.3">
      <c r="A19">
        <v>18</v>
      </c>
      <c r="B19" t="s">
        <v>129</v>
      </c>
      <c r="C19" t="s">
        <v>133</v>
      </c>
      <c r="D19" t="s">
        <v>111</v>
      </c>
      <c r="E19" t="s">
        <v>143</v>
      </c>
      <c r="F19" t="s">
        <v>98</v>
      </c>
      <c r="G19" t="s">
        <v>47</v>
      </c>
      <c r="H19" t="s">
        <v>98</v>
      </c>
      <c r="I19" t="s">
        <v>99</v>
      </c>
      <c r="J19" t="s">
        <v>123</v>
      </c>
      <c r="K19" t="s">
        <v>265</v>
      </c>
      <c r="L19" t="s">
        <v>235</v>
      </c>
      <c r="M19" t="s">
        <v>230</v>
      </c>
      <c r="N19" t="s">
        <v>104</v>
      </c>
      <c r="O19" t="s">
        <v>105</v>
      </c>
      <c r="P19" t="s">
        <v>125</v>
      </c>
      <c r="Q19" t="s">
        <v>102</v>
      </c>
      <c r="S19">
        <v>5</v>
      </c>
      <c r="T19">
        <v>5</v>
      </c>
      <c r="U19">
        <v>5</v>
      </c>
      <c r="V19">
        <v>4</v>
      </c>
      <c r="W19">
        <v>5</v>
      </c>
      <c r="X19">
        <v>4</v>
      </c>
      <c r="Y19">
        <v>5</v>
      </c>
      <c r="Z19">
        <v>4</v>
      </c>
      <c r="AA19">
        <v>4</v>
      </c>
      <c r="AB19">
        <v>3</v>
      </c>
      <c r="AC19">
        <v>3</v>
      </c>
      <c r="AD19">
        <v>3</v>
      </c>
      <c r="AE19">
        <v>3</v>
      </c>
      <c r="AF19">
        <v>4</v>
      </c>
      <c r="AG19">
        <v>4</v>
      </c>
      <c r="AH19">
        <v>1</v>
      </c>
      <c r="AI19">
        <v>2</v>
      </c>
      <c r="AJ19">
        <v>2</v>
      </c>
      <c r="AK19">
        <v>1</v>
      </c>
      <c r="AL19" t="s">
        <v>119</v>
      </c>
      <c r="AM19" t="s">
        <v>120</v>
      </c>
    </row>
    <row r="20" spans="1:39" x14ac:dyDescent="0.3">
      <c r="A20">
        <v>19</v>
      </c>
      <c r="B20" t="s">
        <v>129</v>
      </c>
      <c r="C20" t="s">
        <v>110</v>
      </c>
      <c r="D20" t="s">
        <v>111</v>
      </c>
      <c r="E20" t="s">
        <v>160</v>
      </c>
      <c r="F20" t="s">
        <v>98</v>
      </c>
      <c r="G20" t="s">
        <v>48</v>
      </c>
      <c r="H20" t="s">
        <v>98</v>
      </c>
      <c r="I20" t="s">
        <v>99</v>
      </c>
      <c r="J20" t="s">
        <v>100</v>
      </c>
      <c r="K20" t="s">
        <v>124</v>
      </c>
      <c r="L20" t="s">
        <v>102</v>
      </c>
      <c r="M20" t="s">
        <v>103</v>
      </c>
      <c r="N20" t="s">
        <v>130</v>
      </c>
      <c r="O20" t="s">
        <v>105</v>
      </c>
      <c r="P20" t="s">
        <v>106</v>
      </c>
      <c r="Q20" t="s">
        <v>102</v>
      </c>
      <c r="S20">
        <v>5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5</v>
      </c>
      <c r="AF20">
        <v>4</v>
      </c>
      <c r="AG20">
        <v>4</v>
      </c>
      <c r="AH20">
        <v>3</v>
      </c>
      <c r="AI20">
        <v>3</v>
      </c>
      <c r="AJ20">
        <v>3</v>
      </c>
      <c r="AK20">
        <v>2</v>
      </c>
      <c r="AL20" t="s">
        <v>132</v>
      </c>
      <c r="AM20" t="s">
        <v>131</v>
      </c>
    </row>
    <row r="21" spans="1:39" x14ac:dyDescent="0.3">
      <c r="A21">
        <v>20</v>
      </c>
      <c r="B21" t="s">
        <v>109</v>
      </c>
      <c r="C21" t="s">
        <v>133</v>
      </c>
      <c r="D21" t="s">
        <v>111</v>
      </c>
      <c r="E21" t="s">
        <v>160</v>
      </c>
      <c r="F21" t="s">
        <v>97</v>
      </c>
      <c r="G21" t="s">
        <v>48</v>
      </c>
      <c r="H21" t="s">
        <v>97</v>
      </c>
      <c r="I21" t="s">
        <v>99</v>
      </c>
      <c r="J21" t="s">
        <v>100</v>
      </c>
      <c r="K21" t="s">
        <v>124</v>
      </c>
      <c r="L21" t="s">
        <v>102</v>
      </c>
      <c r="M21" t="s">
        <v>103</v>
      </c>
      <c r="N21" t="s">
        <v>130</v>
      </c>
      <c r="O21" t="s">
        <v>105</v>
      </c>
      <c r="P21" t="s">
        <v>106</v>
      </c>
      <c r="Q21" t="s">
        <v>102</v>
      </c>
      <c r="S21">
        <v>3</v>
      </c>
      <c r="T21">
        <v>3</v>
      </c>
      <c r="U21">
        <v>4</v>
      </c>
      <c r="V21">
        <v>3</v>
      </c>
      <c r="W21">
        <v>3</v>
      </c>
      <c r="X21">
        <v>3</v>
      </c>
      <c r="Y21">
        <v>4</v>
      </c>
      <c r="Z21">
        <v>3</v>
      </c>
      <c r="AA21">
        <v>3</v>
      </c>
      <c r="AB21">
        <v>3</v>
      </c>
      <c r="AC21">
        <v>3</v>
      </c>
      <c r="AD21">
        <v>3</v>
      </c>
      <c r="AE21">
        <v>5</v>
      </c>
      <c r="AF21">
        <v>3</v>
      </c>
      <c r="AG21">
        <v>3</v>
      </c>
      <c r="AH21">
        <v>3</v>
      </c>
      <c r="AI21">
        <v>3</v>
      </c>
      <c r="AJ21">
        <v>1</v>
      </c>
      <c r="AK21">
        <v>1</v>
      </c>
      <c r="AL21" t="s">
        <v>132</v>
      </c>
      <c r="AM21" t="s">
        <v>131</v>
      </c>
    </row>
    <row r="22" spans="1:39" x14ac:dyDescent="0.3">
      <c r="A22">
        <v>21</v>
      </c>
      <c r="B22" t="s">
        <v>121</v>
      </c>
      <c r="C22" t="s">
        <v>110</v>
      </c>
      <c r="D22" t="s">
        <v>95</v>
      </c>
      <c r="E22" t="s">
        <v>122</v>
      </c>
      <c r="F22" t="s">
        <v>97</v>
      </c>
      <c r="G22" t="s">
        <v>49</v>
      </c>
      <c r="H22" t="s">
        <v>97</v>
      </c>
      <c r="I22" t="s">
        <v>114</v>
      </c>
      <c r="J22" t="s">
        <v>123</v>
      </c>
      <c r="K22" t="s">
        <v>126</v>
      </c>
      <c r="L22" t="s">
        <v>102</v>
      </c>
      <c r="M22" t="s">
        <v>127</v>
      </c>
      <c r="N22" t="s">
        <v>118</v>
      </c>
      <c r="O22" t="s">
        <v>105</v>
      </c>
      <c r="P22" t="s">
        <v>125</v>
      </c>
      <c r="Q22" t="s">
        <v>102</v>
      </c>
      <c r="S22">
        <v>5</v>
      </c>
      <c r="T22">
        <v>3</v>
      </c>
      <c r="U22">
        <v>3</v>
      </c>
      <c r="V22">
        <v>3</v>
      </c>
      <c r="W22">
        <v>3</v>
      </c>
      <c r="X22">
        <v>3</v>
      </c>
      <c r="Y22">
        <v>4</v>
      </c>
      <c r="Z22">
        <v>4</v>
      </c>
      <c r="AA22">
        <v>4</v>
      </c>
      <c r="AB22">
        <v>3</v>
      </c>
      <c r="AC22">
        <v>3</v>
      </c>
      <c r="AD22">
        <v>3</v>
      </c>
      <c r="AE22">
        <v>5</v>
      </c>
      <c r="AF22">
        <v>4</v>
      </c>
      <c r="AG22">
        <v>4</v>
      </c>
      <c r="AH22">
        <v>3</v>
      </c>
      <c r="AI22">
        <v>3</v>
      </c>
      <c r="AJ22">
        <v>3</v>
      </c>
      <c r="AK22">
        <v>3</v>
      </c>
      <c r="AL22" t="s">
        <v>119</v>
      </c>
      <c r="AM22" t="s">
        <v>120</v>
      </c>
    </row>
    <row r="23" spans="1:39" x14ac:dyDescent="0.3">
      <c r="A23">
        <v>22</v>
      </c>
      <c r="B23" t="s">
        <v>109</v>
      </c>
      <c r="C23" t="s">
        <v>94</v>
      </c>
      <c r="D23" t="s">
        <v>111</v>
      </c>
      <c r="E23" t="s">
        <v>122</v>
      </c>
      <c r="F23" t="s">
        <v>97</v>
      </c>
      <c r="G23" t="s">
        <v>49</v>
      </c>
      <c r="H23" t="s">
        <v>97</v>
      </c>
      <c r="I23" t="s">
        <v>114</v>
      </c>
      <c r="J23" t="s">
        <v>123</v>
      </c>
      <c r="K23" t="s">
        <v>126</v>
      </c>
      <c r="L23" t="s">
        <v>102</v>
      </c>
      <c r="M23" t="s">
        <v>127</v>
      </c>
      <c r="N23" t="s">
        <v>118</v>
      </c>
      <c r="O23" t="s">
        <v>105</v>
      </c>
      <c r="P23" t="s">
        <v>125</v>
      </c>
      <c r="Q23" t="s">
        <v>102</v>
      </c>
      <c r="S23">
        <v>5</v>
      </c>
      <c r="T23">
        <v>5</v>
      </c>
      <c r="U23">
        <v>3</v>
      </c>
      <c r="V23">
        <v>4</v>
      </c>
      <c r="W23">
        <v>4</v>
      </c>
      <c r="X23">
        <v>5</v>
      </c>
      <c r="Y23">
        <v>5</v>
      </c>
      <c r="Z23">
        <v>5</v>
      </c>
      <c r="AA23">
        <v>5</v>
      </c>
      <c r="AB23">
        <v>3</v>
      </c>
      <c r="AC23">
        <v>3</v>
      </c>
      <c r="AD23">
        <v>4</v>
      </c>
      <c r="AE23">
        <v>5</v>
      </c>
      <c r="AF23">
        <v>4</v>
      </c>
      <c r="AG23">
        <v>4</v>
      </c>
      <c r="AH23">
        <v>3</v>
      </c>
      <c r="AI23">
        <v>4</v>
      </c>
      <c r="AJ23">
        <v>3</v>
      </c>
      <c r="AK23">
        <v>3</v>
      </c>
      <c r="AL23" t="s">
        <v>138</v>
      </c>
      <c r="AM23" t="s">
        <v>128</v>
      </c>
    </row>
    <row r="24" spans="1:39" x14ac:dyDescent="0.3">
      <c r="A24">
        <v>23</v>
      </c>
      <c r="B24" t="s">
        <v>121</v>
      </c>
      <c r="C24" t="s">
        <v>110</v>
      </c>
      <c r="D24" t="s">
        <v>95</v>
      </c>
      <c r="E24" t="s">
        <v>134</v>
      </c>
      <c r="F24" t="s">
        <v>98</v>
      </c>
      <c r="G24" t="s">
        <v>50</v>
      </c>
      <c r="H24" t="s">
        <v>98</v>
      </c>
      <c r="I24" t="s">
        <v>99</v>
      </c>
      <c r="J24" t="s">
        <v>100</v>
      </c>
      <c r="K24" t="s">
        <v>124</v>
      </c>
      <c r="L24" t="s">
        <v>102</v>
      </c>
      <c r="M24" t="s">
        <v>135</v>
      </c>
      <c r="N24" t="s">
        <v>136</v>
      </c>
      <c r="O24" t="s">
        <v>105</v>
      </c>
      <c r="P24" t="s">
        <v>125</v>
      </c>
      <c r="Q24" t="s">
        <v>105</v>
      </c>
      <c r="R24" t="s">
        <v>137</v>
      </c>
      <c r="S24">
        <v>3</v>
      </c>
      <c r="T24">
        <v>4</v>
      </c>
      <c r="U24">
        <v>3</v>
      </c>
      <c r="V24">
        <v>3</v>
      </c>
      <c r="W24">
        <v>4</v>
      </c>
      <c r="X24">
        <v>5</v>
      </c>
      <c r="Y24">
        <v>4</v>
      </c>
      <c r="Z24">
        <v>5</v>
      </c>
      <c r="AA24">
        <v>5</v>
      </c>
      <c r="AB24">
        <v>3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3</v>
      </c>
      <c r="AI24">
        <v>3</v>
      </c>
      <c r="AJ24">
        <v>3</v>
      </c>
      <c r="AK24">
        <v>2</v>
      </c>
      <c r="AL24" t="s">
        <v>139</v>
      </c>
      <c r="AM24" t="s">
        <v>140</v>
      </c>
    </row>
    <row r="25" spans="1:39" x14ac:dyDescent="0.3">
      <c r="A25">
        <v>24</v>
      </c>
      <c r="B25" t="s">
        <v>129</v>
      </c>
      <c r="C25" t="s">
        <v>110</v>
      </c>
      <c r="D25" t="s">
        <v>95</v>
      </c>
      <c r="E25" t="s">
        <v>141</v>
      </c>
      <c r="F25" t="s">
        <v>98</v>
      </c>
      <c r="G25" t="s">
        <v>50</v>
      </c>
      <c r="H25" t="s">
        <v>98</v>
      </c>
      <c r="I25" t="s">
        <v>99</v>
      </c>
      <c r="J25" t="s">
        <v>100</v>
      </c>
      <c r="K25" t="s">
        <v>124</v>
      </c>
      <c r="L25" t="s">
        <v>102</v>
      </c>
      <c r="M25" t="s">
        <v>142</v>
      </c>
      <c r="N25" t="s">
        <v>136</v>
      </c>
      <c r="O25" t="s">
        <v>105</v>
      </c>
      <c r="P25" t="s">
        <v>125</v>
      </c>
      <c r="Q25" t="s">
        <v>105</v>
      </c>
      <c r="R25" t="s">
        <v>137</v>
      </c>
      <c r="S25">
        <v>3</v>
      </c>
      <c r="T25">
        <v>4</v>
      </c>
      <c r="U25">
        <v>4</v>
      </c>
      <c r="V25">
        <v>3</v>
      </c>
      <c r="W25">
        <v>3</v>
      </c>
      <c r="X25">
        <v>4</v>
      </c>
      <c r="Y25">
        <v>4</v>
      </c>
      <c r="Z25">
        <v>4</v>
      </c>
      <c r="AA25">
        <v>3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3</v>
      </c>
      <c r="AI25">
        <v>2</v>
      </c>
      <c r="AJ25">
        <v>3</v>
      </c>
      <c r="AK25">
        <v>2</v>
      </c>
      <c r="AL25" t="s">
        <v>139</v>
      </c>
      <c r="AM25" t="s">
        <v>140</v>
      </c>
    </row>
    <row r="26" spans="1:39" x14ac:dyDescent="0.3">
      <c r="A26">
        <v>25</v>
      </c>
      <c r="B26" t="s">
        <v>109</v>
      </c>
      <c r="C26" t="s">
        <v>133</v>
      </c>
      <c r="D26" t="s">
        <v>111</v>
      </c>
      <c r="E26" t="s">
        <v>143</v>
      </c>
      <c r="F26" t="s">
        <v>97</v>
      </c>
      <c r="G26" t="s">
        <v>51</v>
      </c>
      <c r="H26" t="s">
        <v>97</v>
      </c>
      <c r="I26" t="s">
        <v>144</v>
      </c>
      <c r="J26" t="s">
        <v>123</v>
      </c>
      <c r="K26" t="s">
        <v>264</v>
      </c>
      <c r="L26" t="s">
        <v>145</v>
      </c>
      <c r="M26" t="s">
        <v>117</v>
      </c>
      <c r="N26" t="s">
        <v>136</v>
      </c>
      <c r="O26" t="s">
        <v>105</v>
      </c>
      <c r="P26" t="s">
        <v>106</v>
      </c>
      <c r="Q26" t="s">
        <v>105</v>
      </c>
      <c r="R26" t="s">
        <v>137</v>
      </c>
      <c r="S26">
        <v>4</v>
      </c>
      <c r="T26">
        <v>3</v>
      </c>
      <c r="U26">
        <v>3</v>
      </c>
      <c r="V26">
        <v>3</v>
      </c>
      <c r="W26">
        <v>3</v>
      </c>
      <c r="X26">
        <v>4</v>
      </c>
      <c r="Y26">
        <v>3</v>
      </c>
      <c r="Z26">
        <v>4</v>
      </c>
      <c r="AA26">
        <v>5</v>
      </c>
      <c r="AB26">
        <v>3</v>
      </c>
      <c r="AC26">
        <v>4</v>
      </c>
      <c r="AD26">
        <v>4</v>
      </c>
      <c r="AE26">
        <v>3</v>
      </c>
      <c r="AF26">
        <v>4</v>
      </c>
      <c r="AG26">
        <v>3</v>
      </c>
      <c r="AH26">
        <v>3</v>
      </c>
      <c r="AI26">
        <v>4</v>
      </c>
      <c r="AJ26">
        <v>3</v>
      </c>
      <c r="AK26">
        <v>3</v>
      </c>
      <c r="AL26" t="s">
        <v>138</v>
      </c>
      <c r="AM26" t="s">
        <v>147</v>
      </c>
    </row>
    <row r="27" spans="1:39" x14ac:dyDescent="0.3">
      <c r="A27">
        <v>26</v>
      </c>
      <c r="B27" t="s">
        <v>93</v>
      </c>
      <c r="C27" t="s">
        <v>133</v>
      </c>
      <c r="D27" t="s">
        <v>111</v>
      </c>
      <c r="E27" t="s">
        <v>134</v>
      </c>
      <c r="F27" t="s">
        <v>97</v>
      </c>
      <c r="G27" t="s">
        <v>51</v>
      </c>
      <c r="H27" t="s">
        <v>97</v>
      </c>
      <c r="I27" t="s">
        <v>144</v>
      </c>
      <c r="J27" t="s">
        <v>123</v>
      </c>
      <c r="K27" t="s">
        <v>264</v>
      </c>
      <c r="L27" t="s">
        <v>145</v>
      </c>
      <c r="M27" t="s">
        <v>117</v>
      </c>
      <c r="N27" t="s">
        <v>136</v>
      </c>
      <c r="O27" t="s">
        <v>105</v>
      </c>
      <c r="P27" t="s">
        <v>106</v>
      </c>
      <c r="Q27" t="s">
        <v>105</v>
      </c>
      <c r="R27" t="s">
        <v>137</v>
      </c>
      <c r="S27">
        <v>4</v>
      </c>
      <c r="T27">
        <v>3</v>
      </c>
      <c r="U27">
        <v>4</v>
      </c>
      <c r="V27">
        <v>3</v>
      </c>
      <c r="W27">
        <v>4</v>
      </c>
      <c r="X27">
        <v>4</v>
      </c>
      <c r="Y27">
        <v>3</v>
      </c>
      <c r="Z27">
        <v>4</v>
      </c>
      <c r="AA27">
        <v>3</v>
      </c>
      <c r="AB27">
        <v>3</v>
      </c>
      <c r="AC27">
        <v>4</v>
      </c>
      <c r="AD27">
        <v>4</v>
      </c>
      <c r="AE27">
        <v>3</v>
      </c>
      <c r="AF27">
        <v>4</v>
      </c>
      <c r="AG27">
        <v>4</v>
      </c>
      <c r="AH27">
        <v>3</v>
      </c>
      <c r="AI27">
        <v>3</v>
      </c>
      <c r="AJ27">
        <v>3</v>
      </c>
      <c r="AK27">
        <v>3</v>
      </c>
      <c r="AL27" t="s">
        <v>138</v>
      </c>
      <c r="AM27" t="s">
        <v>147</v>
      </c>
    </row>
    <row r="28" spans="1:39" x14ac:dyDescent="0.3">
      <c r="A28">
        <v>27</v>
      </c>
      <c r="B28" t="s">
        <v>109</v>
      </c>
      <c r="C28" t="s">
        <v>110</v>
      </c>
      <c r="D28" t="s">
        <v>111</v>
      </c>
      <c r="E28" t="s">
        <v>122</v>
      </c>
      <c r="F28" t="s">
        <v>97</v>
      </c>
      <c r="G28" t="s">
        <v>52</v>
      </c>
      <c r="H28" t="s">
        <v>97</v>
      </c>
      <c r="I28" t="s">
        <v>99</v>
      </c>
      <c r="J28" t="s">
        <v>100</v>
      </c>
      <c r="K28" t="s">
        <v>101</v>
      </c>
      <c r="L28" t="s">
        <v>102</v>
      </c>
      <c r="M28" t="s">
        <v>168</v>
      </c>
      <c r="N28" t="s">
        <v>150</v>
      </c>
      <c r="O28" t="s">
        <v>105</v>
      </c>
      <c r="P28" t="s">
        <v>106</v>
      </c>
      <c r="Q28" t="s">
        <v>102</v>
      </c>
      <c r="S28">
        <v>4</v>
      </c>
      <c r="T28">
        <v>3</v>
      </c>
      <c r="U28">
        <v>4</v>
      </c>
      <c r="V28">
        <v>3</v>
      </c>
      <c r="W28">
        <v>4</v>
      </c>
      <c r="X28">
        <v>4</v>
      </c>
      <c r="Y28">
        <v>4</v>
      </c>
      <c r="Z28">
        <v>4</v>
      </c>
      <c r="AA28">
        <v>4</v>
      </c>
      <c r="AB28">
        <v>3</v>
      </c>
      <c r="AC28">
        <v>4</v>
      </c>
      <c r="AD28">
        <v>4</v>
      </c>
      <c r="AE28">
        <v>5</v>
      </c>
      <c r="AF28">
        <v>4</v>
      </c>
      <c r="AG28">
        <v>4</v>
      </c>
      <c r="AH28">
        <v>2</v>
      </c>
      <c r="AI28">
        <v>3</v>
      </c>
      <c r="AJ28">
        <v>3</v>
      </c>
      <c r="AK28">
        <v>2</v>
      </c>
      <c r="AL28" t="s">
        <v>151</v>
      </c>
      <c r="AM28" t="s">
        <v>152</v>
      </c>
    </row>
    <row r="29" spans="1:39" x14ac:dyDescent="0.3">
      <c r="A29">
        <v>28</v>
      </c>
      <c r="B29" t="s">
        <v>112</v>
      </c>
      <c r="C29" t="s">
        <v>94</v>
      </c>
      <c r="D29" t="s">
        <v>111</v>
      </c>
      <c r="E29" t="s">
        <v>143</v>
      </c>
      <c r="F29" t="s">
        <v>98</v>
      </c>
      <c r="G29" t="s">
        <v>52</v>
      </c>
      <c r="H29" t="s">
        <v>213</v>
      </c>
      <c r="I29" t="s">
        <v>99</v>
      </c>
      <c r="J29" t="s">
        <v>100</v>
      </c>
      <c r="K29" t="s">
        <v>101</v>
      </c>
      <c r="L29" t="s">
        <v>102</v>
      </c>
      <c r="M29" t="s">
        <v>168</v>
      </c>
      <c r="N29" t="s">
        <v>150</v>
      </c>
      <c r="O29" t="s">
        <v>105</v>
      </c>
      <c r="P29" t="s">
        <v>125</v>
      </c>
      <c r="Q29" t="s">
        <v>102</v>
      </c>
      <c r="S29">
        <v>5</v>
      </c>
      <c r="T29">
        <v>4</v>
      </c>
      <c r="U29">
        <v>4</v>
      </c>
      <c r="V29">
        <v>3</v>
      </c>
      <c r="W29">
        <v>3</v>
      </c>
      <c r="X29">
        <v>4</v>
      </c>
      <c r="Y29">
        <v>5</v>
      </c>
      <c r="Z29">
        <v>5</v>
      </c>
      <c r="AA29">
        <v>5</v>
      </c>
      <c r="AB29">
        <v>4</v>
      </c>
      <c r="AC29">
        <v>5</v>
      </c>
      <c r="AD29">
        <v>4</v>
      </c>
      <c r="AE29">
        <v>3</v>
      </c>
      <c r="AF29">
        <v>4</v>
      </c>
      <c r="AG29">
        <v>3</v>
      </c>
      <c r="AH29">
        <v>1</v>
      </c>
      <c r="AI29">
        <v>2</v>
      </c>
      <c r="AJ29">
        <v>1</v>
      </c>
      <c r="AK29">
        <v>1</v>
      </c>
      <c r="AL29" t="s">
        <v>151</v>
      </c>
      <c r="AM29" t="s">
        <v>238</v>
      </c>
    </row>
    <row r="30" spans="1:39" x14ac:dyDescent="0.3">
      <c r="A30">
        <v>29</v>
      </c>
      <c r="B30" t="s">
        <v>121</v>
      </c>
      <c r="C30" t="s">
        <v>133</v>
      </c>
      <c r="D30" t="s">
        <v>95</v>
      </c>
      <c r="E30" t="s">
        <v>153</v>
      </c>
      <c r="F30" t="s">
        <v>98</v>
      </c>
      <c r="G30" t="s">
        <v>53</v>
      </c>
      <c r="H30" t="s">
        <v>98</v>
      </c>
      <c r="I30" t="s">
        <v>99</v>
      </c>
      <c r="J30" t="s">
        <v>100</v>
      </c>
      <c r="K30" t="s">
        <v>101</v>
      </c>
      <c r="L30" t="s">
        <v>102</v>
      </c>
      <c r="M30" t="s">
        <v>154</v>
      </c>
      <c r="N30" t="s">
        <v>150</v>
      </c>
      <c r="O30" t="s">
        <v>105</v>
      </c>
      <c r="P30" t="s">
        <v>125</v>
      </c>
      <c r="Q30" t="s">
        <v>102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3</v>
      </c>
      <c r="AC30">
        <v>5</v>
      </c>
      <c r="AD30">
        <v>4</v>
      </c>
      <c r="AE30">
        <v>4</v>
      </c>
      <c r="AF30">
        <v>4</v>
      </c>
      <c r="AG30">
        <v>4</v>
      </c>
      <c r="AH30">
        <v>1</v>
      </c>
      <c r="AI30">
        <v>2</v>
      </c>
      <c r="AJ30">
        <v>2</v>
      </c>
      <c r="AK30">
        <v>1</v>
      </c>
      <c r="AL30" t="s">
        <v>156</v>
      </c>
      <c r="AM30" t="s">
        <v>157</v>
      </c>
    </row>
    <row r="31" spans="1:39" x14ac:dyDescent="0.3">
      <c r="A31">
        <v>30</v>
      </c>
      <c r="B31" t="s">
        <v>129</v>
      </c>
      <c r="C31" t="s">
        <v>133</v>
      </c>
      <c r="D31" t="s">
        <v>111</v>
      </c>
      <c r="E31" t="s">
        <v>141</v>
      </c>
      <c r="F31" t="s">
        <v>98</v>
      </c>
      <c r="G31" t="s">
        <v>53</v>
      </c>
      <c r="H31" t="s">
        <v>98</v>
      </c>
      <c r="I31" t="s">
        <v>99</v>
      </c>
      <c r="J31" t="s">
        <v>100</v>
      </c>
      <c r="K31" t="s">
        <v>101</v>
      </c>
      <c r="L31" t="s">
        <v>102</v>
      </c>
      <c r="M31" t="s">
        <v>154</v>
      </c>
      <c r="N31" t="s">
        <v>150</v>
      </c>
      <c r="O31" t="s">
        <v>105</v>
      </c>
      <c r="P31" t="s">
        <v>125</v>
      </c>
      <c r="Q31" t="s">
        <v>102</v>
      </c>
      <c r="S31">
        <v>5</v>
      </c>
      <c r="T31">
        <v>5</v>
      </c>
      <c r="U31">
        <v>5</v>
      </c>
      <c r="V31">
        <v>4</v>
      </c>
      <c r="W31">
        <v>4</v>
      </c>
      <c r="X31">
        <v>4</v>
      </c>
      <c r="Y31">
        <v>5</v>
      </c>
      <c r="Z31">
        <v>5</v>
      </c>
      <c r="AA31">
        <v>5</v>
      </c>
      <c r="AB31">
        <v>4</v>
      </c>
      <c r="AC31">
        <v>5</v>
      </c>
      <c r="AD31">
        <v>4</v>
      </c>
      <c r="AE31">
        <v>5</v>
      </c>
      <c r="AF31">
        <v>4</v>
      </c>
      <c r="AG31">
        <v>4</v>
      </c>
      <c r="AH31">
        <v>2</v>
      </c>
      <c r="AI31">
        <v>2</v>
      </c>
      <c r="AJ31">
        <v>2</v>
      </c>
      <c r="AK31">
        <v>2</v>
      </c>
      <c r="AL31" t="s">
        <v>156</v>
      </c>
      <c r="AM31" t="s">
        <v>157</v>
      </c>
    </row>
    <row r="32" spans="1:39" x14ac:dyDescent="0.3">
      <c r="A32">
        <v>31</v>
      </c>
      <c r="B32" t="s">
        <v>109</v>
      </c>
      <c r="C32" t="s">
        <v>133</v>
      </c>
      <c r="D32" t="s">
        <v>111</v>
      </c>
      <c r="E32" t="s">
        <v>148</v>
      </c>
      <c r="F32" t="s">
        <v>97</v>
      </c>
      <c r="G32" t="s">
        <v>54</v>
      </c>
      <c r="H32" t="s">
        <v>97</v>
      </c>
      <c r="I32" t="s">
        <v>144</v>
      </c>
      <c r="J32" t="s">
        <v>100</v>
      </c>
      <c r="K32" t="s">
        <v>124</v>
      </c>
      <c r="L32" t="s">
        <v>102</v>
      </c>
      <c r="M32" t="s">
        <v>149</v>
      </c>
      <c r="N32" t="s">
        <v>136</v>
      </c>
      <c r="O32" t="s">
        <v>105</v>
      </c>
      <c r="P32" t="s">
        <v>106</v>
      </c>
      <c r="Q32" t="s">
        <v>102</v>
      </c>
      <c r="S32">
        <v>3</v>
      </c>
      <c r="T32">
        <v>3</v>
      </c>
      <c r="U32">
        <v>3</v>
      </c>
      <c r="V32">
        <v>3</v>
      </c>
      <c r="W32">
        <v>3</v>
      </c>
      <c r="X32">
        <v>4</v>
      </c>
      <c r="Y32">
        <v>4</v>
      </c>
      <c r="Z32">
        <v>4</v>
      </c>
      <c r="AA32">
        <v>4</v>
      </c>
      <c r="AB32">
        <v>3</v>
      </c>
      <c r="AC32">
        <v>3</v>
      </c>
      <c r="AD32">
        <v>4</v>
      </c>
      <c r="AE32">
        <v>4</v>
      </c>
      <c r="AF32">
        <v>4</v>
      </c>
      <c r="AG32">
        <v>4</v>
      </c>
      <c r="AH32">
        <v>3</v>
      </c>
      <c r="AI32">
        <v>4</v>
      </c>
      <c r="AJ32">
        <v>3</v>
      </c>
      <c r="AK32">
        <v>3</v>
      </c>
      <c r="AL32" t="s">
        <v>159</v>
      </c>
      <c r="AM32" t="s">
        <v>158</v>
      </c>
    </row>
    <row r="33" spans="1:39" x14ac:dyDescent="0.3">
      <c r="A33">
        <v>32</v>
      </c>
      <c r="B33" t="s">
        <v>129</v>
      </c>
      <c r="C33" t="s">
        <v>133</v>
      </c>
      <c r="D33" t="s">
        <v>111</v>
      </c>
      <c r="E33" t="s">
        <v>160</v>
      </c>
      <c r="F33" t="s">
        <v>98</v>
      </c>
      <c r="G33" t="s">
        <v>54</v>
      </c>
      <c r="H33" t="s">
        <v>97</v>
      </c>
      <c r="I33" t="s">
        <v>144</v>
      </c>
      <c r="J33" t="s">
        <v>100</v>
      </c>
      <c r="K33" t="s">
        <v>124</v>
      </c>
      <c r="L33" t="s">
        <v>102</v>
      </c>
      <c r="M33" t="s">
        <v>161</v>
      </c>
      <c r="N33" t="s">
        <v>136</v>
      </c>
      <c r="O33" t="s">
        <v>105</v>
      </c>
      <c r="P33" t="s">
        <v>106</v>
      </c>
      <c r="Q33" t="s">
        <v>102</v>
      </c>
      <c r="S33">
        <v>4</v>
      </c>
      <c r="T33">
        <v>4</v>
      </c>
      <c r="U33">
        <v>4</v>
      </c>
      <c r="V33">
        <v>3</v>
      </c>
      <c r="W33">
        <v>3</v>
      </c>
      <c r="X33">
        <v>4</v>
      </c>
      <c r="Y33">
        <v>5</v>
      </c>
      <c r="Z33">
        <v>5</v>
      </c>
      <c r="AA33">
        <v>5</v>
      </c>
      <c r="AB33">
        <v>3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3</v>
      </c>
      <c r="AI33">
        <v>3</v>
      </c>
      <c r="AJ33">
        <v>2</v>
      </c>
      <c r="AK33">
        <v>2</v>
      </c>
      <c r="AL33" t="s">
        <v>162</v>
      </c>
      <c r="AM33" t="s">
        <v>163</v>
      </c>
    </row>
    <row r="34" spans="1:39" x14ac:dyDescent="0.3">
      <c r="A34">
        <v>33</v>
      </c>
      <c r="B34" t="s">
        <v>129</v>
      </c>
      <c r="C34" t="s">
        <v>164</v>
      </c>
      <c r="D34" t="s">
        <v>111</v>
      </c>
      <c r="E34" t="s">
        <v>143</v>
      </c>
      <c r="F34" t="s">
        <v>165</v>
      </c>
      <c r="G34" t="s">
        <v>55</v>
      </c>
      <c r="H34" t="s">
        <v>98</v>
      </c>
      <c r="I34" t="s">
        <v>99</v>
      </c>
      <c r="J34" t="s">
        <v>100</v>
      </c>
      <c r="K34" t="s">
        <v>124</v>
      </c>
      <c r="L34" t="s">
        <v>102</v>
      </c>
      <c r="M34" t="s">
        <v>161</v>
      </c>
      <c r="N34" t="s">
        <v>136</v>
      </c>
      <c r="O34" t="s">
        <v>105</v>
      </c>
      <c r="P34" t="s">
        <v>166</v>
      </c>
      <c r="Q34" t="s">
        <v>102</v>
      </c>
      <c r="S34">
        <v>3</v>
      </c>
      <c r="T34">
        <v>3</v>
      </c>
      <c r="U34">
        <v>4</v>
      </c>
      <c r="V34">
        <v>4</v>
      </c>
      <c r="W34">
        <v>4</v>
      </c>
      <c r="X34">
        <v>4</v>
      </c>
      <c r="Y34">
        <v>5</v>
      </c>
      <c r="Z34">
        <v>5</v>
      </c>
      <c r="AA34">
        <v>5</v>
      </c>
      <c r="AB34">
        <v>3</v>
      </c>
      <c r="AC34">
        <v>3</v>
      </c>
      <c r="AD34">
        <v>3</v>
      </c>
      <c r="AE34">
        <v>4</v>
      </c>
      <c r="AF34">
        <v>4</v>
      </c>
      <c r="AG34">
        <v>4</v>
      </c>
      <c r="AH34">
        <v>3</v>
      </c>
      <c r="AI34">
        <v>3</v>
      </c>
      <c r="AJ34">
        <v>3</v>
      </c>
      <c r="AK34">
        <v>2</v>
      </c>
      <c r="AL34" t="s">
        <v>159</v>
      </c>
      <c r="AM34" t="s">
        <v>167</v>
      </c>
    </row>
    <row r="35" spans="1:39" x14ac:dyDescent="0.3">
      <c r="A35">
        <v>34</v>
      </c>
      <c r="B35" t="s">
        <v>169</v>
      </c>
      <c r="C35" t="s">
        <v>110</v>
      </c>
      <c r="D35" t="s">
        <v>95</v>
      </c>
      <c r="E35" t="s">
        <v>160</v>
      </c>
      <c r="F35" t="s">
        <v>165</v>
      </c>
      <c r="G35" t="s">
        <v>55</v>
      </c>
      <c r="H35" t="s">
        <v>98</v>
      </c>
      <c r="I35" t="s">
        <v>99</v>
      </c>
      <c r="J35" t="s">
        <v>100</v>
      </c>
      <c r="K35" t="s">
        <v>124</v>
      </c>
      <c r="L35" t="s">
        <v>102</v>
      </c>
      <c r="M35" t="s">
        <v>161</v>
      </c>
      <c r="N35" t="s">
        <v>136</v>
      </c>
      <c r="O35" t="s">
        <v>105</v>
      </c>
      <c r="P35" t="s">
        <v>166</v>
      </c>
      <c r="Q35" t="s">
        <v>102</v>
      </c>
      <c r="S35">
        <v>4</v>
      </c>
      <c r="T35">
        <v>4</v>
      </c>
      <c r="U35">
        <v>3</v>
      </c>
      <c r="V35">
        <v>5</v>
      </c>
      <c r="W35">
        <v>5</v>
      </c>
      <c r="X35">
        <v>4</v>
      </c>
      <c r="Y35">
        <v>5</v>
      </c>
      <c r="Z35">
        <v>5</v>
      </c>
      <c r="AA35">
        <v>5</v>
      </c>
      <c r="AB35">
        <v>3</v>
      </c>
      <c r="AC35">
        <v>3</v>
      </c>
      <c r="AD35">
        <v>3</v>
      </c>
      <c r="AE35">
        <v>4</v>
      </c>
      <c r="AF35">
        <v>4</v>
      </c>
      <c r="AG35">
        <v>4</v>
      </c>
      <c r="AH35">
        <v>2</v>
      </c>
      <c r="AI35">
        <v>3</v>
      </c>
      <c r="AJ35">
        <v>3</v>
      </c>
      <c r="AK35">
        <v>2</v>
      </c>
      <c r="AL35" t="s">
        <v>159</v>
      </c>
      <c r="AM35" t="s">
        <v>170</v>
      </c>
    </row>
    <row r="36" spans="1:39" x14ac:dyDescent="0.3">
      <c r="A36">
        <v>35</v>
      </c>
      <c r="B36" t="s">
        <v>121</v>
      </c>
      <c r="C36" t="s">
        <v>94</v>
      </c>
      <c r="D36" t="s">
        <v>95</v>
      </c>
      <c r="E36" t="s">
        <v>148</v>
      </c>
      <c r="F36" t="s">
        <v>98</v>
      </c>
      <c r="G36" t="s">
        <v>56</v>
      </c>
      <c r="H36" t="s">
        <v>98</v>
      </c>
      <c r="I36" t="s">
        <v>114</v>
      </c>
      <c r="J36" t="s">
        <v>100</v>
      </c>
      <c r="K36" t="s">
        <v>124</v>
      </c>
      <c r="L36" t="s">
        <v>102</v>
      </c>
      <c r="M36" t="s">
        <v>171</v>
      </c>
      <c r="N36" t="s">
        <v>136</v>
      </c>
      <c r="O36" t="s">
        <v>105</v>
      </c>
      <c r="P36" t="s">
        <v>125</v>
      </c>
      <c r="Q36" t="s">
        <v>102</v>
      </c>
      <c r="S36">
        <v>4</v>
      </c>
      <c r="T36">
        <v>4</v>
      </c>
      <c r="U36">
        <v>4</v>
      </c>
      <c r="V36">
        <v>3</v>
      </c>
      <c r="W36">
        <v>4</v>
      </c>
      <c r="X36">
        <v>4</v>
      </c>
      <c r="Y36">
        <v>4</v>
      </c>
      <c r="Z36">
        <v>4</v>
      </c>
      <c r="AA36">
        <v>4</v>
      </c>
      <c r="AB36">
        <v>3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1</v>
      </c>
      <c r="AI36">
        <v>2</v>
      </c>
      <c r="AJ36">
        <v>2</v>
      </c>
      <c r="AK36">
        <v>1</v>
      </c>
      <c r="AL36" t="s">
        <v>162</v>
      </c>
      <c r="AM36" t="s">
        <v>172</v>
      </c>
    </row>
    <row r="37" spans="1:39" x14ac:dyDescent="0.3">
      <c r="A37">
        <v>36</v>
      </c>
      <c r="B37" t="s">
        <v>169</v>
      </c>
      <c r="C37" t="s">
        <v>94</v>
      </c>
      <c r="D37" t="s">
        <v>111</v>
      </c>
      <c r="E37" t="s">
        <v>143</v>
      </c>
      <c r="F37" t="s">
        <v>98</v>
      </c>
      <c r="G37" t="s">
        <v>56</v>
      </c>
      <c r="H37" t="s">
        <v>98</v>
      </c>
      <c r="I37" t="s">
        <v>114</v>
      </c>
      <c r="J37" t="s">
        <v>100</v>
      </c>
      <c r="K37" t="s">
        <v>124</v>
      </c>
      <c r="L37" t="s">
        <v>102</v>
      </c>
      <c r="M37" t="s">
        <v>171</v>
      </c>
      <c r="N37" t="s">
        <v>136</v>
      </c>
      <c r="O37" t="s">
        <v>105</v>
      </c>
      <c r="P37" t="s">
        <v>125</v>
      </c>
      <c r="Q37" t="s">
        <v>102</v>
      </c>
      <c r="S37">
        <v>4</v>
      </c>
      <c r="T37">
        <v>5</v>
      </c>
      <c r="U37">
        <v>5</v>
      </c>
      <c r="V37">
        <v>4</v>
      </c>
      <c r="W37">
        <v>4</v>
      </c>
      <c r="X37">
        <v>5</v>
      </c>
      <c r="Y37">
        <v>4</v>
      </c>
      <c r="Z37">
        <v>4</v>
      </c>
      <c r="AA37">
        <v>5</v>
      </c>
      <c r="AB37">
        <v>3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2</v>
      </c>
      <c r="AI37">
        <v>3</v>
      </c>
      <c r="AJ37">
        <v>2</v>
      </c>
      <c r="AK37">
        <v>1</v>
      </c>
      <c r="AL37" t="s">
        <v>162</v>
      </c>
      <c r="AM37" t="s">
        <v>172</v>
      </c>
    </row>
    <row r="38" spans="1:39" x14ac:dyDescent="0.3">
      <c r="A38">
        <v>37</v>
      </c>
      <c r="B38" t="s">
        <v>129</v>
      </c>
      <c r="C38" t="s">
        <v>94</v>
      </c>
      <c r="D38" t="s">
        <v>111</v>
      </c>
      <c r="E38" t="s">
        <v>160</v>
      </c>
      <c r="F38" t="s">
        <v>97</v>
      </c>
      <c r="G38" t="s">
        <v>57</v>
      </c>
      <c r="H38" t="s">
        <v>97</v>
      </c>
      <c r="I38" t="s">
        <v>114</v>
      </c>
      <c r="J38" t="s">
        <v>123</v>
      </c>
      <c r="K38" t="s">
        <v>124</v>
      </c>
      <c r="L38" t="s">
        <v>102</v>
      </c>
      <c r="M38" t="s">
        <v>174</v>
      </c>
      <c r="N38" t="s">
        <v>136</v>
      </c>
      <c r="O38" t="s">
        <v>105</v>
      </c>
      <c r="P38" t="s">
        <v>106</v>
      </c>
      <c r="Q38" t="s">
        <v>102</v>
      </c>
      <c r="S38">
        <v>4</v>
      </c>
      <c r="T38">
        <v>4</v>
      </c>
      <c r="U38">
        <v>4</v>
      </c>
      <c r="V38">
        <v>3</v>
      </c>
      <c r="W38">
        <v>3</v>
      </c>
      <c r="X38">
        <v>3</v>
      </c>
      <c r="Y38">
        <v>3</v>
      </c>
      <c r="Z38">
        <v>4</v>
      </c>
      <c r="AA38">
        <v>4</v>
      </c>
      <c r="AB38">
        <v>3</v>
      </c>
      <c r="AC38">
        <v>4</v>
      </c>
      <c r="AD38">
        <v>4</v>
      </c>
      <c r="AE38">
        <v>3</v>
      </c>
      <c r="AF38">
        <v>4</v>
      </c>
      <c r="AG38">
        <v>4</v>
      </c>
      <c r="AH38">
        <v>2</v>
      </c>
      <c r="AI38">
        <v>3</v>
      </c>
      <c r="AJ38">
        <v>2</v>
      </c>
      <c r="AK38">
        <v>2</v>
      </c>
      <c r="AL38" t="s">
        <v>173</v>
      </c>
      <c r="AM38" t="s">
        <v>108</v>
      </c>
    </row>
    <row r="39" spans="1:39" x14ac:dyDescent="0.3">
      <c r="A39">
        <v>38</v>
      </c>
      <c r="B39" t="s">
        <v>109</v>
      </c>
      <c r="C39" t="s">
        <v>94</v>
      </c>
      <c r="D39" t="s">
        <v>111</v>
      </c>
      <c r="E39" t="s">
        <v>122</v>
      </c>
      <c r="F39" t="s">
        <v>97</v>
      </c>
      <c r="G39" t="s">
        <v>57</v>
      </c>
      <c r="H39" t="s">
        <v>97</v>
      </c>
      <c r="I39" t="s">
        <v>114</v>
      </c>
      <c r="J39" t="s">
        <v>123</v>
      </c>
      <c r="K39" t="s">
        <v>124</v>
      </c>
      <c r="L39" t="s">
        <v>102</v>
      </c>
      <c r="M39" t="s">
        <v>174</v>
      </c>
      <c r="N39" t="s">
        <v>136</v>
      </c>
      <c r="O39" t="s">
        <v>105</v>
      </c>
      <c r="P39" t="s">
        <v>106</v>
      </c>
      <c r="Q39" t="s">
        <v>102</v>
      </c>
      <c r="S39">
        <v>4</v>
      </c>
      <c r="T39">
        <v>3</v>
      </c>
      <c r="U39">
        <v>3</v>
      </c>
      <c r="V39">
        <v>3</v>
      </c>
      <c r="W39">
        <v>3</v>
      </c>
      <c r="X39">
        <v>3</v>
      </c>
      <c r="Y39">
        <v>4</v>
      </c>
      <c r="Z39">
        <v>4</v>
      </c>
      <c r="AA39">
        <v>4</v>
      </c>
      <c r="AB39">
        <v>4</v>
      </c>
      <c r="AC39">
        <v>3</v>
      </c>
      <c r="AD39">
        <v>3</v>
      </c>
      <c r="AE39">
        <v>3</v>
      </c>
      <c r="AF39">
        <v>3</v>
      </c>
      <c r="AG39">
        <v>3</v>
      </c>
      <c r="AH39">
        <v>2</v>
      </c>
      <c r="AI39">
        <v>3</v>
      </c>
      <c r="AJ39">
        <v>2</v>
      </c>
      <c r="AK39">
        <v>2</v>
      </c>
      <c r="AL39" t="s">
        <v>175</v>
      </c>
      <c r="AM39" t="s">
        <v>176</v>
      </c>
    </row>
    <row r="40" spans="1:39" x14ac:dyDescent="0.3">
      <c r="A40">
        <v>39</v>
      </c>
      <c r="B40" t="s">
        <v>121</v>
      </c>
      <c r="C40" t="s">
        <v>133</v>
      </c>
      <c r="D40" t="s">
        <v>95</v>
      </c>
      <c r="E40" t="s">
        <v>148</v>
      </c>
      <c r="F40" t="s">
        <v>97</v>
      </c>
      <c r="G40" t="s">
        <v>58</v>
      </c>
      <c r="H40" t="s">
        <v>97</v>
      </c>
      <c r="I40" t="s">
        <v>114</v>
      </c>
      <c r="J40" t="s">
        <v>100</v>
      </c>
      <c r="K40" t="s">
        <v>177</v>
      </c>
      <c r="L40" t="s">
        <v>102</v>
      </c>
      <c r="M40" t="s">
        <v>168</v>
      </c>
      <c r="N40" t="s">
        <v>136</v>
      </c>
      <c r="O40" t="s">
        <v>105</v>
      </c>
      <c r="P40" t="s">
        <v>106</v>
      </c>
      <c r="Q40" t="s">
        <v>102</v>
      </c>
      <c r="S40">
        <v>4</v>
      </c>
      <c r="T40">
        <v>3</v>
      </c>
      <c r="U40">
        <v>3</v>
      </c>
      <c r="V40">
        <v>3</v>
      </c>
      <c r="W40">
        <v>3</v>
      </c>
      <c r="X40">
        <v>5</v>
      </c>
      <c r="Y40">
        <v>3</v>
      </c>
      <c r="Z40">
        <v>5</v>
      </c>
      <c r="AA40">
        <v>4</v>
      </c>
      <c r="AB40">
        <v>3</v>
      </c>
      <c r="AC40">
        <v>5</v>
      </c>
      <c r="AD40">
        <v>4</v>
      </c>
      <c r="AE40">
        <v>4</v>
      </c>
      <c r="AF40">
        <v>3</v>
      </c>
      <c r="AG40">
        <v>4</v>
      </c>
      <c r="AH40">
        <v>2</v>
      </c>
      <c r="AI40">
        <v>3</v>
      </c>
      <c r="AJ40">
        <v>2</v>
      </c>
      <c r="AK40">
        <v>2</v>
      </c>
      <c r="AL40" t="s">
        <v>159</v>
      </c>
      <c r="AM40" t="s">
        <v>239</v>
      </c>
    </row>
    <row r="41" spans="1:39" x14ac:dyDescent="0.3">
      <c r="A41">
        <v>40</v>
      </c>
      <c r="B41" t="s">
        <v>129</v>
      </c>
      <c r="C41" t="s">
        <v>94</v>
      </c>
      <c r="D41" t="s">
        <v>111</v>
      </c>
      <c r="E41" t="s">
        <v>134</v>
      </c>
      <c r="F41" t="s">
        <v>97</v>
      </c>
      <c r="G41" t="s">
        <v>58</v>
      </c>
      <c r="H41" t="s">
        <v>97</v>
      </c>
      <c r="I41" t="s">
        <v>114</v>
      </c>
      <c r="J41" t="s">
        <v>100</v>
      </c>
      <c r="K41" t="s">
        <v>177</v>
      </c>
      <c r="L41" t="s">
        <v>102</v>
      </c>
      <c r="M41" t="s">
        <v>168</v>
      </c>
      <c r="N41" t="s">
        <v>136</v>
      </c>
      <c r="O41" t="s">
        <v>105</v>
      </c>
      <c r="P41" t="s">
        <v>106</v>
      </c>
      <c r="Q41" t="s">
        <v>102</v>
      </c>
      <c r="S41">
        <v>4</v>
      </c>
      <c r="T41">
        <v>3</v>
      </c>
      <c r="U41">
        <v>3</v>
      </c>
      <c r="V41">
        <v>4</v>
      </c>
      <c r="W41">
        <v>4</v>
      </c>
      <c r="X41">
        <v>4</v>
      </c>
      <c r="Y41">
        <v>4</v>
      </c>
      <c r="Z41">
        <v>4</v>
      </c>
      <c r="AA41">
        <v>3</v>
      </c>
      <c r="AB41">
        <v>3</v>
      </c>
      <c r="AC41">
        <v>5</v>
      </c>
      <c r="AD41">
        <v>3</v>
      </c>
      <c r="AE41">
        <v>3</v>
      </c>
      <c r="AF41">
        <v>3</v>
      </c>
      <c r="AG41">
        <v>3</v>
      </c>
      <c r="AH41">
        <v>1</v>
      </c>
      <c r="AI41">
        <v>2</v>
      </c>
      <c r="AJ41">
        <v>1</v>
      </c>
      <c r="AK41">
        <v>1</v>
      </c>
      <c r="AL41" t="s">
        <v>175</v>
      </c>
      <c r="AM41" t="s">
        <v>172</v>
      </c>
    </row>
    <row r="42" spans="1:39" x14ac:dyDescent="0.3">
      <c r="A42">
        <v>41</v>
      </c>
      <c r="B42" t="s">
        <v>129</v>
      </c>
      <c r="C42" t="s">
        <v>110</v>
      </c>
      <c r="D42" t="s">
        <v>111</v>
      </c>
      <c r="E42" t="s">
        <v>160</v>
      </c>
      <c r="F42" t="s">
        <v>97</v>
      </c>
      <c r="G42" t="s">
        <v>59</v>
      </c>
      <c r="H42" t="s">
        <v>97</v>
      </c>
      <c r="I42" t="s">
        <v>114</v>
      </c>
      <c r="J42" t="s">
        <v>100</v>
      </c>
      <c r="K42" t="s">
        <v>177</v>
      </c>
      <c r="L42" t="s">
        <v>102</v>
      </c>
      <c r="M42" t="s">
        <v>178</v>
      </c>
      <c r="N42" t="s">
        <v>136</v>
      </c>
      <c r="O42" t="s">
        <v>105</v>
      </c>
      <c r="P42" t="s">
        <v>125</v>
      </c>
      <c r="Q42" t="s">
        <v>105</v>
      </c>
      <c r="R42" t="s">
        <v>137</v>
      </c>
      <c r="S42">
        <v>5</v>
      </c>
      <c r="T42">
        <v>4</v>
      </c>
      <c r="U42">
        <v>4</v>
      </c>
      <c r="V42">
        <v>3</v>
      </c>
      <c r="W42">
        <v>3</v>
      </c>
      <c r="X42">
        <v>4</v>
      </c>
      <c r="Y42">
        <v>4</v>
      </c>
      <c r="Z42">
        <v>3</v>
      </c>
      <c r="AA42">
        <v>4</v>
      </c>
      <c r="AB42">
        <v>4</v>
      </c>
      <c r="AC42">
        <v>3</v>
      </c>
      <c r="AD42">
        <v>3</v>
      </c>
      <c r="AE42">
        <v>3</v>
      </c>
      <c r="AF42">
        <v>3</v>
      </c>
      <c r="AG42">
        <v>3</v>
      </c>
      <c r="AH42">
        <v>2</v>
      </c>
      <c r="AI42">
        <v>4</v>
      </c>
      <c r="AJ42">
        <v>2</v>
      </c>
      <c r="AK42">
        <v>2</v>
      </c>
      <c r="AL42" t="s">
        <v>179</v>
      </c>
      <c r="AM42" t="s">
        <v>108</v>
      </c>
    </row>
    <row r="43" spans="1:39" x14ac:dyDescent="0.3">
      <c r="A43">
        <v>42</v>
      </c>
      <c r="B43" t="s">
        <v>109</v>
      </c>
      <c r="C43" t="s">
        <v>110</v>
      </c>
      <c r="D43" t="s">
        <v>111</v>
      </c>
      <c r="E43" t="s">
        <v>160</v>
      </c>
      <c r="F43" t="s">
        <v>97</v>
      </c>
      <c r="G43" t="s">
        <v>59</v>
      </c>
      <c r="H43" t="s">
        <v>180</v>
      </c>
      <c r="I43" t="s">
        <v>114</v>
      </c>
      <c r="J43" t="s">
        <v>100</v>
      </c>
      <c r="K43" t="s">
        <v>177</v>
      </c>
      <c r="L43" t="s">
        <v>102</v>
      </c>
      <c r="M43" t="s">
        <v>178</v>
      </c>
      <c r="N43" t="s">
        <v>136</v>
      </c>
      <c r="O43" t="s">
        <v>105</v>
      </c>
      <c r="P43" t="s">
        <v>125</v>
      </c>
      <c r="Q43" t="s">
        <v>105</v>
      </c>
      <c r="R43" t="s">
        <v>137</v>
      </c>
      <c r="S43">
        <v>5</v>
      </c>
      <c r="T43">
        <v>4</v>
      </c>
      <c r="U43">
        <v>4</v>
      </c>
      <c r="V43">
        <v>3</v>
      </c>
      <c r="W43">
        <v>4</v>
      </c>
      <c r="X43">
        <v>4</v>
      </c>
      <c r="Y43">
        <v>4</v>
      </c>
      <c r="Z43">
        <v>4</v>
      </c>
      <c r="AA43">
        <v>4</v>
      </c>
      <c r="AB43">
        <v>3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4</v>
      </c>
      <c r="AJ43">
        <v>3</v>
      </c>
      <c r="AK43">
        <v>3</v>
      </c>
      <c r="AL43" t="s">
        <v>179</v>
      </c>
      <c r="AM43" t="s">
        <v>108</v>
      </c>
    </row>
    <row r="44" spans="1:39" x14ac:dyDescent="0.3">
      <c r="A44">
        <v>43</v>
      </c>
      <c r="B44" t="s">
        <v>121</v>
      </c>
      <c r="C44" t="s">
        <v>94</v>
      </c>
      <c r="D44" t="s">
        <v>111</v>
      </c>
      <c r="E44" t="s">
        <v>160</v>
      </c>
      <c r="F44" t="s">
        <v>97</v>
      </c>
      <c r="G44" t="s">
        <v>60</v>
      </c>
      <c r="H44" t="s">
        <v>97</v>
      </c>
      <c r="I44" t="s">
        <v>99</v>
      </c>
      <c r="J44" t="s">
        <v>100</v>
      </c>
      <c r="K44" t="s">
        <v>101</v>
      </c>
      <c r="L44" t="s">
        <v>102</v>
      </c>
      <c r="M44" t="s">
        <v>168</v>
      </c>
      <c r="N44" t="s">
        <v>136</v>
      </c>
      <c r="O44" t="s">
        <v>105</v>
      </c>
      <c r="P44" t="s">
        <v>125</v>
      </c>
      <c r="Q44" t="s">
        <v>102</v>
      </c>
      <c r="S44">
        <v>5</v>
      </c>
      <c r="T44">
        <v>5</v>
      </c>
      <c r="U44">
        <v>4</v>
      </c>
      <c r="V44">
        <v>4</v>
      </c>
      <c r="W44">
        <v>4</v>
      </c>
      <c r="X44">
        <v>4</v>
      </c>
      <c r="Y44">
        <v>5</v>
      </c>
      <c r="Z44">
        <v>5</v>
      </c>
      <c r="AA44">
        <v>4</v>
      </c>
      <c r="AB44">
        <v>3</v>
      </c>
      <c r="AC44">
        <v>4</v>
      </c>
      <c r="AD44">
        <v>4</v>
      </c>
      <c r="AE44">
        <v>4</v>
      </c>
      <c r="AF44">
        <v>3</v>
      </c>
      <c r="AG44">
        <v>4</v>
      </c>
      <c r="AH44">
        <v>1</v>
      </c>
      <c r="AI44">
        <v>2</v>
      </c>
      <c r="AJ44">
        <v>1</v>
      </c>
      <c r="AK44">
        <v>1</v>
      </c>
      <c r="AL44" t="s">
        <v>175</v>
      </c>
      <c r="AM44" t="s">
        <v>182</v>
      </c>
    </row>
    <row r="45" spans="1:39" x14ac:dyDescent="0.3">
      <c r="A45">
        <v>44</v>
      </c>
      <c r="B45" t="s">
        <v>109</v>
      </c>
      <c r="C45" t="s">
        <v>94</v>
      </c>
      <c r="D45" t="s">
        <v>111</v>
      </c>
      <c r="E45" t="s">
        <v>143</v>
      </c>
      <c r="F45" t="s">
        <v>97</v>
      </c>
      <c r="G45" t="s">
        <v>60</v>
      </c>
      <c r="H45" t="s">
        <v>97</v>
      </c>
      <c r="I45" t="s">
        <v>99</v>
      </c>
      <c r="J45" t="s">
        <v>100</v>
      </c>
      <c r="K45" t="s">
        <v>101</v>
      </c>
      <c r="L45" t="s">
        <v>102</v>
      </c>
      <c r="M45" t="s">
        <v>168</v>
      </c>
      <c r="N45" t="s">
        <v>136</v>
      </c>
      <c r="O45" t="s">
        <v>105</v>
      </c>
      <c r="P45" t="s">
        <v>125</v>
      </c>
      <c r="Q45" t="s">
        <v>102</v>
      </c>
      <c r="S45">
        <v>5</v>
      </c>
      <c r="T45">
        <v>5</v>
      </c>
      <c r="U45">
        <v>4</v>
      </c>
      <c r="V45">
        <v>4</v>
      </c>
      <c r="W45">
        <v>4</v>
      </c>
      <c r="X45">
        <v>5</v>
      </c>
      <c r="Y45">
        <v>5</v>
      </c>
      <c r="Z45">
        <v>5</v>
      </c>
      <c r="AA45">
        <v>5</v>
      </c>
      <c r="AB45">
        <v>4</v>
      </c>
      <c r="AC45">
        <v>4</v>
      </c>
      <c r="AD45">
        <v>4</v>
      </c>
      <c r="AE45">
        <v>5</v>
      </c>
      <c r="AF45">
        <v>3</v>
      </c>
      <c r="AG45">
        <v>4</v>
      </c>
      <c r="AH45">
        <v>1</v>
      </c>
      <c r="AI45">
        <v>2</v>
      </c>
      <c r="AJ45">
        <v>1</v>
      </c>
      <c r="AK45">
        <v>1</v>
      </c>
      <c r="AL45" t="s">
        <v>175</v>
      </c>
      <c r="AM45" t="s">
        <v>182</v>
      </c>
    </row>
    <row r="46" spans="1:39" x14ac:dyDescent="0.3">
      <c r="A46">
        <v>45</v>
      </c>
      <c r="B46" t="s">
        <v>121</v>
      </c>
      <c r="C46" t="s">
        <v>94</v>
      </c>
      <c r="D46" t="s">
        <v>95</v>
      </c>
      <c r="E46" t="s">
        <v>212</v>
      </c>
      <c r="F46" t="s">
        <v>98</v>
      </c>
      <c r="G46" t="s">
        <v>61</v>
      </c>
      <c r="H46" t="s">
        <v>98</v>
      </c>
      <c r="I46" t="s">
        <v>144</v>
      </c>
      <c r="J46" t="s">
        <v>123</v>
      </c>
      <c r="K46" t="s">
        <v>124</v>
      </c>
      <c r="L46" t="s">
        <v>102</v>
      </c>
      <c r="M46" t="s">
        <v>240</v>
      </c>
      <c r="N46" t="s">
        <v>136</v>
      </c>
      <c r="O46" t="s">
        <v>105</v>
      </c>
      <c r="P46" t="s">
        <v>106</v>
      </c>
      <c r="Q46" t="s">
        <v>102</v>
      </c>
      <c r="S46">
        <v>4</v>
      </c>
      <c r="T46">
        <v>3</v>
      </c>
      <c r="U46">
        <v>3</v>
      </c>
      <c r="V46">
        <v>3</v>
      </c>
      <c r="W46">
        <v>3</v>
      </c>
      <c r="X46">
        <v>4</v>
      </c>
      <c r="Y46">
        <v>4</v>
      </c>
      <c r="Z46">
        <v>4</v>
      </c>
      <c r="AA46">
        <v>4</v>
      </c>
      <c r="AB46">
        <v>3</v>
      </c>
      <c r="AC46">
        <v>4</v>
      </c>
      <c r="AD46">
        <v>3</v>
      </c>
      <c r="AE46">
        <v>4</v>
      </c>
      <c r="AF46">
        <v>3</v>
      </c>
      <c r="AG46">
        <v>4</v>
      </c>
      <c r="AH46">
        <v>1</v>
      </c>
      <c r="AI46">
        <v>3</v>
      </c>
      <c r="AJ46">
        <v>2</v>
      </c>
      <c r="AK46">
        <v>1</v>
      </c>
      <c r="AL46" t="s">
        <v>159</v>
      </c>
      <c r="AM46" t="s">
        <v>241</v>
      </c>
    </row>
    <row r="47" spans="1:39" x14ac:dyDescent="0.3">
      <c r="A47">
        <v>46</v>
      </c>
      <c r="B47" t="s">
        <v>112</v>
      </c>
      <c r="C47" t="s">
        <v>94</v>
      </c>
      <c r="D47" t="s">
        <v>95</v>
      </c>
      <c r="E47" t="s">
        <v>148</v>
      </c>
      <c r="F47" t="s">
        <v>98</v>
      </c>
      <c r="G47" t="s">
        <v>61</v>
      </c>
      <c r="H47" t="s">
        <v>98</v>
      </c>
      <c r="I47" t="s">
        <v>144</v>
      </c>
      <c r="J47" t="s">
        <v>123</v>
      </c>
      <c r="K47" t="s">
        <v>124</v>
      </c>
      <c r="L47" t="s">
        <v>102</v>
      </c>
      <c r="M47" t="s">
        <v>240</v>
      </c>
      <c r="N47" t="s">
        <v>136</v>
      </c>
      <c r="O47" t="s">
        <v>105</v>
      </c>
      <c r="P47" t="s">
        <v>106</v>
      </c>
      <c r="Q47" t="s">
        <v>102</v>
      </c>
      <c r="S47">
        <v>3</v>
      </c>
      <c r="T47">
        <v>3</v>
      </c>
      <c r="U47">
        <v>3</v>
      </c>
      <c r="V47">
        <v>3</v>
      </c>
      <c r="W47">
        <v>3</v>
      </c>
      <c r="X47">
        <v>4</v>
      </c>
      <c r="Y47">
        <v>4</v>
      </c>
      <c r="Z47">
        <v>4</v>
      </c>
      <c r="AA47">
        <v>4</v>
      </c>
      <c r="AB47">
        <v>3</v>
      </c>
      <c r="AC47">
        <v>3</v>
      </c>
      <c r="AD47">
        <v>3</v>
      </c>
      <c r="AE47">
        <v>4</v>
      </c>
      <c r="AF47">
        <v>4</v>
      </c>
      <c r="AG47">
        <v>4</v>
      </c>
      <c r="AH47">
        <v>2</v>
      </c>
      <c r="AI47">
        <v>4</v>
      </c>
      <c r="AJ47">
        <v>3</v>
      </c>
      <c r="AK47">
        <v>2</v>
      </c>
      <c r="AL47" t="s">
        <v>159</v>
      </c>
      <c r="AM47" t="s">
        <v>242</v>
      </c>
    </row>
    <row r="48" spans="1:39" x14ac:dyDescent="0.3">
      <c r="A48">
        <v>47</v>
      </c>
      <c r="B48" t="s">
        <v>121</v>
      </c>
      <c r="C48" t="s">
        <v>133</v>
      </c>
      <c r="D48" t="s">
        <v>95</v>
      </c>
      <c r="E48" t="s">
        <v>143</v>
      </c>
      <c r="F48" t="s">
        <v>98</v>
      </c>
      <c r="G48" t="s">
        <v>62</v>
      </c>
      <c r="H48" t="s">
        <v>98</v>
      </c>
      <c r="I48" t="s">
        <v>114</v>
      </c>
      <c r="J48" t="s">
        <v>100</v>
      </c>
      <c r="K48" t="s">
        <v>201</v>
      </c>
      <c r="L48" t="s">
        <v>102</v>
      </c>
      <c r="M48" t="s">
        <v>168</v>
      </c>
      <c r="N48" t="s">
        <v>136</v>
      </c>
      <c r="O48" t="s">
        <v>105</v>
      </c>
      <c r="P48" t="s">
        <v>125</v>
      </c>
      <c r="Q48" t="s">
        <v>102</v>
      </c>
      <c r="S48">
        <v>5</v>
      </c>
      <c r="T48">
        <v>5</v>
      </c>
      <c r="U48">
        <v>5</v>
      </c>
      <c r="V48">
        <v>4</v>
      </c>
      <c r="W48">
        <v>4</v>
      </c>
      <c r="X48">
        <v>5</v>
      </c>
      <c r="Y48">
        <v>4</v>
      </c>
      <c r="Z48">
        <v>5</v>
      </c>
      <c r="AA48">
        <v>5</v>
      </c>
      <c r="AB48">
        <v>3</v>
      </c>
      <c r="AC48">
        <v>4</v>
      </c>
      <c r="AD48">
        <v>3</v>
      </c>
      <c r="AE48">
        <v>4</v>
      </c>
      <c r="AF48">
        <v>3</v>
      </c>
      <c r="AG48">
        <v>4</v>
      </c>
      <c r="AH48">
        <v>1</v>
      </c>
      <c r="AI48">
        <v>1</v>
      </c>
      <c r="AJ48">
        <v>1</v>
      </c>
      <c r="AK48">
        <v>1</v>
      </c>
      <c r="AL48" t="s">
        <v>209</v>
      </c>
      <c r="AM48" t="s">
        <v>244</v>
      </c>
    </row>
    <row r="49" spans="1:39" x14ac:dyDescent="0.3">
      <c r="A49">
        <v>48</v>
      </c>
      <c r="B49" t="s">
        <v>109</v>
      </c>
      <c r="C49" t="s">
        <v>94</v>
      </c>
      <c r="D49" t="s">
        <v>111</v>
      </c>
      <c r="E49" t="s">
        <v>243</v>
      </c>
      <c r="F49" t="s">
        <v>98</v>
      </c>
      <c r="G49" t="s">
        <v>62</v>
      </c>
      <c r="H49" t="s">
        <v>98</v>
      </c>
      <c r="I49" t="s">
        <v>114</v>
      </c>
      <c r="J49" t="s">
        <v>100</v>
      </c>
      <c r="K49" t="s">
        <v>201</v>
      </c>
      <c r="L49" t="s">
        <v>102</v>
      </c>
      <c r="M49" t="s">
        <v>168</v>
      </c>
      <c r="N49" t="s">
        <v>136</v>
      </c>
      <c r="O49" t="s">
        <v>105</v>
      </c>
      <c r="P49" t="s">
        <v>125</v>
      </c>
      <c r="Q49" t="s">
        <v>102</v>
      </c>
      <c r="S49">
        <v>5</v>
      </c>
      <c r="T49">
        <v>4</v>
      </c>
      <c r="U49">
        <v>4</v>
      </c>
      <c r="V49">
        <v>4</v>
      </c>
      <c r="W49">
        <v>4</v>
      </c>
      <c r="X49">
        <v>5</v>
      </c>
      <c r="Y49">
        <v>4</v>
      </c>
      <c r="Z49">
        <v>5</v>
      </c>
      <c r="AA49">
        <v>4</v>
      </c>
      <c r="AB49">
        <v>3</v>
      </c>
      <c r="AC49">
        <v>4</v>
      </c>
      <c r="AD49">
        <v>3</v>
      </c>
      <c r="AE49">
        <v>4</v>
      </c>
      <c r="AF49">
        <v>3</v>
      </c>
      <c r="AG49">
        <v>3</v>
      </c>
      <c r="AH49">
        <v>1</v>
      </c>
      <c r="AI49">
        <v>1</v>
      </c>
      <c r="AJ49">
        <v>1</v>
      </c>
      <c r="AK49">
        <v>1</v>
      </c>
      <c r="AL49" t="s">
        <v>209</v>
      </c>
      <c r="AM49" t="s">
        <v>244</v>
      </c>
    </row>
    <row r="50" spans="1:39" x14ac:dyDescent="0.3">
      <c r="A50">
        <v>49</v>
      </c>
      <c r="B50" t="s">
        <v>169</v>
      </c>
      <c r="C50" t="s">
        <v>94</v>
      </c>
      <c r="D50" t="s">
        <v>95</v>
      </c>
      <c r="E50" t="s">
        <v>148</v>
      </c>
      <c r="F50" t="s">
        <v>97</v>
      </c>
      <c r="G50" t="s">
        <v>63</v>
      </c>
      <c r="H50" t="s">
        <v>97</v>
      </c>
      <c r="I50" t="s">
        <v>99</v>
      </c>
      <c r="J50" t="s">
        <v>100</v>
      </c>
      <c r="K50" t="s">
        <v>183</v>
      </c>
      <c r="L50" t="s">
        <v>102</v>
      </c>
      <c r="M50" t="s">
        <v>184</v>
      </c>
      <c r="N50" t="s">
        <v>136</v>
      </c>
      <c r="O50" t="s">
        <v>105</v>
      </c>
      <c r="P50" t="s">
        <v>106</v>
      </c>
      <c r="Q50" t="s">
        <v>102</v>
      </c>
      <c r="S50">
        <v>4</v>
      </c>
      <c r="T50">
        <v>4</v>
      </c>
      <c r="U50">
        <v>4</v>
      </c>
      <c r="V50">
        <v>3</v>
      </c>
      <c r="W50">
        <v>3</v>
      </c>
      <c r="X50">
        <v>3</v>
      </c>
      <c r="Y50">
        <v>4</v>
      </c>
      <c r="Z50">
        <v>3</v>
      </c>
      <c r="AA50">
        <v>4</v>
      </c>
      <c r="AB50">
        <v>3</v>
      </c>
      <c r="AC50">
        <v>3</v>
      </c>
      <c r="AD50">
        <v>3</v>
      </c>
      <c r="AE50">
        <v>4</v>
      </c>
      <c r="AF50">
        <v>4</v>
      </c>
      <c r="AG50">
        <v>4</v>
      </c>
      <c r="AH50">
        <v>2</v>
      </c>
      <c r="AI50">
        <v>3</v>
      </c>
      <c r="AJ50">
        <v>2</v>
      </c>
      <c r="AK50">
        <v>2</v>
      </c>
      <c r="AL50" t="s">
        <v>185</v>
      </c>
      <c r="AM50" t="s">
        <v>186</v>
      </c>
    </row>
    <row r="51" spans="1:39" x14ac:dyDescent="0.3">
      <c r="A51">
        <v>50</v>
      </c>
      <c r="B51" t="s">
        <v>121</v>
      </c>
      <c r="C51" t="s">
        <v>133</v>
      </c>
      <c r="D51" t="s">
        <v>95</v>
      </c>
      <c r="E51" t="s">
        <v>187</v>
      </c>
      <c r="F51" t="s">
        <v>97</v>
      </c>
      <c r="G51" t="s">
        <v>63</v>
      </c>
      <c r="H51" t="s">
        <v>97</v>
      </c>
      <c r="I51" t="s">
        <v>99</v>
      </c>
      <c r="J51" t="s">
        <v>100</v>
      </c>
      <c r="K51" t="s">
        <v>183</v>
      </c>
      <c r="L51" t="s">
        <v>102</v>
      </c>
      <c r="M51" t="s">
        <v>188</v>
      </c>
      <c r="N51" t="s">
        <v>136</v>
      </c>
      <c r="O51" t="s">
        <v>105</v>
      </c>
      <c r="P51" t="s">
        <v>106</v>
      </c>
      <c r="Q51" t="s">
        <v>102</v>
      </c>
      <c r="S51">
        <v>5</v>
      </c>
      <c r="T51">
        <v>4</v>
      </c>
      <c r="U51">
        <v>3</v>
      </c>
      <c r="V51">
        <v>3</v>
      </c>
      <c r="W51">
        <v>4</v>
      </c>
      <c r="X51">
        <v>4</v>
      </c>
      <c r="Y51">
        <v>3</v>
      </c>
      <c r="Z51">
        <v>3</v>
      </c>
      <c r="AA51">
        <v>5</v>
      </c>
      <c r="AB51">
        <v>4</v>
      </c>
      <c r="AC51">
        <v>3</v>
      </c>
      <c r="AD51">
        <v>3</v>
      </c>
      <c r="AE51">
        <v>3</v>
      </c>
      <c r="AF51">
        <v>4</v>
      </c>
      <c r="AG51">
        <v>3</v>
      </c>
      <c r="AH51">
        <v>3</v>
      </c>
      <c r="AI51">
        <v>3</v>
      </c>
      <c r="AJ51">
        <v>3</v>
      </c>
      <c r="AK51">
        <v>3</v>
      </c>
      <c r="AL51" t="s">
        <v>190</v>
      </c>
      <c r="AM51" t="s">
        <v>189</v>
      </c>
    </row>
    <row r="52" spans="1:39" x14ac:dyDescent="0.3">
      <c r="A52">
        <v>51</v>
      </c>
      <c r="B52" t="s">
        <v>121</v>
      </c>
      <c r="C52" t="s">
        <v>133</v>
      </c>
      <c r="D52" t="s">
        <v>111</v>
      </c>
      <c r="E52" t="s">
        <v>148</v>
      </c>
      <c r="F52" t="s">
        <v>97</v>
      </c>
      <c r="G52" t="s">
        <v>64</v>
      </c>
      <c r="H52" t="s">
        <v>97</v>
      </c>
      <c r="I52" t="s">
        <v>99</v>
      </c>
      <c r="J52" t="s">
        <v>100</v>
      </c>
      <c r="K52" t="s">
        <v>191</v>
      </c>
      <c r="L52" t="s">
        <v>102</v>
      </c>
      <c r="M52" t="s">
        <v>192</v>
      </c>
      <c r="N52" t="s">
        <v>136</v>
      </c>
      <c r="O52" t="s">
        <v>146</v>
      </c>
      <c r="P52" t="s">
        <v>125</v>
      </c>
      <c r="Q52" t="s">
        <v>105</v>
      </c>
      <c r="R52" t="s">
        <v>137</v>
      </c>
      <c r="S52">
        <v>5</v>
      </c>
      <c r="T52">
        <v>4</v>
      </c>
      <c r="U52">
        <v>5</v>
      </c>
      <c r="V52">
        <v>4</v>
      </c>
      <c r="W52">
        <v>4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3</v>
      </c>
      <c r="AF52">
        <v>3</v>
      </c>
      <c r="AG52">
        <v>3</v>
      </c>
      <c r="AH52">
        <v>2</v>
      </c>
      <c r="AI52">
        <v>2</v>
      </c>
      <c r="AJ52">
        <v>2</v>
      </c>
      <c r="AK52">
        <v>2</v>
      </c>
      <c r="AL52" t="s">
        <v>194</v>
      </c>
      <c r="AM52" t="s">
        <v>108</v>
      </c>
    </row>
    <row r="53" spans="1:39" x14ac:dyDescent="0.3">
      <c r="A53">
        <v>52</v>
      </c>
      <c r="B53" t="s">
        <v>109</v>
      </c>
      <c r="C53" t="s">
        <v>94</v>
      </c>
      <c r="D53" t="s">
        <v>111</v>
      </c>
      <c r="E53" t="s">
        <v>195</v>
      </c>
      <c r="F53" t="s">
        <v>97</v>
      </c>
      <c r="G53" t="s">
        <v>64</v>
      </c>
      <c r="H53" t="s">
        <v>97</v>
      </c>
      <c r="I53" t="s">
        <v>99</v>
      </c>
      <c r="J53" t="s">
        <v>100</v>
      </c>
      <c r="K53" t="s">
        <v>191</v>
      </c>
      <c r="L53" t="s">
        <v>102</v>
      </c>
      <c r="M53" t="s">
        <v>192</v>
      </c>
      <c r="N53" t="s">
        <v>136</v>
      </c>
      <c r="O53" t="s">
        <v>146</v>
      </c>
      <c r="P53" t="s">
        <v>125</v>
      </c>
      <c r="Q53" t="s">
        <v>105</v>
      </c>
      <c r="R53" t="s">
        <v>137</v>
      </c>
      <c r="S53">
        <v>5</v>
      </c>
      <c r="T53">
        <v>4</v>
      </c>
      <c r="U53">
        <v>4</v>
      </c>
      <c r="V53">
        <v>4</v>
      </c>
      <c r="W53">
        <v>4</v>
      </c>
      <c r="X53">
        <v>4</v>
      </c>
      <c r="Y53">
        <v>5</v>
      </c>
      <c r="Z53">
        <v>5</v>
      </c>
      <c r="AA53">
        <v>5</v>
      </c>
      <c r="AB53">
        <v>4</v>
      </c>
      <c r="AC53">
        <v>4</v>
      </c>
      <c r="AD53">
        <v>4</v>
      </c>
      <c r="AE53">
        <v>3</v>
      </c>
      <c r="AF53">
        <v>3</v>
      </c>
      <c r="AG53">
        <v>3</v>
      </c>
      <c r="AH53">
        <v>2</v>
      </c>
      <c r="AI53">
        <v>3</v>
      </c>
      <c r="AJ53">
        <v>2</v>
      </c>
      <c r="AK53">
        <v>2</v>
      </c>
      <c r="AL53" t="s">
        <v>194</v>
      </c>
      <c r="AM53" t="s">
        <v>108</v>
      </c>
    </row>
    <row r="54" spans="1:39" x14ac:dyDescent="0.3">
      <c r="A54">
        <v>53</v>
      </c>
      <c r="B54" t="s">
        <v>121</v>
      </c>
      <c r="C54" t="s">
        <v>133</v>
      </c>
      <c r="D54" t="s">
        <v>111</v>
      </c>
      <c r="E54" t="s">
        <v>160</v>
      </c>
      <c r="F54" t="s">
        <v>97</v>
      </c>
      <c r="G54" t="s">
        <v>65</v>
      </c>
      <c r="H54" t="s">
        <v>97</v>
      </c>
      <c r="I54" t="s">
        <v>99</v>
      </c>
      <c r="J54" t="s">
        <v>100</v>
      </c>
      <c r="K54" t="s">
        <v>177</v>
      </c>
      <c r="L54" t="s">
        <v>102</v>
      </c>
      <c r="M54" t="s">
        <v>168</v>
      </c>
      <c r="N54" t="s">
        <v>136</v>
      </c>
      <c r="O54" t="s">
        <v>146</v>
      </c>
      <c r="P54" t="s">
        <v>166</v>
      </c>
      <c r="Q54" t="s">
        <v>102</v>
      </c>
      <c r="S54">
        <v>4</v>
      </c>
      <c r="T54">
        <v>4</v>
      </c>
      <c r="U54">
        <v>4</v>
      </c>
      <c r="V54">
        <v>4</v>
      </c>
      <c r="W54">
        <v>4</v>
      </c>
      <c r="X54">
        <v>5</v>
      </c>
      <c r="Y54">
        <v>5</v>
      </c>
      <c r="Z54">
        <v>5</v>
      </c>
      <c r="AA54">
        <v>5</v>
      </c>
      <c r="AB54">
        <v>3</v>
      </c>
      <c r="AC54">
        <v>3</v>
      </c>
      <c r="AD54">
        <v>3</v>
      </c>
      <c r="AE54">
        <v>4</v>
      </c>
      <c r="AF54">
        <v>4</v>
      </c>
      <c r="AG54">
        <v>4</v>
      </c>
      <c r="AH54">
        <v>2</v>
      </c>
      <c r="AI54">
        <v>3</v>
      </c>
      <c r="AJ54">
        <v>2</v>
      </c>
      <c r="AK54">
        <v>2</v>
      </c>
      <c r="AL54" t="s">
        <v>197</v>
      </c>
      <c r="AM54" t="s">
        <v>196</v>
      </c>
    </row>
    <row r="55" spans="1:39" x14ac:dyDescent="0.3">
      <c r="A55">
        <v>54</v>
      </c>
      <c r="B55" t="s">
        <v>169</v>
      </c>
      <c r="C55" t="s">
        <v>94</v>
      </c>
      <c r="D55" t="s">
        <v>111</v>
      </c>
      <c r="E55" t="s">
        <v>160</v>
      </c>
      <c r="F55" t="s">
        <v>97</v>
      </c>
      <c r="G55" t="s">
        <v>65</v>
      </c>
      <c r="H55" t="s">
        <v>97</v>
      </c>
      <c r="I55" t="s">
        <v>99</v>
      </c>
      <c r="J55" t="s">
        <v>100</v>
      </c>
      <c r="K55" t="s">
        <v>177</v>
      </c>
      <c r="L55" t="s">
        <v>102</v>
      </c>
      <c r="M55" t="s">
        <v>168</v>
      </c>
      <c r="N55" t="s">
        <v>136</v>
      </c>
      <c r="O55" t="s">
        <v>146</v>
      </c>
      <c r="P55" t="s">
        <v>166</v>
      </c>
      <c r="Q55" t="s">
        <v>102</v>
      </c>
      <c r="S55">
        <v>5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5</v>
      </c>
      <c r="AA55">
        <v>4</v>
      </c>
      <c r="AB55">
        <v>4</v>
      </c>
      <c r="AC55">
        <v>3</v>
      </c>
      <c r="AD55">
        <v>3</v>
      </c>
      <c r="AE55">
        <v>4</v>
      </c>
      <c r="AF55">
        <v>3</v>
      </c>
      <c r="AG55">
        <v>4</v>
      </c>
      <c r="AH55">
        <v>1</v>
      </c>
      <c r="AI55">
        <v>4</v>
      </c>
      <c r="AJ55">
        <v>2</v>
      </c>
      <c r="AK55">
        <v>1</v>
      </c>
      <c r="AL55" t="s">
        <v>197</v>
      </c>
      <c r="AM55" t="s">
        <v>196</v>
      </c>
    </row>
    <row r="56" spans="1:39" x14ac:dyDescent="0.3">
      <c r="A56">
        <v>55</v>
      </c>
      <c r="B56" t="s">
        <v>121</v>
      </c>
      <c r="C56" t="s">
        <v>94</v>
      </c>
      <c r="D56" t="s">
        <v>95</v>
      </c>
      <c r="E56" t="s">
        <v>148</v>
      </c>
      <c r="F56" t="s">
        <v>98</v>
      </c>
      <c r="G56" t="s">
        <v>66</v>
      </c>
      <c r="H56" t="s">
        <v>98</v>
      </c>
      <c r="I56" t="s">
        <v>114</v>
      </c>
      <c r="J56" t="s">
        <v>100</v>
      </c>
      <c r="K56" t="s">
        <v>177</v>
      </c>
      <c r="L56" t="s">
        <v>102</v>
      </c>
      <c r="M56" t="s">
        <v>245</v>
      </c>
      <c r="N56" t="s">
        <v>136</v>
      </c>
      <c r="O56" t="s">
        <v>105</v>
      </c>
      <c r="P56" t="s">
        <v>106</v>
      </c>
      <c r="Q56" t="s">
        <v>102</v>
      </c>
      <c r="S56">
        <v>4</v>
      </c>
      <c r="T56">
        <v>3</v>
      </c>
      <c r="U56">
        <v>3</v>
      </c>
      <c r="V56">
        <v>4</v>
      </c>
      <c r="W56">
        <v>4</v>
      </c>
      <c r="X56">
        <v>5</v>
      </c>
      <c r="Y56">
        <v>4</v>
      </c>
      <c r="Z56">
        <v>5</v>
      </c>
      <c r="AA56">
        <v>4</v>
      </c>
      <c r="AB56">
        <v>3</v>
      </c>
      <c r="AC56">
        <v>3</v>
      </c>
      <c r="AD56">
        <v>3</v>
      </c>
      <c r="AE56">
        <v>4</v>
      </c>
      <c r="AF56">
        <v>3</v>
      </c>
      <c r="AG56">
        <v>4</v>
      </c>
      <c r="AH56">
        <v>2</v>
      </c>
      <c r="AI56">
        <v>4</v>
      </c>
      <c r="AJ56">
        <v>3</v>
      </c>
      <c r="AK56">
        <v>2</v>
      </c>
      <c r="AL56" t="s">
        <v>247</v>
      </c>
      <c r="AM56" t="s">
        <v>248</v>
      </c>
    </row>
    <row r="57" spans="1:39" x14ac:dyDescent="0.3">
      <c r="A57">
        <v>56</v>
      </c>
      <c r="B57" t="s">
        <v>109</v>
      </c>
      <c r="C57" t="s">
        <v>110</v>
      </c>
      <c r="D57" t="s">
        <v>111</v>
      </c>
      <c r="E57" t="s">
        <v>160</v>
      </c>
      <c r="F57" t="s">
        <v>98</v>
      </c>
      <c r="G57" t="s">
        <v>66</v>
      </c>
      <c r="H57" t="s">
        <v>98</v>
      </c>
      <c r="I57" t="s">
        <v>114</v>
      </c>
      <c r="J57" t="s">
        <v>100</v>
      </c>
      <c r="K57" t="s">
        <v>177</v>
      </c>
      <c r="L57" t="s">
        <v>102</v>
      </c>
      <c r="M57" t="s">
        <v>245</v>
      </c>
      <c r="N57" t="s">
        <v>136</v>
      </c>
      <c r="O57" t="s">
        <v>105</v>
      </c>
      <c r="P57" t="s">
        <v>106</v>
      </c>
      <c r="Q57" t="s">
        <v>102</v>
      </c>
      <c r="S57">
        <v>4</v>
      </c>
      <c r="T57">
        <v>4</v>
      </c>
      <c r="U57">
        <v>4</v>
      </c>
      <c r="V57">
        <v>4</v>
      </c>
      <c r="W57">
        <v>5</v>
      </c>
      <c r="X57">
        <v>4</v>
      </c>
      <c r="Y57">
        <v>4</v>
      </c>
      <c r="Z57">
        <v>5</v>
      </c>
      <c r="AA57">
        <v>5</v>
      </c>
      <c r="AB57">
        <v>3</v>
      </c>
      <c r="AC57">
        <v>3</v>
      </c>
      <c r="AD57">
        <v>3</v>
      </c>
      <c r="AE57">
        <v>4</v>
      </c>
      <c r="AF57">
        <v>4</v>
      </c>
      <c r="AG57">
        <v>4</v>
      </c>
      <c r="AH57">
        <v>1</v>
      </c>
      <c r="AI57">
        <v>3</v>
      </c>
      <c r="AJ57">
        <v>2</v>
      </c>
      <c r="AK57">
        <v>1</v>
      </c>
      <c r="AL57" t="s">
        <v>247</v>
      </c>
      <c r="AM57" t="s">
        <v>242</v>
      </c>
    </row>
    <row r="58" spans="1:39" x14ac:dyDescent="0.3">
      <c r="A58">
        <v>57</v>
      </c>
      <c r="B58" t="s">
        <v>121</v>
      </c>
      <c r="C58" t="s">
        <v>133</v>
      </c>
      <c r="D58" t="s">
        <v>111</v>
      </c>
      <c r="E58" t="s">
        <v>212</v>
      </c>
      <c r="F58" t="s">
        <v>98</v>
      </c>
      <c r="G58" t="s">
        <v>67</v>
      </c>
      <c r="H58" t="s">
        <v>98</v>
      </c>
      <c r="I58" t="s">
        <v>114</v>
      </c>
      <c r="J58" t="s">
        <v>100</v>
      </c>
      <c r="K58" t="s">
        <v>177</v>
      </c>
      <c r="L58" t="s">
        <v>102</v>
      </c>
      <c r="M58" t="s">
        <v>168</v>
      </c>
      <c r="N58" t="s">
        <v>136</v>
      </c>
      <c r="O58" t="s">
        <v>105</v>
      </c>
      <c r="P58" t="s">
        <v>125</v>
      </c>
      <c r="Q58" t="s">
        <v>102</v>
      </c>
      <c r="S58">
        <v>5</v>
      </c>
      <c r="T58">
        <v>4</v>
      </c>
      <c r="U58">
        <v>5</v>
      </c>
      <c r="V58">
        <v>4</v>
      </c>
      <c r="W58">
        <v>3</v>
      </c>
      <c r="X58">
        <v>5</v>
      </c>
      <c r="Y58">
        <v>4</v>
      </c>
      <c r="Z58">
        <v>5</v>
      </c>
      <c r="AA58">
        <v>4</v>
      </c>
      <c r="AB58">
        <v>3</v>
      </c>
      <c r="AC58">
        <v>3</v>
      </c>
      <c r="AD58">
        <v>3</v>
      </c>
      <c r="AE58">
        <v>3</v>
      </c>
      <c r="AF58">
        <v>3</v>
      </c>
      <c r="AG58">
        <v>4</v>
      </c>
      <c r="AH58">
        <v>1</v>
      </c>
      <c r="AI58">
        <v>3</v>
      </c>
      <c r="AJ58">
        <v>2</v>
      </c>
      <c r="AK58">
        <v>1</v>
      </c>
      <c r="AL58" t="s">
        <v>247</v>
      </c>
      <c r="AM58" t="s">
        <v>108</v>
      </c>
    </row>
    <row r="59" spans="1:39" x14ac:dyDescent="0.3">
      <c r="A59">
        <v>58</v>
      </c>
      <c r="B59" t="s">
        <v>93</v>
      </c>
      <c r="C59" t="s">
        <v>133</v>
      </c>
      <c r="D59" t="s">
        <v>111</v>
      </c>
      <c r="E59" t="s">
        <v>212</v>
      </c>
      <c r="F59" t="s">
        <v>98</v>
      </c>
      <c r="G59" t="s">
        <v>67</v>
      </c>
      <c r="H59" t="s">
        <v>98</v>
      </c>
      <c r="I59" t="s">
        <v>114</v>
      </c>
      <c r="J59" t="s">
        <v>100</v>
      </c>
      <c r="K59" t="s">
        <v>177</v>
      </c>
      <c r="L59" t="s">
        <v>102</v>
      </c>
      <c r="M59" t="s">
        <v>168</v>
      </c>
      <c r="N59" t="s">
        <v>136</v>
      </c>
      <c r="O59" t="s">
        <v>105</v>
      </c>
      <c r="P59" t="s">
        <v>125</v>
      </c>
      <c r="Q59" t="s">
        <v>102</v>
      </c>
      <c r="S59">
        <v>5</v>
      </c>
      <c r="T59">
        <v>5</v>
      </c>
      <c r="U59">
        <v>5</v>
      </c>
      <c r="V59">
        <v>4</v>
      </c>
      <c r="W59">
        <v>4</v>
      </c>
      <c r="X59">
        <v>4</v>
      </c>
      <c r="Y59">
        <v>5</v>
      </c>
      <c r="Z59">
        <v>5</v>
      </c>
      <c r="AA59">
        <v>5</v>
      </c>
      <c r="AB59">
        <v>3</v>
      </c>
      <c r="AC59">
        <v>3</v>
      </c>
      <c r="AD59">
        <v>3</v>
      </c>
      <c r="AE59">
        <v>4</v>
      </c>
      <c r="AF59">
        <v>3</v>
      </c>
      <c r="AG59">
        <v>4</v>
      </c>
      <c r="AH59">
        <v>2</v>
      </c>
      <c r="AI59">
        <v>4</v>
      </c>
      <c r="AJ59">
        <v>2</v>
      </c>
      <c r="AK59">
        <v>2</v>
      </c>
      <c r="AL59" t="s">
        <v>199</v>
      </c>
      <c r="AM59" t="s">
        <v>249</v>
      </c>
    </row>
    <row r="60" spans="1:39" x14ac:dyDescent="0.3">
      <c r="A60">
        <v>59</v>
      </c>
      <c r="B60" t="s">
        <v>121</v>
      </c>
      <c r="C60" t="s">
        <v>110</v>
      </c>
      <c r="D60" t="s">
        <v>95</v>
      </c>
      <c r="E60" t="s">
        <v>134</v>
      </c>
      <c r="F60" t="s">
        <v>98</v>
      </c>
      <c r="G60" t="s">
        <v>68</v>
      </c>
      <c r="H60" t="s">
        <v>98</v>
      </c>
      <c r="I60" t="s">
        <v>114</v>
      </c>
      <c r="J60" t="s">
        <v>100</v>
      </c>
      <c r="K60" t="s">
        <v>177</v>
      </c>
      <c r="L60" t="s">
        <v>102</v>
      </c>
      <c r="M60" t="s">
        <v>250</v>
      </c>
      <c r="N60" t="s">
        <v>136</v>
      </c>
      <c r="O60" t="s">
        <v>105</v>
      </c>
      <c r="P60" t="s">
        <v>106</v>
      </c>
      <c r="Q60" t="s">
        <v>102</v>
      </c>
      <c r="S60">
        <v>3</v>
      </c>
      <c r="T60">
        <v>4</v>
      </c>
      <c r="U60">
        <v>3</v>
      </c>
      <c r="V60">
        <v>3</v>
      </c>
      <c r="W60">
        <v>3</v>
      </c>
      <c r="X60">
        <v>4</v>
      </c>
      <c r="Y60">
        <v>3</v>
      </c>
      <c r="Z60">
        <v>4</v>
      </c>
      <c r="AA60">
        <v>3</v>
      </c>
      <c r="AB60">
        <v>2</v>
      </c>
      <c r="AC60">
        <v>3</v>
      </c>
      <c r="AD60">
        <v>3</v>
      </c>
      <c r="AE60">
        <v>3</v>
      </c>
      <c r="AF60">
        <v>3</v>
      </c>
      <c r="AG60">
        <v>4</v>
      </c>
      <c r="AH60">
        <v>3</v>
      </c>
      <c r="AI60">
        <v>4</v>
      </c>
      <c r="AJ60">
        <v>3</v>
      </c>
      <c r="AK60">
        <v>3</v>
      </c>
      <c r="AL60" t="s">
        <v>246</v>
      </c>
      <c r="AM60" t="s">
        <v>251</v>
      </c>
    </row>
    <row r="61" spans="1:39" x14ac:dyDescent="0.3">
      <c r="A61">
        <v>60</v>
      </c>
      <c r="B61" t="s">
        <v>129</v>
      </c>
      <c r="C61" t="s">
        <v>110</v>
      </c>
      <c r="D61" t="s">
        <v>111</v>
      </c>
      <c r="E61" t="s">
        <v>160</v>
      </c>
      <c r="F61" t="s">
        <v>98</v>
      </c>
      <c r="G61" t="s">
        <v>68</v>
      </c>
      <c r="H61" t="s">
        <v>98</v>
      </c>
      <c r="I61" t="s">
        <v>114</v>
      </c>
      <c r="J61" t="s">
        <v>100</v>
      </c>
      <c r="K61" t="s">
        <v>177</v>
      </c>
      <c r="L61" t="s">
        <v>102</v>
      </c>
      <c r="M61" t="s">
        <v>250</v>
      </c>
      <c r="N61" t="s">
        <v>136</v>
      </c>
      <c r="O61" t="s">
        <v>105</v>
      </c>
      <c r="P61" t="s">
        <v>106</v>
      </c>
      <c r="Q61" t="s">
        <v>102</v>
      </c>
      <c r="S61">
        <v>4</v>
      </c>
      <c r="T61">
        <v>3</v>
      </c>
      <c r="U61">
        <v>3</v>
      </c>
      <c r="V61">
        <v>3</v>
      </c>
      <c r="W61">
        <v>4</v>
      </c>
      <c r="X61">
        <v>4</v>
      </c>
      <c r="Y61">
        <v>4</v>
      </c>
      <c r="Z61">
        <v>5</v>
      </c>
      <c r="AA61">
        <v>4</v>
      </c>
      <c r="AB61">
        <v>3</v>
      </c>
      <c r="AC61">
        <v>4</v>
      </c>
      <c r="AD61">
        <v>3</v>
      </c>
      <c r="AE61">
        <v>4</v>
      </c>
      <c r="AF61">
        <v>3</v>
      </c>
      <c r="AG61">
        <v>4</v>
      </c>
      <c r="AH61">
        <v>3</v>
      </c>
      <c r="AI61">
        <v>4</v>
      </c>
      <c r="AJ61">
        <v>3</v>
      </c>
      <c r="AK61">
        <v>3</v>
      </c>
      <c r="AL61" t="s">
        <v>246</v>
      </c>
      <c r="AM61" t="s">
        <v>252</v>
      </c>
    </row>
    <row r="62" spans="1:39" x14ac:dyDescent="0.3">
      <c r="A62">
        <v>61</v>
      </c>
      <c r="B62" t="s">
        <v>121</v>
      </c>
      <c r="C62" t="s">
        <v>133</v>
      </c>
      <c r="D62" t="s">
        <v>95</v>
      </c>
      <c r="E62" t="s">
        <v>143</v>
      </c>
      <c r="F62" t="s">
        <v>98</v>
      </c>
      <c r="G62" t="s">
        <v>69</v>
      </c>
      <c r="H62" t="s">
        <v>98</v>
      </c>
      <c r="I62" t="s">
        <v>99</v>
      </c>
      <c r="J62" t="s">
        <v>100</v>
      </c>
      <c r="K62" t="s">
        <v>177</v>
      </c>
      <c r="L62" t="s">
        <v>102</v>
      </c>
      <c r="M62" t="s">
        <v>168</v>
      </c>
      <c r="N62" t="s">
        <v>136</v>
      </c>
      <c r="O62" t="s">
        <v>105</v>
      </c>
      <c r="P62" t="s">
        <v>106</v>
      </c>
      <c r="Q62" t="s">
        <v>102</v>
      </c>
      <c r="S62">
        <v>4</v>
      </c>
      <c r="T62">
        <v>5</v>
      </c>
      <c r="U62">
        <v>4</v>
      </c>
      <c r="V62">
        <v>4</v>
      </c>
      <c r="W62">
        <v>4</v>
      </c>
      <c r="X62">
        <v>5</v>
      </c>
      <c r="Y62">
        <v>4</v>
      </c>
      <c r="Z62">
        <v>5</v>
      </c>
      <c r="AA62">
        <v>4</v>
      </c>
      <c r="AB62">
        <v>3</v>
      </c>
      <c r="AC62">
        <v>4</v>
      </c>
      <c r="AD62">
        <v>3</v>
      </c>
      <c r="AE62">
        <v>5</v>
      </c>
      <c r="AF62">
        <v>4</v>
      </c>
      <c r="AG62">
        <v>5</v>
      </c>
      <c r="AH62">
        <v>2</v>
      </c>
      <c r="AI62">
        <v>3</v>
      </c>
      <c r="AJ62">
        <v>2</v>
      </c>
      <c r="AK62">
        <v>2</v>
      </c>
      <c r="AL62" t="s">
        <v>159</v>
      </c>
      <c r="AM62" t="s">
        <v>203</v>
      </c>
    </row>
    <row r="63" spans="1:39" x14ac:dyDescent="0.3">
      <c r="A63">
        <v>62</v>
      </c>
      <c r="B63" t="s">
        <v>129</v>
      </c>
      <c r="C63" t="s">
        <v>94</v>
      </c>
      <c r="D63" t="s">
        <v>111</v>
      </c>
      <c r="E63" t="s">
        <v>160</v>
      </c>
      <c r="F63" t="s">
        <v>98</v>
      </c>
      <c r="G63" t="s">
        <v>69</v>
      </c>
      <c r="H63" t="s">
        <v>98</v>
      </c>
      <c r="I63" t="s">
        <v>99</v>
      </c>
      <c r="J63" t="s">
        <v>100</v>
      </c>
      <c r="K63" t="s">
        <v>177</v>
      </c>
      <c r="L63" t="s">
        <v>102</v>
      </c>
      <c r="M63" t="s">
        <v>168</v>
      </c>
      <c r="N63" t="s">
        <v>136</v>
      </c>
      <c r="O63" t="s">
        <v>105</v>
      </c>
      <c r="P63" t="s">
        <v>106</v>
      </c>
      <c r="Q63" t="s">
        <v>102</v>
      </c>
      <c r="S63">
        <v>5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5</v>
      </c>
      <c r="AA63">
        <v>5</v>
      </c>
      <c r="AB63">
        <v>4</v>
      </c>
      <c r="AC63">
        <v>3</v>
      </c>
      <c r="AD63">
        <v>3</v>
      </c>
      <c r="AE63">
        <v>5</v>
      </c>
      <c r="AF63">
        <v>4</v>
      </c>
      <c r="AG63">
        <v>5</v>
      </c>
      <c r="AH63">
        <v>2</v>
      </c>
      <c r="AI63">
        <v>4</v>
      </c>
      <c r="AJ63">
        <v>2</v>
      </c>
      <c r="AK63">
        <v>2</v>
      </c>
      <c r="AL63" t="s">
        <v>159</v>
      </c>
      <c r="AM63" t="s">
        <v>203</v>
      </c>
    </row>
    <row r="64" spans="1:39" x14ac:dyDescent="0.3">
      <c r="A64">
        <v>63</v>
      </c>
      <c r="B64" t="s">
        <v>121</v>
      </c>
      <c r="C64" t="s">
        <v>94</v>
      </c>
      <c r="D64" t="s">
        <v>111</v>
      </c>
      <c r="E64" t="s">
        <v>143</v>
      </c>
      <c r="F64" t="s">
        <v>98</v>
      </c>
      <c r="G64" t="s">
        <v>70</v>
      </c>
      <c r="H64" t="s">
        <v>98</v>
      </c>
      <c r="I64" t="s">
        <v>114</v>
      </c>
      <c r="J64" t="s">
        <v>123</v>
      </c>
      <c r="K64" t="s">
        <v>253</v>
      </c>
      <c r="L64" t="s">
        <v>102</v>
      </c>
      <c r="M64" t="s">
        <v>149</v>
      </c>
      <c r="N64" t="s">
        <v>118</v>
      </c>
      <c r="O64" t="s">
        <v>105</v>
      </c>
      <c r="P64" t="s">
        <v>106</v>
      </c>
      <c r="Q64" t="s">
        <v>102</v>
      </c>
      <c r="S64">
        <v>4</v>
      </c>
      <c r="T64">
        <v>4</v>
      </c>
      <c r="U64">
        <v>4</v>
      </c>
      <c r="V64">
        <v>3</v>
      </c>
      <c r="W64">
        <v>3</v>
      </c>
      <c r="X64">
        <v>4</v>
      </c>
      <c r="Y64">
        <v>4</v>
      </c>
      <c r="Z64">
        <v>5</v>
      </c>
      <c r="AA64">
        <v>5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4</v>
      </c>
      <c r="AH64">
        <v>3</v>
      </c>
      <c r="AI64">
        <v>3</v>
      </c>
      <c r="AJ64">
        <v>2</v>
      </c>
      <c r="AK64">
        <v>2</v>
      </c>
      <c r="AL64" t="s">
        <v>159</v>
      </c>
      <c r="AM64" t="s">
        <v>248</v>
      </c>
    </row>
    <row r="65" spans="1:39" x14ac:dyDescent="0.3">
      <c r="A65">
        <v>64</v>
      </c>
      <c r="B65" t="s">
        <v>129</v>
      </c>
      <c r="C65" t="s">
        <v>94</v>
      </c>
      <c r="D65" t="s">
        <v>111</v>
      </c>
      <c r="E65" t="s">
        <v>160</v>
      </c>
      <c r="F65" t="s">
        <v>98</v>
      </c>
      <c r="G65" t="s">
        <v>70</v>
      </c>
      <c r="H65" t="s">
        <v>98</v>
      </c>
      <c r="I65" t="s">
        <v>114</v>
      </c>
      <c r="J65" t="s">
        <v>123</v>
      </c>
      <c r="K65" t="s">
        <v>253</v>
      </c>
      <c r="L65" t="s">
        <v>102</v>
      </c>
      <c r="M65" t="s">
        <v>149</v>
      </c>
      <c r="N65" t="s">
        <v>118</v>
      </c>
      <c r="O65" t="s">
        <v>105</v>
      </c>
      <c r="P65" t="s">
        <v>106</v>
      </c>
      <c r="Q65" t="s">
        <v>102</v>
      </c>
      <c r="S65">
        <v>5</v>
      </c>
      <c r="T65">
        <v>4</v>
      </c>
      <c r="U65">
        <v>4</v>
      </c>
      <c r="V65">
        <v>4</v>
      </c>
      <c r="W65">
        <v>4</v>
      </c>
      <c r="X65">
        <v>5</v>
      </c>
      <c r="Y65">
        <v>5</v>
      </c>
      <c r="Z65">
        <v>5</v>
      </c>
      <c r="AA65">
        <v>5</v>
      </c>
      <c r="AB65">
        <v>4</v>
      </c>
      <c r="AC65">
        <v>3</v>
      </c>
      <c r="AD65">
        <v>4</v>
      </c>
      <c r="AE65">
        <v>5</v>
      </c>
      <c r="AF65">
        <v>4</v>
      </c>
      <c r="AG65">
        <v>5</v>
      </c>
      <c r="AH65">
        <v>3</v>
      </c>
      <c r="AI65">
        <v>3</v>
      </c>
      <c r="AJ65">
        <v>2</v>
      </c>
      <c r="AK65">
        <v>3</v>
      </c>
      <c r="AL65" t="s">
        <v>173</v>
      </c>
      <c r="AM65" t="s">
        <v>254</v>
      </c>
    </row>
    <row r="66" spans="1:39" x14ac:dyDescent="0.3">
      <c r="A66">
        <v>65</v>
      </c>
      <c r="B66" t="s">
        <v>109</v>
      </c>
      <c r="C66" t="s">
        <v>94</v>
      </c>
      <c r="D66" t="s">
        <v>111</v>
      </c>
      <c r="E66" t="s">
        <v>122</v>
      </c>
      <c r="F66" t="s">
        <v>98</v>
      </c>
      <c r="G66" t="s">
        <v>71</v>
      </c>
      <c r="H66" t="s">
        <v>97</v>
      </c>
      <c r="I66" t="s">
        <v>99</v>
      </c>
      <c r="J66" t="s">
        <v>123</v>
      </c>
      <c r="K66" t="s">
        <v>124</v>
      </c>
      <c r="L66" t="s">
        <v>102</v>
      </c>
      <c r="M66" t="s">
        <v>198</v>
      </c>
      <c r="N66" t="s">
        <v>136</v>
      </c>
      <c r="O66" t="s">
        <v>105</v>
      </c>
      <c r="P66" t="s">
        <v>166</v>
      </c>
      <c r="Q66" t="s">
        <v>102</v>
      </c>
      <c r="S66">
        <v>3</v>
      </c>
      <c r="T66">
        <v>4</v>
      </c>
      <c r="U66">
        <v>3</v>
      </c>
      <c r="V66">
        <v>3</v>
      </c>
      <c r="W66">
        <v>4</v>
      </c>
      <c r="X66">
        <v>3</v>
      </c>
      <c r="Y66">
        <v>3</v>
      </c>
      <c r="Z66">
        <v>3</v>
      </c>
      <c r="AA66">
        <v>4</v>
      </c>
      <c r="AB66">
        <v>3</v>
      </c>
      <c r="AC66">
        <v>3</v>
      </c>
      <c r="AD66">
        <v>3</v>
      </c>
      <c r="AE66">
        <v>4</v>
      </c>
      <c r="AF66">
        <v>4</v>
      </c>
      <c r="AG66">
        <v>3</v>
      </c>
      <c r="AH66">
        <v>1</v>
      </c>
      <c r="AI66">
        <v>3</v>
      </c>
      <c r="AJ66">
        <v>2</v>
      </c>
      <c r="AK66">
        <v>1</v>
      </c>
      <c r="AL66" t="s">
        <v>199</v>
      </c>
      <c r="AM66" t="s">
        <v>108</v>
      </c>
    </row>
    <row r="67" spans="1:39" x14ac:dyDescent="0.3">
      <c r="A67">
        <v>66</v>
      </c>
      <c r="B67" t="s">
        <v>121</v>
      </c>
      <c r="C67" t="s">
        <v>133</v>
      </c>
      <c r="D67" t="s">
        <v>95</v>
      </c>
      <c r="E67" t="s">
        <v>143</v>
      </c>
      <c r="F67" t="s">
        <v>97</v>
      </c>
      <c r="G67" t="s">
        <v>71</v>
      </c>
      <c r="H67" t="s">
        <v>97</v>
      </c>
      <c r="I67" t="s">
        <v>99</v>
      </c>
      <c r="J67" t="s">
        <v>123</v>
      </c>
      <c r="K67" t="s">
        <v>124</v>
      </c>
      <c r="L67" t="s">
        <v>102</v>
      </c>
      <c r="M67" t="s">
        <v>198</v>
      </c>
      <c r="N67" t="s">
        <v>136</v>
      </c>
      <c r="O67" t="s">
        <v>105</v>
      </c>
      <c r="P67" t="s">
        <v>166</v>
      </c>
      <c r="Q67" t="s">
        <v>102</v>
      </c>
      <c r="S67">
        <v>5</v>
      </c>
      <c r="T67">
        <v>4</v>
      </c>
      <c r="U67">
        <v>5</v>
      </c>
      <c r="V67">
        <v>3</v>
      </c>
      <c r="W67">
        <v>3</v>
      </c>
      <c r="X67">
        <v>3</v>
      </c>
      <c r="Y67">
        <v>5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2</v>
      </c>
      <c r="AI67">
        <v>3</v>
      </c>
      <c r="AJ67">
        <v>2</v>
      </c>
      <c r="AK67">
        <v>2</v>
      </c>
      <c r="AL67" t="s">
        <v>199</v>
      </c>
      <c r="AM67" t="s">
        <v>108</v>
      </c>
    </row>
    <row r="68" spans="1:39" x14ac:dyDescent="0.3">
      <c r="A68">
        <v>67</v>
      </c>
      <c r="B68" t="s">
        <v>129</v>
      </c>
      <c r="C68" t="s">
        <v>94</v>
      </c>
      <c r="D68" t="s">
        <v>111</v>
      </c>
      <c r="E68" t="s">
        <v>143</v>
      </c>
      <c r="F68" t="s">
        <v>97</v>
      </c>
      <c r="G68" t="s">
        <v>72</v>
      </c>
      <c r="H68" t="s">
        <v>213</v>
      </c>
      <c r="I68" t="s">
        <v>99</v>
      </c>
      <c r="J68" t="s">
        <v>100</v>
      </c>
      <c r="K68" t="s">
        <v>255</v>
      </c>
      <c r="L68" t="s">
        <v>102</v>
      </c>
      <c r="M68" t="s">
        <v>168</v>
      </c>
      <c r="N68" t="s">
        <v>118</v>
      </c>
      <c r="O68" t="s">
        <v>105</v>
      </c>
      <c r="P68" t="s">
        <v>106</v>
      </c>
      <c r="Q68" t="s">
        <v>102</v>
      </c>
      <c r="S68">
        <v>4</v>
      </c>
      <c r="T68">
        <v>3</v>
      </c>
      <c r="U68">
        <v>4</v>
      </c>
      <c r="V68">
        <v>3</v>
      </c>
      <c r="W68">
        <v>3</v>
      </c>
      <c r="X68">
        <v>4</v>
      </c>
      <c r="Y68">
        <v>4</v>
      </c>
      <c r="Z68">
        <v>4</v>
      </c>
      <c r="AA68">
        <v>4</v>
      </c>
      <c r="AB68">
        <v>2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2</v>
      </c>
      <c r="AI68">
        <v>3</v>
      </c>
      <c r="AJ68">
        <v>2</v>
      </c>
      <c r="AK68">
        <v>2</v>
      </c>
      <c r="AL68" t="s">
        <v>256</v>
      </c>
      <c r="AM68" t="s">
        <v>257</v>
      </c>
    </row>
    <row r="69" spans="1:39" x14ac:dyDescent="0.3">
      <c r="A69">
        <v>68</v>
      </c>
      <c r="B69" t="s">
        <v>109</v>
      </c>
      <c r="C69" t="s">
        <v>94</v>
      </c>
      <c r="D69" t="s">
        <v>111</v>
      </c>
      <c r="E69" t="s">
        <v>143</v>
      </c>
      <c r="F69" t="s">
        <v>97</v>
      </c>
      <c r="G69" t="s">
        <v>72</v>
      </c>
      <c r="H69" t="s">
        <v>213</v>
      </c>
      <c r="I69" t="s">
        <v>99</v>
      </c>
      <c r="J69" t="s">
        <v>100</v>
      </c>
      <c r="K69" t="s">
        <v>255</v>
      </c>
      <c r="L69" t="s">
        <v>102</v>
      </c>
      <c r="M69" t="s">
        <v>168</v>
      </c>
      <c r="N69" t="s">
        <v>118</v>
      </c>
      <c r="O69" t="s">
        <v>105</v>
      </c>
      <c r="P69" t="s">
        <v>166</v>
      </c>
      <c r="Q69" t="s">
        <v>102</v>
      </c>
      <c r="S69">
        <v>4</v>
      </c>
      <c r="T69">
        <v>4</v>
      </c>
      <c r="U69">
        <v>4</v>
      </c>
      <c r="V69">
        <v>4</v>
      </c>
      <c r="W69">
        <v>3</v>
      </c>
      <c r="X69">
        <v>4</v>
      </c>
      <c r="Y69">
        <v>3</v>
      </c>
      <c r="Z69">
        <v>4</v>
      </c>
      <c r="AA69">
        <v>4</v>
      </c>
      <c r="AB69">
        <v>3</v>
      </c>
      <c r="AC69">
        <v>4</v>
      </c>
      <c r="AD69">
        <v>3</v>
      </c>
      <c r="AE69">
        <v>3</v>
      </c>
      <c r="AF69">
        <v>4</v>
      </c>
      <c r="AG69">
        <v>3</v>
      </c>
      <c r="AH69">
        <v>2</v>
      </c>
      <c r="AI69">
        <v>3</v>
      </c>
      <c r="AJ69">
        <v>1</v>
      </c>
      <c r="AK69">
        <v>2</v>
      </c>
      <c r="AL69" t="s">
        <v>258</v>
      </c>
      <c r="AM69" t="s">
        <v>259</v>
      </c>
    </row>
    <row r="70" spans="1:39" x14ac:dyDescent="0.3">
      <c r="A70">
        <v>69</v>
      </c>
      <c r="B70" t="s">
        <v>129</v>
      </c>
      <c r="C70" t="s">
        <v>94</v>
      </c>
      <c r="D70" t="s">
        <v>111</v>
      </c>
      <c r="E70" t="s">
        <v>204</v>
      </c>
      <c r="F70" t="s">
        <v>97</v>
      </c>
      <c r="G70" t="s">
        <v>73</v>
      </c>
      <c r="H70" t="s">
        <v>97</v>
      </c>
      <c r="I70" t="s">
        <v>99</v>
      </c>
      <c r="J70" t="s">
        <v>123</v>
      </c>
      <c r="K70" t="s">
        <v>201</v>
      </c>
      <c r="L70" t="s">
        <v>102</v>
      </c>
      <c r="M70" t="s">
        <v>181</v>
      </c>
      <c r="N70" t="s">
        <v>136</v>
      </c>
      <c r="O70" t="s">
        <v>105</v>
      </c>
      <c r="P70" t="s">
        <v>106</v>
      </c>
      <c r="Q70" t="s">
        <v>102</v>
      </c>
      <c r="S70">
        <v>4</v>
      </c>
      <c r="T70">
        <v>4</v>
      </c>
      <c r="U70">
        <v>3</v>
      </c>
      <c r="V70">
        <v>3</v>
      </c>
      <c r="W70">
        <v>4</v>
      </c>
      <c r="X70">
        <v>4</v>
      </c>
      <c r="Y70">
        <v>4</v>
      </c>
      <c r="Z70">
        <v>5</v>
      </c>
      <c r="AA70">
        <v>5</v>
      </c>
      <c r="AB70">
        <v>3</v>
      </c>
      <c r="AC70">
        <v>3</v>
      </c>
      <c r="AD70">
        <v>3</v>
      </c>
      <c r="AE70">
        <v>4</v>
      </c>
      <c r="AF70">
        <v>4</v>
      </c>
      <c r="AG70">
        <v>4</v>
      </c>
      <c r="AH70">
        <v>1</v>
      </c>
      <c r="AI70">
        <v>3</v>
      </c>
      <c r="AJ70">
        <v>1</v>
      </c>
      <c r="AK70">
        <v>1</v>
      </c>
      <c r="AL70" t="s">
        <v>199</v>
      </c>
      <c r="AM70" t="s">
        <v>205</v>
      </c>
    </row>
    <row r="71" spans="1:39" x14ac:dyDescent="0.3">
      <c r="A71">
        <v>70</v>
      </c>
      <c r="B71" t="s">
        <v>109</v>
      </c>
      <c r="C71" t="s">
        <v>94</v>
      </c>
      <c r="D71" t="s">
        <v>111</v>
      </c>
      <c r="E71" t="s">
        <v>143</v>
      </c>
      <c r="F71" t="s">
        <v>97</v>
      </c>
      <c r="G71" t="s">
        <v>73</v>
      </c>
      <c r="H71" t="s">
        <v>97</v>
      </c>
      <c r="I71" t="s">
        <v>99</v>
      </c>
      <c r="J71" t="s">
        <v>123</v>
      </c>
      <c r="K71" t="s">
        <v>201</v>
      </c>
      <c r="L71" t="s">
        <v>102</v>
      </c>
      <c r="M71" t="s">
        <v>181</v>
      </c>
      <c r="N71" t="s">
        <v>136</v>
      </c>
      <c r="O71" t="s">
        <v>105</v>
      </c>
      <c r="P71" t="s">
        <v>106</v>
      </c>
      <c r="Q71" t="s">
        <v>102</v>
      </c>
      <c r="S71">
        <v>5</v>
      </c>
      <c r="T71">
        <v>4</v>
      </c>
      <c r="U71">
        <v>4</v>
      </c>
      <c r="V71">
        <v>4</v>
      </c>
      <c r="W71">
        <v>4</v>
      </c>
      <c r="X71">
        <v>5</v>
      </c>
      <c r="Y71">
        <v>5</v>
      </c>
      <c r="Z71">
        <v>5</v>
      </c>
      <c r="AA71">
        <v>5</v>
      </c>
      <c r="AB71">
        <v>3</v>
      </c>
      <c r="AC71">
        <v>3</v>
      </c>
      <c r="AD71">
        <v>3</v>
      </c>
      <c r="AE71">
        <v>4</v>
      </c>
      <c r="AF71">
        <v>4</v>
      </c>
      <c r="AG71">
        <v>4</v>
      </c>
      <c r="AH71">
        <v>1</v>
      </c>
      <c r="AI71">
        <v>2</v>
      </c>
      <c r="AJ71">
        <v>2</v>
      </c>
      <c r="AK71">
        <v>1</v>
      </c>
      <c r="AL71" t="s">
        <v>199</v>
      </c>
      <c r="AM71" t="s">
        <v>206</v>
      </c>
    </row>
    <row r="72" spans="1:39" x14ac:dyDescent="0.3">
      <c r="A72">
        <v>71</v>
      </c>
      <c r="B72" t="s">
        <v>109</v>
      </c>
      <c r="C72" t="s">
        <v>94</v>
      </c>
      <c r="D72" t="s">
        <v>111</v>
      </c>
      <c r="E72" t="s">
        <v>143</v>
      </c>
      <c r="F72" t="s">
        <v>98</v>
      </c>
      <c r="G72" t="s">
        <v>74</v>
      </c>
      <c r="H72" t="s">
        <v>98</v>
      </c>
      <c r="I72" t="s">
        <v>114</v>
      </c>
      <c r="J72" t="s">
        <v>100</v>
      </c>
      <c r="K72" t="s">
        <v>201</v>
      </c>
      <c r="L72" t="s">
        <v>102</v>
      </c>
      <c r="M72" t="s">
        <v>181</v>
      </c>
      <c r="N72" t="s">
        <v>136</v>
      </c>
      <c r="O72" t="s">
        <v>105</v>
      </c>
      <c r="P72" t="s">
        <v>106</v>
      </c>
      <c r="Q72" t="s">
        <v>102</v>
      </c>
      <c r="S72">
        <v>4</v>
      </c>
      <c r="T72">
        <v>3</v>
      </c>
      <c r="U72">
        <v>3</v>
      </c>
      <c r="V72">
        <v>3</v>
      </c>
      <c r="W72">
        <v>3</v>
      </c>
      <c r="X72">
        <v>4</v>
      </c>
      <c r="Y72">
        <v>3</v>
      </c>
      <c r="Z72">
        <v>4</v>
      </c>
      <c r="AA72">
        <v>3</v>
      </c>
      <c r="AB72">
        <v>3</v>
      </c>
      <c r="AC72">
        <v>3</v>
      </c>
      <c r="AD72">
        <v>3</v>
      </c>
      <c r="AE72">
        <v>4</v>
      </c>
      <c r="AF72">
        <v>3</v>
      </c>
      <c r="AG72">
        <v>4</v>
      </c>
      <c r="AH72">
        <v>2</v>
      </c>
      <c r="AI72">
        <v>3</v>
      </c>
      <c r="AJ72">
        <v>1</v>
      </c>
      <c r="AK72">
        <v>1</v>
      </c>
      <c r="AL72" t="s">
        <v>246</v>
      </c>
      <c r="AM72" t="s">
        <v>260</v>
      </c>
    </row>
    <row r="73" spans="1:39" x14ac:dyDescent="0.3">
      <c r="A73">
        <v>72</v>
      </c>
      <c r="B73" t="s">
        <v>121</v>
      </c>
      <c r="C73" t="s">
        <v>133</v>
      </c>
      <c r="D73" t="s">
        <v>111</v>
      </c>
      <c r="E73" t="s">
        <v>212</v>
      </c>
      <c r="F73" t="s">
        <v>98</v>
      </c>
      <c r="G73" t="s">
        <v>74</v>
      </c>
      <c r="H73" t="s">
        <v>98</v>
      </c>
      <c r="I73" t="s">
        <v>114</v>
      </c>
      <c r="J73" t="s">
        <v>100</v>
      </c>
      <c r="K73" t="s">
        <v>201</v>
      </c>
      <c r="L73" t="s">
        <v>102</v>
      </c>
      <c r="M73" t="s">
        <v>181</v>
      </c>
      <c r="N73" t="s">
        <v>136</v>
      </c>
      <c r="O73" t="s">
        <v>105</v>
      </c>
      <c r="P73" t="s">
        <v>106</v>
      </c>
      <c r="Q73" t="s">
        <v>102</v>
      </c>
      <c r="S73">
        <v>4</v>
      </c>
      <c r="T73">
        <v>3</v>
      </c>
      <c r="U73">
        <v>4</v>
      </c>
      <c r="V73">
        <v>4</v>
      </c>
      <c r="W73">
        <v>3</v>
      </c>
      <c r="X73">
        <v>3</v>
      </c>
      <c r="Y73">
        <v>4</v>
      </c>
      <c r="Z73">
        <v>5</v>
      </c>
      <c r="AA73">
        <v>4</v>
      </c>
      <c r="AB73">
        <v>2</v>
      </c>
      <c r="AC73">
        <v>3</v>
      </c>
      <c r="AD73">
        <v>2</v>
      </c>
      <c r="AE73">
        <v>3</v>
      </c>
      <c r="AF73">
        <v>3</v>
      </c>
      <c r="AG73">
        <v>4</v>
      </c>
      <c r="AH73">
        <v>2</v>
      </c>
      <c r="AI73">
        <v>4</v>
      </c>
      <c r="AJ73">
        <v>2</v>
      </c>
      <c r="AK73">
        <v>2</v>
      </c>
      <c r="AL73" t="s">
        <v>246</v>
      </c>
      <c r="AM73" t="s">
        <v>261</v>
      </c>
    </row>
    <row r="74" spans="1:39" x14ac:dyDescent="0.3">
      <c r="A74">
        <v>73</v>
      </c>
      <c r="B74" t="s">
        <v>129</v>
      </c>
      <c r="C74" t="s">
        <v>94</v>
      </c>
      <c r="D74" t="s">
        <v>111</v>
      </c>
      <c r="E74" t="s">
        <v>122</v>
      </c>
      <c r="F74" t="s">
        <v>97</v>
      </c>
      <c r="G74" t="s">
        <v>75</v>
      </c>
      <c r="H74" t="s">
        <v>200</v>
      </c>
      <c r="I74" t="s">
        <v>99</v>
      </c>
      <c r="J74" t="s">
        <v>100</v>
      </c>
      <c r="K74" t="s">
        <v>201</v>
      </c>
      <c r="L74" t="s">
        <v>102</v>
      </c>
      <c r="M74" t="s">
        <v>181</v>
      </c>
      <c r="N74" t="s">
        <v>136</v>
      </c>
      <c r="O74" t="s">
        <v>105</v>
      </c>
      <c r="P74" t="s">
        <v>166</v>
      </c>
      <c r="Q74" t="s">
        <v>102</v>
      </c>
      <c r="S74">
        <v>3</v>
      </c>
      <c r="T74">
        <v>4</v>
      </c>
      <c r="U74">
        <v>3</v>
      </c>
      <c r="V74">
        <v>3</v>
      </c>
      <c r="W74">
        <v>4</v>
      </c>
      <c r="X74">
        <v>4</v>
      </c>
      <c r="Y74">
        <v>5</v>
      </c>
      <c r="Z74">
        <v>5</v>
      </c>
      <c r="AA74">
        <v>4</v>
      </c>
      <c r="AB74">
        <v>3</v>
      </c>
      <c r="AC74">
        <v>4</v>
      </c>
      <c r="AD74">
        <v>4</v>
      </c>
      <c r="AE74">
        <v>3</v>
      </c>
      <c r="AF74">
        <v>3</v>
      </c>
      <c r="AG74">
        <v>3</v>
      </c>
      <c r="AH74">
        <v>1</v>
      </c>
      <c r="AI74">
        <v>3</v>
      </c>
      <c r="AJ74">
        <v>2</v>
      </c>
      <c r="AK74">
        <v>1</v>
      </c>
      <c r="AL74" t="s">
        <v>185</v>
      </c>
      <c r="AM74" t="s">
        <v>203</v>
      </c>
    </row>
    <row r="75" spans="1:39" x14ac:dyDescent="0.3">
      <c r="A75">
        <v>74</v>
      </c>
      <c r="B75" t="s">
        <v>121</v>
      </c>
      <c r="C75" t="s">
        <v>94</v>
      </c>
      <c r="D75" t="s">
        <v>111</v>
      </c>
      <c r="E75" t="s">
        <v>160</v>
      </c>
      <c r="F75" t="s">
        <v>97</v>
      </c>
      <c r="G75" t="s">
        <v>75</v>
      </c>
      <c r="H75" t="s">
        <v>200</v>
      </c>
      <c r="I75" t="s">
        <v>99</v>
      </c>
      <c r="J75" t="s">
        <v>100</v>
      </c>
      <c r="K75" t="s">
        <v>201</v>
      </c>
      <c r="L75" t="s">
        <v>102</v>
      </c>
      <c r="M75" t="s">
        <v>181</v>
      </c>
      <c r="N75" t="s">
        <v>136</v>
      </c>
      <c r="O75" t="s">
        <v>105</v>
      </c>
      <c r="P75" t="s">
        <v>166</v>
      </c>
      <c r="Q75" t="s">
        <v>102</v>
      </c>
      <c r="S75">
        <v>3</v>
      </c>
      <c r="T75">
        <v>4</v>
      </c>
      <c r="U75">
        <v>4</v>
      </c>
      <c r="V75">
        <v>3</v>
      </c>
      <c r="W75">
        <v>3</v>
      </c>
      <c r="X75">
        <v>3</v>
      </c>
      <c r="Y75">
        <v>4</v>
      </c>
      <c r="Z75">
        <v>4</v>
      </c>
      <c r="AA75">
        <v>3</v>
      </c>
      <c r="AB75">
        <v>3</v>
      </c>
      <c r="AC75">
        <v>4</v>
      </c>
      <c r="AD75">
        <v>4</v>
      </c>
      <c r="AE75">
        <v>3</v>
      </c>
      <c r="AF75">
        <v>3</v>
      </c>
      <c r="AG75">
        <v>4</v>
      </c>
      <c r="AH75">
        <v>1</v>
      </c>
      <c r="AI75">
        <v>2</v>
      </c>
      <c r="AJ75">
        <v>2</v>
      </c>
      <c r="AK75">
        <v>1</v>
      </c>
      <c r="AL75" t="s">
        <v>185</v>
      </c>
      <c r="AM75" t="s">
        <v>202</v>
      </c>
    </row>
    <row r="76" spans="1:39" x14ac:dyDescent="0.3">
      <c r="A76">
        <v>75</v>
      </c>
      <c r="B76" t="s">
        <v>121</v>
      </c>
      <c r="C76" t="s">
        <v>133</v>
      </c>
      <c r="D76" t="s">
        <v>95</v>
      </c>
      <c r="E76" t="s">
        <v>143</v>
      </c>
      <c r="F76" t="s">
        <v>98</v>
      </c>
      <c r="G76" t="s">
        <v>76</v>
      </c>
      <c r="H76" t="s">
        <v>98</v>
      </c>
      <c r="I76" t="s">
        <v>114</v>
      </c>
      <c r="J76" t="s">
        <v>100</v>
      </c>
      <c r="K76" t="s">
        <v>201</v>
      </c>
      <c r="L76" t="s">
        <v>102</v>
      </c>
      <c r="M76" t="s">
        <v>181</v>
      </c>
      <c r="N76" t="s">
        <v>136</v>
      </c>
      <c r="O76" t="s">
        <v>105</v>
      </c>
      <c r="P76" t="s">
        <v>106</v>
      </c>
      <c r="Q76" t="s">
        <v>102</v>
      </c>
      <c r="S76">
        <v>5</v>
      </c>
      <c r="T76">
        <v>4</v>
      </c>
      <c r="U76">
        <v>5</v>
      </c>
      <c r="V76">
        <v>3</v>
      </c>
      <c r="W76">
        <v>3</v>
      </c>
      <c r="X76">
        <v>3</v>
      </c>
      <c r="Y76">
        <v>5</v>
      </c>
      <c r="Z76">
        <v>3</v>
      </c>
      <c r="AA76">
        <v>3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2</v>
      </c>
      <c r="AI76">
        <v>3</v>
      </c>
      <c r="AJ76">
        <v>2</v>
      </c>
      <c r="AK76">
        <v>2</v>
      </c>
      <c r="AL76" t="s">
        <v>237</v>
      </c>
      <c r="AM76" t="s">
        <v>205</v>
      </c>
    </row>
    <row r="77" spans="1:39" x14ac:dyDescent="0.3">
      <c r="A77">
        <v>76</v>
      </c>
      <c r="B77" t="s">
        <v>109</v>
      </c>
      <c r="C77" t="s">
        <v>94</v>
      </c>
      <c r="D77" t="s">
        <v>111</v>
      </c>
      <c r="E77" t="s">
        <v>243</v>
      </c>
      <c r="F77" t="s">
        <v>98</v>
      </c>
      <c r="G77" t="s">
        <v>76</v>
      </c>
      <c r="H77" t="s">
        <v>98</v>
      </c>
      <c r="I77" t="s">
        <v>114</v>
      </c>
      <c r="J77" t="s">
        <v>100</v>
      </c>
      <c r="K77" t="s">
        <v>201</v>
      </c>
      <c r="L77" t="s">
        <v>102</v>
      </c>
      <c r="M77" t="s">
        <v>181</v>
      </c>
      <c r="N77" t="s">
        <v>136</v>
      </c>
      <c r="O77" t="s">
        <v>105</v>
      </c>
      <c r="P77" t="s">
        <v>166</v>
      </c>
      <c r="Q77" t="s">
        <v>102</v>
      </c>
      <c r="S77">
        <v>5</v>
      </c>
      <c r="T77">
        <v>5</v>
      </c>
      <c r="U77">
        <v>5</v>
      </c>
      <c r="V77">
        <v>4</v>
      </c>
      <c r="W77">
        <v>3</v>
      </c>
      <c r="X77">
        <v>4</v>
      </c>
      <c r="Y77">
        <v>4</v>
      </c>
      <c r="Z77">
        <v>4</v>
      </c>
      <c r="AA77">
        <v>4</v>
      </c>
      <c r="AB77">
        <v>4</v>
      </c>
      <c r="AC77">
        <v>3</v>
      </c>
      <c r="AD77">
        <v>3</v>
      </c>
      <c r="AE77">
        <v>4</v>
      </c>
      <c r="AF77">
        <v>3</v>
      </c>
      <c r="AG77">
        <v>4</v>
      </c>
      <c r="AH77">
        <v>3</v>
      </c>
      <c r="AI77">
        <v>2</v>
      </c>
      <c r="AJ77">
        <v>2</v>
      </c>
      <c r="AK77">
        <v>2</v>
      </c>
      <c r="AL77" t="s">
        <v>237</v>
      </c>
      <c r="AM77" t="s">
        <v>205</v>
      </c>
    </row>
    <row r="78" spans="1:39" x14ac:dyDescent="0.3">
      <c r="A78">
        <v>77</v>
      </c>
      <c r="B78" t="s">
        <v>121</v>
      </c>
      <c r="C78" t="s">
        <v>133</v>
      </c>
      <c r="D78" t="s">
        <v>111</v>
      </c>
      <c r="E78" t="s">
        <v>148</v>
      </c>
      <c r="F78" t="s">
        <v>98</v>
      </c>
      <c r="G78" t="s">
        <v>77</v>
      </c>
      <c r="H78" t="s">
        <v>98</v>
      </c>
      <c r="I78" t="s">
        <v>114</v>
      </c>
      <c r="J78" t="s">
        <v>100</v>
      </c>
      <c r="K78" t="s">
        <v>201</v>
      </c>
      <c r="L78" t="s">
        <v>102</v>
      </c>
      <c r="M78" t="s">
        <v>181</v>
      </c>
      <c r="N78" t="s">
        <v>136</v>
      </c>
      <c r="O78" t="s">
        <v>105</v>
      </c>
      <c r="P78" t="s">
        <v>106</v>
      </c>
      <c r="Q78" t="s">
        <v>102</v>
      </c>
      <c r="S78">
        <v>5</v>
      </c>
      <c r="T78">
        <v>5</v>
      </c>
      <c r="U78">
        <v>5</v>
      </c>
      <c r="V78">
        <v>4</v>
      </c>
      <c r="W78">
        <v>3</v>
      </c>
      <c r="X78">
        <v>4</v>
      </c>
      <c r="Y78">
        <v>4</v>
      </c>
      <c r="Z78">
        <v>4</v>
      </c>
      <c r="AA78">
        <v>4</v>
      </c>
      <c r="AB78">
        <v>4</v>
      </c>
      <c r="AC78">
        <v>3</v>
      </c>
      <c r="AD78">
        <v>3</v>
      </c>
      <c r="AE78">
        <v>4</v>
      </c>
      <c r="AF78">
        <v>3</v>
      </c>
      <c r="AG78">
        <v>4</v>
      </c>
      <c r="AH78">
        <v>3</v>
      </c>
      <c r="AI78">
        <v>2</v>
      </c>
      <c r="AJ78">
        <v>2</v>
      </c>
      <c r="AK78">
        <v>2</v>
      </c>
      <c r="AL78" t="s">
        <v>237</v>
      </c>
      <c r="AM78" t="s">
        <v>205</v>
      </c>
    </row>
    <row r="79" spans="1:39" x14ac:dyDescent="0.3">
      <c r="A79">
        <v>78</v>
      </c>
      <c r="B79" t="s">
        <v>112</v>
      </c>
      <c r="C79" t="s">
        <v>94</v>
      </c>
      <c r="D79" t="s">
        <v>111</v>
      </c>
      <c r="E79" t="s">
        <v>160</v>
      </c>
      <c r="F79" t="s">
        <v>98</v>
      </c>
      <c r="G79" t="s">
        <v>77</v>
      </c>
      <c r="H79" t="s">
        <v>98</v>
      </c>
      <c r="I79" t="s">
        <v>114</v>
      </c>
      <c r="J79" t="s">
        <v>100</v>
      </c>
      <c r="K79" t="s">
        <v>201</v>
      </c>
      <c r="L79" t="s">
        <v>102</v>
      </c>
      <c r="M79" t="s">
        <v>181</v>
      </c>
      <c r="N79" t="s">
        <v>136</v>
      </c>
      <c r="O79" t="s">
        <v>105</v>
      </c>
      <c r="P79" t="s">
        <v>125</v>
      </c>
      <c r="Q79" t="s">
        <v>102</v>
      </c>
      <c r="S79">
        <v>4</v>
      </c>
      <c r="T79">
        <v>4</v>
      </c>
      <c r="U79">
        <v>4</v>
      </c>
      <c r="V79">
        <v>3</v>
      </c>
      <c r="W79">
        <v>3</v>
      </c>
      <c r="X79">
        <v>4</v>
      </c>
      <c r="Y79">
        <v>4</v>
      </c>
      <c r="Z79">
        <v>4</v>
      </c>
      <c r="AA79">
        <v>4</v>
      </c>
      <c r="AB79">
        <v>3</v>
      </c>
      <c r="AC79">
        <v>3</v>
      </c>
      <c r="AD79">
        <v>3</v>
      </c>
      <c r="AE79">
        <v>5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 t="s">
        <v>237</v>
      </c>
      <c r="AM79" t="s">
        <v>205</v>
      </c>
    </row>
    <row r="80" spans="1:39" x14ac:dyDescent="0.3">
      <c r="A80">
        <v>79</v>
      </c>
      <c r="B80" t="s">
        <v>121</v>
      </c>
      <c r="C80" t="s">
        <v>133</v>
      </c>
      <c r="D80" t="s">
        <v>95</v>
      </c>
      <c r="E80" t="s">
        <v>212</v>
      </c>
      <c r="F80" t="s">
        <v>97</v>
      </c>
      <c r="G80" t="s">
        <v>78</v>
      </c>
      <c r="H80" t="s">
        <v>97</v>
      </c>
      <c r="I80" t="s">
        <v>99</v>
      </c>
      <c r="J80" t="s">
        <v>123</v>
      </c>
      <c r="K80" t="s">
        <v>267</v>
      </c>
      <c r="L80" t="s">
        <v>268</v>
      </c>
      <c r="M80" t="s">
        <v>269</v>
      </c>
      <c r="N80" t="s">
        <v>136</v>
      </c>
      <c r="O80" t="s">
        <v>105</v>
      </c>
      <c r="P80" t="s">
        <v>106</v>
      </c>
      <c r="Q80" t="s">
        <v>105</v>
      </c>
      <c r="R80" t="s">
        <v>137</v>
      </c>
      <c r="S80">
        <v>3</v>
      </c>
      <c r="T80">
        <v>3</v>
      </c>
      <c r="U80">
        <v>3</v>
      </c>
      <c r="V80">
        <v>3</v>
      </c>
      <c r="W80">
        <v>3</v>
      </c>
      <c r="X80">
        <v>3</v>
      </c>
      <c r="Y80">
        <v>4</v>
      </c>
      <c r="Z80">
        <v>4</v>
      </c>
      <c r="AA80">
        <v>4</v>
      </c>
      <c r="AB80">
        <v>3</v>
      </c>
      <c r="AC80">
        <v>3</v>
      </c>
      <c r="AD80">
        <v>3</v>
      </c>
      <c r="AE80">
        <v>5</v>
      </c>
      <c r="AF80">
        <v>3</v>
      </c>
      <c r="AG80">
        <v>3</v>
      </c>
      <c r="AH80">
        <v>3</v>
      </c>
      <c r="AI80">
        <v>4</v>
      </c>
      <c r="AJ80">
        <v>3</v>
      </c>
      <c r="AK80">
        <v>3</v>
      </c>
      <c r="AL80" t="s">
        <v>276</v>
      </c>
      <c r="AM80" t="s">
        <v>275</v>
      </c>
    </row>
    <row r="81" spans="1:39" x14ac:dyDescent="0.3">
      <c r="A81">
        <v>80</v>
      </c>
      <c r="B81" t="s">
        <v>112</v>
      </c>
      <c r="C81" t="s">
        <v>266</v>
      </c>
      <c r="D81" t="s">
        <v>95</v>
      </c>
      <c r="E81" t="s">
        <v>148</v>
      </c>
      <c r="F81" t="s">
        <v>97</v>
      </c>
      <c r="G81" t="s">
        <v>78</v>
      </c>
      <c r="H81" t="s">
        <v>97</v>
      </c>
      <c r="I81" t="s">
        <v>99</v>
      </c>
      <c r="J81" t="s">
        <v>123</v>
      </c>
      <c r="K81" t="s">
        <v>267</v>
      </c>
      <c r="L81" t="s">
        <v>268</v>
      </c>
      <c r="M81" t="s">
        <v>269</v>
      </c>
      <c r="N81" t="s">
        <v>136</v>
      </c>
      <c r="O81" t="s">
        <v>105</v>
      </c>
      <c r="P81" t="s">
        <v>106</v>
      </c>
      <c r="Q81" t="s">
        <v>105</v>
      </c>
      <c r="R81" t="s">
        <v>137</v>
      </c>
      <c r="S81">
        <v>3</v>
      </c>
      <c r="T81">
        <v>3</v>
      </c>
      <c r="U81">
        <v>3</v>
      </c>
      <c r="V81">
        <v>3</v>
      </c>
      <c r="W81">
        <v>3</v>
      </c>
      <c r="X81">
        <v>4</v>
      </c>
      <c r="Y81">
        <v>4</v>
      </c>
      <c r="Z81">
        <v>4</v>
      </c>
      <c r="AA81">
        <v>4</v>
      </c>
      <c r="AB81">
        <v>3</v>
      </c>
      <c r="AC81">
        <v>3</v>
      </c>
      <c r="AD81">
        <v>3</v>
      </c>
      <c r="AE81">
        <v>4</v>
      </c>
      <c r="AF81">
        <v>4</v>
      </c>
      <c r="AG81">
        <v>4</v>
      </c>
      <c r="AH81">
        <v>2</v>
      </c>
      <c r="AI81">
        <v>4</v>
      </c>
      <c r="AJ81">
        <v>3</v>
      </c>
      <c r="AK81">
        <v>2</v>
      </c>
      <c r="AL81" t="s">
        <v>276</v>
      </c>
      <c r="AM81" t="s">
        <v>275</v>
      </c>
    </row>
    <row r="82" spans="1:39" x14ac:dyDescent="0.3">
      <c r="A82">
        <v>81</v>
      </c>
      <c r="B82" t="s">
        <v>121</v>
      </c>
      <c r="C82" t="s">
        <v>94</v>
      </c>
      <c r="D82" t="s">
        <v>111</v>
      </c>
      <c r="E82" t="s">
        <v>148</v>
      </c>
      <c r="F82" t="s">
        <v>97</v>
      </c>
      <c r="G82" t="s">
        <v>79</v>
      </c>
      <c r="H82" t="s">
        <v>97</v>
      </c>
      <c r="I82" t="s">
        <v>99</v>
      </c>
      <c r="J82" t="s">
        <v>123</v>
      </c>
      <c r="K82" t="s">
        <v>264</v>
      </c>
      <c r="L82" t="s">
        <v>207</v>
      </c>
      <c r="M82" t="s">
        <v>208</v>
      </c>
      <c r="N82" t="s">
        <v>136</v>
      </c>
      <c r="O82" t="s">
        <v>105</v>
      </c>
      <c r="P82" t="s">
        <v>106</v>
      </c>
      <c r="Q82" t="s">
        <v>102</v>
      </c>
      <c r="S82">
        <v>4</v>
      </c>
      <c r="T82">
        <v>3</v>
      </c>
      <c r="U82">
        <v>3</v>
      </c>
      <c r="V82">
        <v>3</v>
      </c>
      <c r="W82">
        <v>3</v>
      </c>
      <c r="X82">
        <v>4</v>
      </c>
      <c r="Y82">
        <v>4</v>
      </c>
      <c r="Z82">
        <v>4</v>
      </c>
      <c r="AA82">
        <v>3</v>
      </c>
      <c r="AB82">
        <v>3</v>
      </c>
      <c r="AC82">
        <v>4</v>
      </c>
      <c r="AD82">
        <v>3</v>
      </c>
      <c r="AE82">
        <v>5</v>
      </c>
      <c r="AF82">
        <v>5</v>
      </c>
      <c r="AG82">
        <v>5</v>
      </c>
      <c r="AH82">
        <v>3</v>
      </c>
      <c r="AI82">
        <v>4</v>
      </c>
      <c r="AJ82">
        <v>3</v>
      </c>
      <c r="AK82">
        <v>3</v>
      </c>
      <c r="AL82" t="s">
        <v>209</v>
      </c>
      <c r="AM82" t="s">
        <v>210</v>
      </c>
    </row>
    <row r="83" spans="1:39" x14ac:dyDescent="0.3">
      <c r="A83">
        <v>82</v>
      </c>
      <c r="B83" t="s">
        <v>109</v>
      </c>
      <c r="C83" t="s">
        <v>94</v>
      </c>
      <c r="D83" t="s">
        <v>111</v>
      </c>
      <c r="E83" t="s">
        <v>160</v>
      </c>
      <c r="F83" t="s">
        <v>97</v>
      </c>
      <c r="G83" t="s">
        <v>79</v>
      </c>
      <c r="H83" t="s">
        <v>97</v>
      </c>
      <c r="I83" t="s">
        <v>99</v>
      </c>
      <c r="J83" t="s">
        <v>123</v>
      </c>
      <c r="K83" t="s">
        <v>264</v>
      </c>
      <c r="L83" t="s">
        <v>207</v>
      </c>
      <c r="M83" t="s">
        <v>208</v>
      </c>
      <c r="N83" t="s">
        <v>136</v>
      </c>
      <c r="O83" t="s">
        <v>105</v>
      </c>
      <c r="P83" t="s">
        <v>106</v>
      </c>
      <c r="Q83" t="s">
        <v>102</v>
      </c>
      <c r="S83">
        <v>4</v>
      </c>
      <c r="T83">
        <v>3</v>
      </c>
      <c r="U83">
        <v>4</v>
      </c>
      <c r="V83">
        <v>3</v>
      </c>
      <c r="W83">
        <v>3</v>
      </c>
      <c r="X83">
        <v>4</v>
      </c>
      <c r="Y83">
        <v>4</v>
      </c>
      <c r="Z83">
        <v>4</v>
      </c>
      <c r="AA83">
        <v>4</v>
      </c>
      <c r="AB83">
        <v>4</v>
      </c>
      <c r="AC83">
        <v>3</v>
      </c>
      <c r="AD83">
        <v>3</v>
      </c>
      <c r="AE83">
        <v>4</v>
      </c>
      <c r="AF83">
        <v>4</v>
      </c>
      <c r="AG83">
        <v>5</v>
      </c>
      <c r="AH83">
        <v>3</v>
      </c>
      <c r="AI83">
        <v>3</v>
      </c>
      <c r="AJ83">
        <v>3</v>
      </c>
      <c r="AK83">
        <v>3</v>
      </c>
      <c r="AL83" t="s">
        <v>209</v>
      </c>
      <c r="AM83" t="s">
        <v>205</v>
      </c>
    </row>
    <row r="84" spans="1:39" x14ac:dyDescent="0.3">
      <c r="A84">
        <v>83</v>
      </c>
      <c r="B84" t="s">
        <v>121</v>
      </c>
      <c r="C84" t="s">
        <v>94</v>
      </c>
      <c r="D84" t="s">
        <v>111</v>
      </c>
      <c r="E84" t="s">
        <v>143</v>
      </c>
      <c r="F84" t="s">
        <v>98</v>
      </c>
      <c r="G84" t="s">
        <v>80</v>
      </c>
      <c r="H84" t="s">
        <v>98</v>
      </c>
      <c r="I84" t="s">
        <v>99</v>
      </c>
      <c r="J84" t="s">
        <v>123</v>
      </c>
      <c r="K84" t="s">
        <v>262</v>
      </c>
      <c r="L84" t="s">
        <v>263</v>
      </c>
      <c r="M84" t="s">
        <v>208</v>
      </c>
      <c r="N84" t="s">
        <v>130</v>
      </c>
      <c r="O84" t="s">
        <v>105</v>
      </c>
      <c r="P84" t="s">
        <v>125</v>
      </c>
      <c r="Q84" t="s">
        <v>102</v>
      </c>
      <c r="S84">
        <v>3</v>
      </c>
      <c r="T84">
        <v>3</v>
      </c>
      <c r="U84">
        <v>3</v>
      </c>
      <c r="V84">
        <v>3</v>
      </c>
      <c r="W84">
        <v>3</v>
      </c>
      <c r="X84">
        <v>4</v>
      </c>
      <c r="Y84">
        <v>4</v>
      </c>
      <c r="Z84">
        <v>4</v>
      </c>
      <c r="AA84">
        <v>4</v>
      </c>
      <c r="AB84">
        <v>3</v>
      </c>
      <c r="AC84">
        <v>3</v>
      </c>
      <c r="AD84">
        <v>3</v>
      </c>
      <c r="AE84">
        <v>4</v>
      </c>
      <c r="AF84">
        <v>4</v>
      </c>
      <c r="AG84">
        <v>4</v>
      </c>
      <c r="AH84">
        <v>2</v>
      </c>
      <c r="AI84">
        <v>4</v>
      </c>
      <c r="AJ84">
        <v>3</v>
      </c>
      <c r="AK84">
        <v>2</v>
      </c>
      <c r="AL84" t="s">
        <v>209</v>
      </c>
      <c r="AM84" t="s">
        <v>205</v>
      </c>
    </row>
    <row r="85" spans="1:39" x14ac:dyDescent="0.3">
      <c r="A85">
        <v>84</v>
      </c>
      <c r="B85" t="s">
        <v>129</v>
      </c>
      <c r="C85" t="s">
        <v>94</v>
      </c>
      <c r="D85" t="s">
        <v>111</v>
      </c>
      <c r="E85" t="s">
        <v>143</v>
      </c>
      <c r="F85" t="s">
        <v>98</v>
      </c>
      <c r="G85" t="s">
        <v>80</v>
      </c>
      <c r="H85" t="s">
        <v>98</v>
      </c>
      <c r="I85" t="s">
        <v>99</v>
      </c>
      <c r="J85" t="s">
        <v>123</v>
      </c>
      <c r="K85" t="s">
        <v>262</v>
      </c>
      <c r="L85" t="s">
        <v>263</v>
      </c>
      <c r="M85" t="s">
        <v>208</v>
      </c>
      <c r="N85" t="s">
        <v>130</v>
      </c>
      <c r="O85" t="s">
        <v>105</v>
      </c>
      <c r="P85" t="s">
        <v>125</v>
      </c>
      <c r="Q85" t="s">
        <v>102</v>
      </c>
      <c r="S85">
        <v>5</v>
      </c>
      <c r="T85">
        <v>4</v>
      </c>
      <c r="U85">
        <v>5</v>
      </c>
      <c r="V85">
        <v>3</v>
      </c>
      <c r="W85">
        <v>3</v>
      </c>
      <c r="X85">
        <v>3</v>
      </c>
      <c r="Y85">
        <v>5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3</v>
      </c>
      <c r="AG85">
        <v>3</v>
      </c>
      <c r="AH85">
        <v>2</v>
      </c>
      <c r="AI85">
        <v>3</v>
      </c>
      <c r="AJ85">
        <v>2</v>
      </c>
      <c r="AK85">
        <v>2</v>
      </c>
      <c r="AL85" t="s">
        <v>214</v>
      </c>
      <c r="AM85" t="s">
        <v>186</v>
      </c>
    </row>
    <row r="86" spans="1:39" x14ac:dyDescent="0.3">
      <c r="A86">
        <v>85</v>
      </c>
      <c r="B86" t="s">
        <v>121</v>
      </c>
      <c r="C86" t="s">
        <v>94</v>
      </c>
      <c r="D86" t="s">
        <v>95</v>
      </c>
      <c r="E86" t="s">
        <v>160</v>
      </c>
      <c r="F86" t="s">
        <v>98</v>
      </c>
      <c r="G86" t="s">
        <v>81</v>
      </c>
      <c r="H86" t="s">
        <v>98</v>
      </c>
      <c r="I86" t="s">
        <v>99</v>
      </c>
      <c r="J86" t="s">
        <v>123</v>
      </c>
      <c r="K86" t="s">
        <v>124</v>
      </c>
      <c r="L86" t="s">
        <v>102</v>
      </c>
      <c r="M86" t="s">
        <v>168</v>
      </c>
      <c r="N86" t="s">
        <v>136</v>
      </c>
      <c r="O86" t="s">
        <v>105</v>
      </c>
      <c r="P86" t="s">
        <v>125</v>
      </c>
      <c r="Q86" t="s">
        <v>102</v>
      </c>
      <c r="S86">
        <v>5</v>
      </c>
      <c r="T86">
        <v>5</v>
      </c>
      <c r="U86">
        <v>5</v>
      </c>
      <c r="V86">
        <v>4</v>
      </c>
      <c r="W86">
        <v>3</v>
      </c>
      <c r="X86">
        <v>4</v>
      </c>
      <c r="Y86">
        <v>4</v>
      </c>
      <c r="Z86">
        <v>4</v>
      </c>
      <c r="AA86">
        <v>4</v>
      </c>
      <c r="AB86">
        <v>4</v>
      </c>
      <c r="AC86">
        <v>3</v>
      </c>
      <c r="AD86">
        <v>3</v>
      </c>
      <c r="AE86">
        <v>4</v>
      </c>
      <c r="AF86">
        <v>3</v>
      </c>
      <c r="AG86">
        <v>4</v>
      </c>
      <c r="AH86">
        <v>3</v>
      </c>
      <c r="AI86">
        <v>2</v>
      </c>
      <c r="AJ86">
        <v>2</v>
      </c>
      <c r="AK86">
        <v>2</v>
      </c>
      <c r="AL86" t="s">
        <v>214</v>
      </c>
      <c r="AM86" t="s">
        <v>186</v>
      </c>
    </row>
    <row r="87" spans="1:39" x14ac:dyDescent="0.3">
      <c r="A87">
        <v>86</v>
      </c>
      <c r="B87" t="s">
        <v>109</v>
      </c>
      <c r="C87" t="s">
        <v>110</v>
      </c>
      <c r="D87" t="s">
        <v>111</v>
      </c>
      <c r="E87" t="s">
        <v>160</v>
      </c>
      <c r="F87" t="s">
        <v>98</v>
      </c>
      <c r="G87" t="s">
        <v>81</v>
      </c>
      <c r="H87" t="s">
        <v>98</v>
      </c>
      <c r="I87" t="s">
        <v>99</v>
      </c>
      <c r="J87" t="s">
        <v>123</v>
      </c>
      <c r="K87" t="s">
        <v>124</v>
      </c>
      <c r="L87" t="s">
        <v>102</v>
      </c>
      <c r="M87" t="s">
        <v>168</v>
      </c>
      <c r="N87" t="s">
        <v>136</v>
      </c>
      <c r="O87" t="s">
        <v>105</v>
      </c>
      <c r="P87" t="s">
        <v>125</v>
      </c>
      <c r="Q87" t="s">
        <v>102</v>
      </c>
      <c r="S87">
        <v>4</v>
      </c>
      <c r="T87">
        <v>4</v>
      </c>
      <c r="U87">
        <v>4</v>
      </c>
      <c r="V87">
        <v>3</v>
      </c>
      <c r="W87">
        <v>3</v>
      </c>
      <c r="X87">
        <v>4</v>
      </c>
      <c r="Y87">
        <v>4</v>
      </c>
      <c r="Z87">
        <v>4</v>
      </c>
      <c r="AA87">
        <v>4</v>
      </c>
      <c r="AB87">
        <v>3</v>
      </c>
      <c r="AC87">
        <v>3</v>
      </c>
      <c r="AD87">
        <v>3</v>
      </c>
      <c r="AE87">
        <v>5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 t="s">
        <v>258</v>
      </c>
      <c r="AM87" t="s">
        <v>259</v>
      </c>
    </row>
    <row r="88" spans="1:39" x14ac:dyDescent="0.3">
      <c r="A88">
        <v>87</v>
      </c>
      <c r="B88" t="s">
        <v>121</v>
      </c>
      <c r="C88" t="s">
        <v>94</v>
      </c>
      <c r="D88" t="s">
        <v>95</v>
      </c>
      <c r="E88" t="s">
        <v>143</v>
      </c>
      <c r="F88" t="s">
        <v>98</v>
      </c>
      <c r="G88" t="s">
        <v>82</v>
      </c>
      <c r="H88" t="s">
        <v>98</v>
      </c>
      <c r="I88" t="s">
        <v>99</v>
      </c>
      <c r="J88" t="s">
        <v>100</v>
      </c>
      <c r="K88" t="s">
        <v>177</v>
      </c>
      <c r="L88" t="s">
        <v>102</v>
      </c>
      <c r="M88" t="s">
        <v>270</v>
      </c>
      <c r="N88" t="s">
        <v>136</v>
      </c>
      <c r="O88" t="s">
        <v>105</v>
      </c>
      <c r="P88" t="s">
        <v>125</v>
      </c>
      <c r="Q88" t="s">
        <v>102</v>
      </c>
      <c r="S88">
        <v>3</v>
      </c>
      <c r="T88">
        <v>3</v>
      </c>
      <c r="U88">
        <v>3</v>
      </c>
      <c r="V88">
        <v>3</v>
      </c>
      <c r="W88">
        <v>3</v>
      </c>
      <c r="X88">
        <v>3</v>
      </c>
      <c r="Y88">
        <v>4</v>
      </c>
      <c r="Z88">
        <v>4</v>
      </c>
      <c r="AA88">
        <v>4</v>
      </c>
      <c r="AB88">
        <v>3</v>
      </c>
      <c r="AC88">
        <v>3</v>
      </c>
      <c r="AD88">
        <v>3</v>
      </c>
      <c r="AE88">
        <v>5</v>
      </c>
      <c r="AF88">
        <v>3</v>
      </c>
      <c r="AG88">
        <v>3</v>
      </c>
      <c r="AH88">
        <v>3</v>
      </c>
      <c r="AI88">
        <v>4</v>
      </c>
      <c r="AJ88">
        <v>3</v>
      </c>
      <c r="AK88">
        <v>3</v>
      </c>
      <c r="AL88" t="s">
        <v>258</v>
      </c>
      <c r="AM88" t="s">
        <v>259</v>
      </c>
    </row>
    <row r="89" spans="1:39" x14ac:dyDescent="0.3">
      <c r="A89">
        <v>88</v>
      </c>
      <c r="B89" t="s">
        <v>129</v>
      </c>
      <c r="C89" t="s">
        <v>94</v>
      </c>
      <c r="D89" t="s">
        <v>111</v>
      </c>
      <c r="E89" t="s">
        <v>160</v>
      </c>
      <c r="F89" t="s">
        <v>98</v>
      </c>
      <c r="G89" t="s">
        <v>82</v>
      </c>
      <c r="H89" t="s">
        <v>98</v>
      </c>
      <c r="I89" t="s">
        <v>99</v>
      </c>
      <c r="J89" t="s">
        <v>100</v>
      </c>
      <c r="K89" t="s">
        <v>177</v>
      </c>
      <c r="L89" t="s">
        <v>102</v>
      </c>
      <c r="M89" t="s">
        <v>270</v>
      </c>
      <c r="N89" t="s">
        <v>136</v>
      </c>
      <c r="O89" t="s">
        <v>105</v>
      </c>
      <c r="P89" t="s">
        <v>125</v>
      </c>
      <c r="Q89" t="s">
        <v>102</v>
      </c>
      <c r="S89">
        <v>4</v>
      </c>
      <c r="T89">
        <v>3</v>
      </c>
      <c r="U89">
        <v>3</v>
      </c>
      <c r="V89">
        <v>3</v>
      </c>
      <c r="W89">
        <v>3</v>
      </c>
      <c r="X89">
        <v>5</v>
      </c>
      <c r="Y89">
        <v>3</v>
      </c>
      <c r="Z89">
        <v>5</v>
      </c>
      <c r="AA89">
        <v>4</v>
      </c>
      <c r="AB89">
        <v>3</v>
      </c>
      <c r="AC89">
        <v>5</v>
      </c>
      <c r="AD89">
        <v>4</v>
      </c>
      <c r="AE89">
        <v>4</v>
      </c>
      <c r="AF89">
        <v>3</v>
      </c>
      <c r="AG89">
        <v>4</v>
      </c>
      <c r="AH89">
        <v>2</v>
      </c>
      <c r="AI89">
        <v>3</v>
      </c>
      <c r="AJ89">
        <v>2</v>
      </c>
      <c r="AK89">
        <v>2</v>
      </c>
      <c r="AL89" t="s">
        <v>258</v>
      </c>
      <c r="AM89" t="s">
        <v>259</v>
      </c>
    </row>
    <row r="90" spans="1:39" x14ac:dyDescent="0.3">
      <c r="A90">
        <v>89</v>
      </c>
      <c r="B90" t="s">
        <v>121</v>
      </c>
      <c r="C90" t="s">
        <v>133</v>
      </c>
      <c r="D90" t="s">
        <v>95</v>
      </c>
      <c r="E90" t="s">
        <v>143</v>
      </c>
      <c r="F90" t="s">
        <v>98</v>
      </c>
      <c r="G90" t="s">
        <v>83</v>
      </c>
      <c r="H90" t="s">
        <v>98</v>
      </c>
      <c r="I90" t="s">
        <v>114</v>
      </c>
      <c r="J90" t="s">
        <v>100</v>
      </c>
      <c r="K90" t="s">
        <v>177</v>
      </c>
      <c r="L90" t="s">
        <v>102</v>
      </c>
      <c r="M90" t="s">
        <v>270</v>
      </c>
      <c r="N90" t="s">
        <v>136</v>
      </c>
      <c r="O90" t="s">
        <v>105</v>
      </c>
      <c r="P90" t="s">
        <v>125</v>
      </c>
      <c r="Q90" t="s">
        <v>102</v>
      </c>
      <c r="S90">
        <v>4</v>
      </c>
      <c r="T90">
        <v>3</v>
      </c>
      <c r="U90">
        <v>3</v>
      </c>
      <c r="V90">
        <v>4</v>
      </c>
      <c r="W90">
        <v>4</v>
      </c>
      <c r="X90">
        <v>4</v>
      </c>
      <c r="Y90">
        <v>4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3</v>
      </c>
      <c r="AF90">
        <v>3</v>
      </c>
      <c r="AG90">
        <v>3</v>
      </c>
      <c r="AH90">
        <v>1</v>
      </c>
      <c r="AI90">
        <v>2</v>
      </c>
      <c r="AJ90">
        <v>1</v>
      </c>
      <c r="AK90">
        <v>1</v>
      </c>
      <c r="AL90" t="s">
        <v>214</v>
      </c>
      <c r="AM90" t="s">
        <v>186</v>
      </c>
    </row>
    <row r="91" spans="1:39" x14ac:dyDescent="0.3">
      <c r="A91">
        <v>90</v>
      </c>
      <c r="B91" t="s">
        <v>129</v>
      </c>
      <c r="C91" t="s">
        <v>94</v>
      </c>
      <c r="D91" t="s">
        <v>111</v>
      </c>
      <c r="E91" t="s">
        <v>143</v>
      </c>
      <c r="F91" t="s">
        <v>98</v>
      </c>
      <c r="G91" t="s">
        <v>83</v>
      </c>
      <c r="H91" t="s">
        <v>98</v>
      </c>
      <c r="I91" t="s">
        <v>114</v>
      </c>
      <c r="J91" t="s">
        <v>100</v>
      </c>
      <c r="K91" t="s">
        <v>177</v>
      </c>
      <c r="L91" t="s">
        <v>102</v>
      </c>
      <c r="M91" t="s">
        <v>270</v>
      </c>
      <c r="N91" t="s">
        <v>136</v>
      </c>
      <c r="O91" t="s">
        <v>105</v>
      </c>
      <c r="P91" t="s">
        <v>125</v>
      </c>
      <c r="Q91" t="s">
        <v>102</v>
      </c>
      <c r="S91">
        <v>5</v>
      </c>
      <c r="T91">
        <v>4</v>
      </c>
      <c r="U91">
        <v>4</v>
      </c>
      <c r="V91">
        <v>3</v>
      </c>
      <c r="W91">
        <v>3</v>
      </c>
      <c r="X91">
        <v>4</v>
      </c>
      <c r="Y91">
        <v>4</v>
      </c>
      <c r="Z91">
        <v>3</v>
      </c>
      <c r="AA91">
        <v>4</v>
      </c>
      <c r="AB91">
        <v>4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2</v>
      </c>
      <c r="AI91">
        <v>4</v>
      </c>
      <c r="AJ91">
        <v>2</v>
      </c>
      <c r="AK91">
        <v>2</v>
      </c>
      <c r="AL91" t="s">
        <v>214</v>
      </c>
      <c r="AM91" t="s">
        <v>186</v>
      </c>
    </row>
    <row r="92" spans="1:39" x14ac:dyDescent="0.3">
      <c r="A92">
        <v>91</v>
      </c>
      <c r="B92" t="s">
        <v>121</v>
      </c>
      <c r="C92" t="s">
        <v>94</v>
      </c>
      <c r="D92" t="s">
        <v>111</v>
      </c>
      <c r="E92" t="s">
        <v>153</v>
      </c>
      <c r="F92" t="s">
        <v>97</v>
      </c>
      <c r="G92" t="s">
        <v>84</v>
      </c>
      <c r="H92" t="s">
        <v>97</v>
      </c>
      <c r="I92" t="s">
        <v>114</v>
      </c>
      <c r="J92" t="s">
        <v>100</v>
      </c>
      <c r="K92" t="s">
        <v>177</v>
      </c>
      <c r="L92" t="s">
        <v>102</v>
      </c>
      <c r="M92" t="s">
        <v>168</v>
      </c>
      <c r="N92" t="s">
        <v>136</v>
      </c>
      <c r="O92" t="s">
        <v>105</v>
      </c>
      <c r="P92" t="s">
        <v>166</v>
      </c>
      <c r="Q92" t="s">
        <v>102</v>
      </c>
      <c r="S92">
        <v>5</v>
      </c>
      <c r="T92">
        <v>4</v>
      </c>
      <c r="U92">
        <v>4</v>
      </c>
      <c r="V92">
        <v>3</v>
      </c>
      <c r="W92">
        <v>3</v>
      </c>
      <c r="X92">
        <v>4</v>
      </c>
      <c r="Y92">
        <v>5</v>
      </c>
      <c r="Z92">
        <v>5</v>
      </c>
      <c r="AA92">
        <v>4</v>
      </c>
      <c r="AB92">
        <v>5</v>
      </c>
      <c r="AC92">
        <v>5</v>
      </c>
      <c r="AD92">
        <v>5</v>
      </c>
      <c r="AE92">
        <v>4</v>
      </c>
      <c r="AF92">
        <v>3</v>
      </c>
      <c r="AG92">
        <v>4</v>
      </c>
      <c r="AH92">
        <v>2</v>
      </c>
      <c r="AI92">
        <v>3</v>
      </c>
      <c r="AJ92">
        <v>2</v>
      </c>
      <c r="AK92">
        <v>2</v>
      </c>
      <c r="AL92" t="s">
        <v>193</v>
      </c>
      <c r="AM92" t="s">
        <v>211</v>
      </c>
    </row>
    <row r="93" spans="1:39" x14ac:dyDescent="0.3">
      <c r="A93">
        <v>92</v>
      </c>
      <c r="B93" t="s">
        <v>169</v>
      </c>
      <c r="C93" t="s">
        <v>94</v>
      </c>
      <c r="D93" t="s">
        <v>95</v>
      </c>
      <c r="E93" t="s">
        <v>143</v>
      </c>
      <c r="F93" t="s">
        <v>97</v>
      </c>
      <c r="G93" t="s">
        <v>84</v>
      </c>
      <c r="H93" t="s">
        <v>97</v>
      </c>
      <c r="I93" t="s">
        <v>114</v>
      </c>
      <c r="J93" t="s">
        <v>100</v>
      </c>
      <c r="K93" t="s">
        <v>177</v>
      </c>
      <c r="L93" t="s">
        <v>102</v>
      </c>
      <c r="M93" t="s">
        <v>168</v>
      </c>
      <c r="N93" t="s">
        <v>136</v>
      </c>
      <c r="O93" t="s">
        <v>105</v>
      </c>
      <c r="P93" t="s">
        <v>166</v>
      </c>
      <c r="Q93" t="s">
        <v>102</v>
      </c>
      <c r="S93">
        <v>5</v>
      </c>
      <c r="T93">
        <v>4</v>
      </c>
      <c r="U93">
        <v>4</v>
      </c>
      <c r="V93">
        <v>4</v>
      </c>
      <c r="W93">
        <v>3</v>
      </c>
      <c r="X93">
        <v>4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3</v>
      </c>
      <c r="AF93">
        <v>4</v>
      </c>
      <c r="AG93">
        <v>4</v>
      </c>
      <c r="AH93">
        <v>1</v>
      </c>
      <c r="AI93">
        <v>2</v>
      </c>
      <c r="AJ93">
        <v>2</v>
      </c>
      <c r="AK93">
        <v>1</v>
      </c>
      <c r="AL93" t="s">
        <v>193</v>
      </c>
      <c r="AM93" t="s">
        <v>211</v>
      </c>
    </row>
    <row r="94" spans="1:39" x14ac:dyDescent="0.3">
      <c r="A94">
        <v>93</v>
      </c>
      <c r="B94" t="s">
        <v>121</v>
      </c>
      <c r="C94" t="s">
        <v>94</v>
      </c>
      <c r="D94" t="s">
        <v>111</v>
      </c>
      <c r="E94" t="s">
        <v>212</v>
      </c>
      <c r="F94" t="s">
        <v>97</v>
      </c>
      <c r="G94" t="s">
        <v>85</v>
      </c>
      <c r="H94" t="s">
        <v>97</v>
      </c>
      <c r="I94" t="s">
        <v>114</v>
      </c>
      <c r="J94" t="s">
        <v>123</v>
      </c>
      <c r="K94" t="s">
        <v>124</v>
      </c>
      <c r="L94" t="s">
        <v>102</v>
      </c>
      <c r="M94" t="s">
        <v>181</v>
      </c>
      <c r="N94" t="s">
        <v>136</v>
      </c>
      <c r="O94" t="s">
        <v>105</v>
      </c>
      <c r="P94" t="s">
        <v>125</v>
      </c>
      <c r="Q94" t="s">
        <v>102</v>
      </c>
      <c r="S94">
        <v>4</v>
      </c>
      <c r="T94">
        <v>4</v>
      </c>
      <c r="U94">
        <v>4</v>
      </c>
      <c r="V94">
        <v>4</v>
      </c>
      <c r="W94">
        <v>4</v>
      </c>
      <c r="X94">
        <v>4</v>
      </c>
      <c r="Y94">
        <v>4</v>
      </c>
      <c r="Z94">
        <v>5</v>
      </c>
      <c r="AA94">
        <v>4</v>
      </c>
      <c r="AB94">
        <v>4</v>
      </c>
      <c r="AC94">
        <v>4</v>
      </c>
      <c r="AD94">
        <v>3</v>
      </c>
      <c r="AE94">
        <v>4</v>
      </c>
      <c r="AF94">
        <v>4</v>
      </c>
      <c r="AG94">
        <v>4</v>
      </c>
      <c r="AH94">
        <v>1</v>
      </c>
      <c r="AI94">
        <v>3</v>
      </c>
      <c r="AJ94">
        <v>2</v>
      </c>
      <c r="AK94">
        <v>1</v>
      </c>
      <c r="AL94" t="s">
        <v>214</v>
      </c>
      <c r="AM94" t="s">
        <v>215</v>
      </c>
    </row>
    <row r="95" spans="1:39" x14ac:dyDescent="0.3">
      <c r="A95">
        <v>94</v>
      </c>
      <c r="B95" t="s">
        <v>129</v>
      </c>
      <c r="C95" t="s">
        <v>110</v>
      </c>
      <c r="D95" t="s">
        <v>111</v>
      </c>
      <c r="E95" t="s">
        <v>143</v>
      </c>
      <c r="F95" t="s">
        <v>97</v>
      </c>
      <c r="G95" t="s">
        <v>85</v>
      </c>
      <c r="H95" t="s">
        <v>97</v>
      </c>
      <c r="I95" t="s">
        <v>114</v>
      </c>
      <c r="J95" t="s">
        <v>123</v>
      </c>
      <c r="K95" t="s">
        <v>124</v>
      </c>
      <c r="L95" t="s">
        <v>102</v>
      </c>
      <c r="M95" t="s">
        <v>161</v>
      </c>
      <c r="N95" t="s">
        <v>136</v>
      </c>
      <c r="O95" t="s">
        <v>105</v>
      </c>
      <c r="P95" t="s">
        <v>125</v>
      </c>
      <c r="Q95" t="s">
        <v>102</v>
      </c>
      <c r="S95">
        <v>4</v>
      </c>
      <c r="T95">
        <v>3</v>
      </c>
      <c r="U95">
        <v>3</v>
      </c>
      <c r="V95">
        <v>3</v>
      </c>
      <c r="W95">
        <v>3</v>
      </c>
      <c r="X95">
        <v>3</v>
      </c>
      <c r="Y95">
        <v>5</v>
      </c>
      <c r="Z95">
        <v>4</v>
      </c>
      <c r="AA95">
        <v>3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3</v>
      </c>
      <c r="AI95">
        <v>3</v>
      </c>
      <c r="AJ95">
        <v>2</v>
      </c>
      <c r="AK95">
        <v>3</v>
      </c>
      <c r="AL95" t="s">
        <v>214</v>
      </c>
      <c r="AM95" t="s">
        <v>186</v>
      </c>
    </row>
    <row r="96" spans="1:39" x14ac:dyDescent="0.3">
      <c r="A96">
        <v>95</v>
      </c>
      <c r="B96" t="s">
        <v>121</v>
      </c>
      <c r="C96" t="s">
        <v>164</v>
      </c>
      <c r="D96" t="s">
        <v>95</v>
      </c>
      <c r="E96" t="s">
        <v>122</v>
      </c>
      <c r="F96" t="s">
        <v>97</v>
      </c>
      <c r="G96" t="s">
        <v>86</v>
      </c>
      <c r="H96" t="s">
        <v>97</v>
      </c>
      <c r="I96" t="s">
        <v>114</v>
      </c>
      <c r="J96" t="s">
        <v>100</v>
      </c>
      <c r="K96" t="s">
        <v>177</v>
      </c>
      <c r="L96" t="s">
        <v>102</v>
      </c>
      <c r="M96" t="s">
        <v>149</v>
      </c>
      <c r="N96" t="s">
        <v>136</v>
      </c>
      <c r="O96" t="s">
        <v>105</v>
      </c>
      <c r="P96" t="s">
        <v>125</v>
      </c>
      <c r="Q96" t="s">
        <v>105</v>
      </c>
      <c r="R96" t="s">
        <v>137</v>
      </c>
      <c r="S96">
        <v>3</v>
      </c>
      <c r="T96">
        <v>3</v>
      </c>
      <c r="U96">
        <v>3</v>
      </c>
      <c r="V96">
        <v>2</v>
      </c>
      <c r="W96">
        <v>2</v>
      </c>
      <c r="X96">
        <v>3</v>
      </c>
      <c r="Y96">
        <v>2</v>
      </c>
      <c r="Z96">
        <v>2</v>
      </c>
      <c r="AA96">
        <v>3</v>
      </c>
      <c r="AB96">
        <v>2</v>
      </c>
      <c r="AC96">
        <v>2</v>
      </c>
      <c r="AD96">
        <v>2</v>
      </c>
      <c r="AE96">
        <v>1</v>
      </c>
      <c r="AF96">
        <v>2</v>
      </c>
      <c r="AG96">
        <v>2</v>
      </c>
      <c r="AH96">
        <v>4</v>
      </c>
      <c r="AI96">
        <v>4</v>
      </c>
      <c r="AJ96">
        <v>4</v>
      </c>
      <c r="AK96">
        <v>4</v>
      </c>
      <c r="AL96" t="s">
        <v>217</v>
      </c>
      <c r="AM96" t="s">
        <v>216</v>
      </c>
    </row>
    <row r="97" spans="1:39" x14ac:dyDescent="0.3">
      <c r="A97">
        <v>96</v>
      </c>
      <c r="B97" t="s">
        <v>112</v>
      </c>
      <c r="C97" t="s">
        <v>164</v>
      </c>
      <c r="D97" t="s">
        <v>95</v>
      </c>
      <c r="E97" t="s">
        <v>122</v>
      </c>
      <c r="F97" t="s">
        <v>97</v>
      </c>
      <c r="G97" t="s">
        <v>86</v>
      </c>
      <c r="H97" t="s">
        <v>97</v>
      </c>
      <c r="I97" t="s">
        <v>114</v>
      </c>
      <c r="J97" t="s">
        <v>100</v>
      </c>
      <c r="K97" t="s">
        <v>177</v>
      </c>
      <c r="L97" t="s">
        <v>102</v>
      </c>
      <c r="M97" t="s">
        <v>149</v>
      </c>
      <c r="N97" t="s">
        <v>136</v>
      </c>
      <c r="O97" t="s">
        <v>105</v>
      </c>
      <c r="P97" t="s">
        <v>166</v>
      </c>
      <c r="Q97" t="s">
        <v>105</v>
      </c>
      <c r="R97" t="s">
        <v>137</v>
      </c>
      <c r="S97">
        <v>4</v>
      </c>
      <c r="T97">
        <v>3</v>
      </c>
      <c r="U97">
        <v>3</v>
      </c>
      <c r="V97">
        <v>3</v>
      </c>
      <c r="W97">
        <v>2</v>
      </c>
      <c r="X97">
        <v>3</v>
      </c>
      <c r="Y97">
        <v>2</v>
      </c>
      <c r="Z97">
        <v>2</v>
      </c>
      <c r="AA97">
        <v>3</v>
      </c>
      <c r="AB97">
        <v>2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4</v>
      </c>
      <c r="AI97">
        <v>4</v>
      </c>
      <c r="AJ97">
        <v>4</v>
      </c>
      <c r="AK97">
        <v>4</v>
      </c>
      <c r="AL97" t="s">
        <v>218</v>
      </c>
      <c r="AM97" t="s">
        <v>219</v>
      </c>
    </row>
    <row r="98" spans="1:39" x14ac:dyDescent="0.3">
      <c r="A98">
        <v>97</v>
      </c>
      <c r="B98" t="s">
        <v>121</v>
      </c>
      <c r="C98" t="s">
        <v>94</v>
      </c>
      <c r="D98" t="s">
        <v>111</v>
      </c>
      <c r="E98" t="s">
        <v>143</v>
      </c>
      <c r="F98" t="s">
        <v>98</v>
      </c>
      <c r="G98" t="s">
        <v>87</v>
      </c>
      <c r="H98" t="s">
        <v>98</v>
      </c>
      <c r="I98" t="s">
        <v>99</v>
      </c>
      <c r="J98" t="s">
        <v>123</v>
      </c>
      <c r="K98" t="s">
        <v>101</v>
      </c>
      <c r="L98" t="s">
        <v>102</v>
      </c>
      <c r="M98" t="s">
        <v>168</v>
      </c>
      <c r="N98" t="s">
        <v>150</v>
      </c>
      <c r="O98" t="s">
        <v>105</v>
      </c>
      <c r="P98" t="s">
        <v>125</v>
      </c>
      <c r="Q98" t="s">
        <v>102</v>
      </c>
      <c r="S98">
        <v>4</v>
      </c>
      <c r="T98">
        <v>3</v>
      </c>
      <c r="U98">
        <v>3</v>
      </c>
      <c r="V98">
        <v>3</v>
      </c>
      <c r="W98">
        <v>3</v>
      </c>
      <c r="X98">
        <v>5</v>
      </c>
      <c r="Y98">
        <v>3</v>
      </c>
      <c r="Z98">
        <v>5</v>
      </c>
      <c r="AA98">
        <v>4</v>
      </c>
      <c r="AB98">
        <v>3</v>
      </c>
      <c r="AC98">
        <v>5</v>
      </c>
      <c r="AD98">
        <v>4</v>
      </c>
      <c r="AE98">
        <v>4</v>
      </c>
      <c r="AF98">
        <v>3</v>
      </c>
      <c r="AG98">
        <v>4</v>
      </c>
      <c r="AH98">
        <v>2</v>
      </c>
      <c r="AI98">
        <v>3</v>
      </c>
      <c r="AJ98">
        <v>2</v>
      </c>
      <c r="AK98">
        <v>2</v>
      </c>
      <c r="AL98" t="s">
        <v>226</v>
      </c>
      <c r="AM98" t="s">
        <v>228</v>
      </c>
    </row>
    <row r="99" spans="1:39" x14ac:dyDescent="0.3">
      <c r="A99">
        <v>98</v>
      </c>
      <c r="B99" t="s">
        <v>112</v>
      </c>
      <c r="C99" t="s">
        <v>110</v>
      </c>
      <c r="D99" t="s">
        <v>111</v>
      </c>
      <c r="E99" t="s">
        <v>143</v>
      </c>
      <c r="F99" t="s">
        <v>98</v>
      </c>
      <c r="G99" t="s">
        <v>87</v>
      </c>
      <c r="H99" t="s">
        <v>98</v>
      </c>
      <c r="I99" t="s">
        <v>99</v>
      </c>
      <c r="J99" t="s">
        <v>123</v>
      </c>
      <c r="K99" t="s">
        <v>101</v>
      </c>
      <c r="L99" t="s">
        <v>102</v>
      </c>
      <c r="M99" t="s">
        <v>168</v>
      </c>
      <c r="N99" t="s">
        <v>150</v>
      </c>
      <c r="O99" t="s">
        <v>105</v>
      </c>
      <c r="P99" t="s">
        <v>125</v>
      </c>
      <c r="Q99" t="s">
        <v>102</v>
      </c>
      <c r="S99">
        <v>4</v>
      </c>
      <c r="T99">
        <v>3</v>
      </c>
      <c r="U99">
        <v>3</v>
      </c>
      <c r="V99">
        <v>4</v>
      </c>
      <c r="W99">
        <v>4</v>
      </c>
      <c r="X99">
        <v>4</v>
      </c>
      <c r="Y99">
        <v>4</v>
      </c>
      <c r="Z99">
        <v>4</v>
      </c>
      <c r="AA99">
        <v>3</v>
      </c>
      <c r="AB99">
        <v>3</v>
      </c>
      <c r="AC99">
        <v>5</v>
      </c>
      <c r="AD99">
        <v>3</v>
      </c>
      <c r="AE99">
        <v>3</v>
      </c>
      <c r="AF99">
        <v>3</v>
      </c>
      <c r="AG99">
        <v>3</v>
      </c>
      <c r="AH99">
        <v>1</v>
      </c>
      <c r="AI99">
        <v>2</v>
      </c>
      <c r="AJ99">
        <v>1</v>
      </c>
      <c r="AK99">
        <v>1</v>
      </c>
      <c r="AL99" t="s">
        <v>226</v>
      </c>
      <c r="AM99" t="s">
        <v>228</v>
      </c>
    </row>
    <row r="100" spans="1:39" x14ac:dyDescent="0.3">
      <c r="A100">
        <v>99</v>
      </c>
      <c r="B100" t="s">
        <v>121</v>
      </c>
      <c r="C100" t="s">
        <v>133</v>
      </c>
      <c r="D100" t="s">
        <v>95</v>
      </c>
      <c r="E100" t="s">
        <v>271</v>
      </c>
      <c r="F100" t="s">
        <v>98</v>
      </c>
      <c r="G100" t="s">
        <v>88</v>
      </c>
      <c r="H100" t="s">
        <v>98</v>
      </c>
      <c r="I100" t="s">
        <v>99</v>
      </c>
      <c r="J100" t="s">
        <v>123</v>
      </c>
      <c r="K100" t="s">
        <v>124</v>
      </c>
      <c r="L100" t="s">
        <v>102</v>
      </c>
      <c r="M100" t="s">
        <v>168</v>
      </c>
      <c r="N100" t="s">
        <v>136</v>
      </c>
      <c r="O100" t="s">
        <v>105</v>
      </c>
      <c r="P100" t="s">
        <v>166</v>
      </c>
      <c r="Q100" t="s">
        <v>102</v>
      </c>
      <c r="S100">
        <v>5</v>
      </c>
      <c r="T100">
        <v>4</v>
      </c>
      <c r="U100">
        <v>4</v>
      </c>
      <c r="V100">
        <v>3</v>
      </c>
      <c r="W100">
        <v>3</v>
      </c>
      <c r="X100">
        <v>4</v>
      </c>
      <c r="Y100">
        <v>4</v>
      </c>
      <c r="Z100">
        <v>3</v>
      </c>
      <c r="AA100">
        <v>4</v>
      </c>
      <c r="AB100">
        <v>4</v>
      </c>
      <c r="AC100">
        <v>3</v>
      </c>
      <c r="AD100">
        <v>3</v>
      </c>
      <c r="AE100">
        <v>3</v>
      </c>
      <c r="AF100">
        <v>3</v>
      </c>
      <c r="AG100">
        <v>3</v>
      </c>
      <c r="AH100">
        <v>2</v>
      </c>
      <c r="AI100">
        <v>4</v>
      </c>
      <c r="AJ100">
        <v>2</v>
      </c>
      <c r="AK100">
        <v>2</v>
      </c>
      <c r="AL100" t="s">
        <v>246</v>
      </c>
      <c r="AM100" t="s">
        <v>252</v>
      </c>
    </row>
    <row r="101" spans="1:39" x14ac:dyDescent="0.3">
      <c r="A101">
        <v>100</v>
      </c>
      <c r="B101" t="s">
        <v>109</v>
      </c>
      <c r="C101" t="s">
        <v>266</v>
      </c>
      <c r="D101" t="s">
        <v>111</v>
      </c>
      <c r="E101" t="s">
        <v>212</v>
      </c>
      <c r="F101" t="s">
        <v>98</v>
      </c>
      <c r="G101" t="s">
        <v>88</v>
      </c>
      <c r="H101" t="s">
        <v>98</v>
      </c>
      <c r="I101" t="s">
        <v>99</v>
      </c>
      <c r="J101" t="s">
        <v>123</v>
      </c>
      <c r="K101" t="s">
        <v>124</v>
      </c>
      <c r="L101" t="s">
        <v>102</v>
      </c>
      <c r="M101" t="s">
        <v>168</v>
      </c>
      <c r="N101" t="s">
        <v>136</v>
      </c>
      <c r="O101" t="s">
        <v>105</v>
      </c>
      <c r="P101" t="s">
        <v>125</v>
      </c>
      <c r="Q101" t="s">
        <v>102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4</v>
      </c>
      <c r="Y101">
        <v>4</v>
      </c>
      <c r="Z101">
        <v>4</v>
      </c>
      <c r="AA101">
        <v>4</v>
      </c>
      <c r="AB101">
        <v>3</v>
      </c>
      <c r="AC101">
        <v>3</v>
      </c>
      <c r="AD101">
        <v>3</v>
      </c>
      <c r="AE101">
        <v>4</v>
      </c>
      <c r="AF101">
        <v>4</v>
      </c>
      <c r="AG101">
        <v>4</v>
      </c>
      <c r="AH101">
        <v>2</v>
      </c>
      <c r="AI101">
        <v>4</v>
      </c>
      <c r="AJ101">
        <v>3</v>
      </c>
      <c r="AK101">
        <v>2</v>
      </c>
      <c r="AL101" t="s">
        <v>246</v>
      </c>
      <c r="AM101" t="s">
        <v>252</v>
      </c>
    </row>
    <row r="102" spans="1:39" x14ac:dyDescent="0.3">
      <c r="A102">
        <v>101</v>
      </c>
      <c r="B102" t="s">
        <v>109</v>
      </c>
      <c r="C102" t="s">
        <v>266</v>
      </c>
      <c r="D102" t="s">
        <v>111</v>
      </c>
      <c r="E102" t="s">
        <v>212</v>
      </c>
      <c r="F102" t="s">
        <v>98</v>
      </c>
      <c r="G102" t="s">
        <v>89</v>
      </c>
      <c r="H102" t="s">
        <v>98</v>
      </c>
      <c r="I102" t="s">
        <v>114</v>
      </c>
      <c r="J102" t="s">
        <v>100</v>
      </c>
      <c r="K102" t="s">
        <v>124</v>
      </c>
      <c r="L102" t="s">
        <v>102</v>
      </c>
      <c r="M102" t="s">
        <v>149</v>
      </c>
      <c r="N102" t="s">
        <v>136</v>
      </c>
      <c r="O102" t="s">
        <v>105</v>
      </c>
      <c r="P102" t="s">
        <v>106</v>
      </c>
      <c r="Q102" t="s">
        <v>102</v>
      </c>
      <c r="S102">
        <v>5</v>
      </c>
      <c r="T102">
        <v>5</v>
      </c>
      <c r="U102">
        <v>5</v>
      </c>
      <c r="V102">
        <v>4</v>
      </c>
      <c r="W102">
        <v>3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3</v>
      </c>
      <c r="AD102">
        <v>3</v>
      </c>
      <c r="AE102">
        <v>4</v>
      </c>
      <c r="AF102">
        <v>3</v>
      </c>
      <c r="AG102">
        <v>4</v>
      </c>
      <c r="AH102">
        <v>3</v>
      </c>
      <c r="AI102">
        <v>2</v>
      </c>
      <c r="AJ102">
        <v>2</v>
      </c>
      <c r="AK102">
        <v>2</v>
      </c>
      <c r="AL102" t="s">
        <v>199</v>
      </c>
      <c r="AM102" t="s">
        <v>275</v>
      </c>
    </row>
    <row r="103" spans="1:39" x14ac:dyDescent="0.3">
      <c r="A103">
        <v>102</v>
      </c>
      <c r="B103" t="s">
        <v>129</v>
      </c>
      <c r="C103" t="s">
        <v>266</v>
      </c>
      <c r="D103" t="s">
        <v>111</v>
      </c>
      <c r="E103" t="s">
        <v>212</v>
      </c>
      <c r="F103" t="s">
        <v>98</v>
      </c>
      <c r="G103" t="s">
        <v>89</v>
      </c>
      <c r="H103" t="s">
        <v>98</v>
      </c>
      <c r="I103" t="s">
        <v>114</v>
      </c>
      <c r="J103" t="s">
        <v>100</v>
      </c>
      <c r="K103" t="s">
        <v>124</v>
      </c>
      <c r="L103" t="s">
        <v>102</v>
      </c>
      <c r="M103" t="s">
        <v>149</v>
      </c>
      <c r="N103" t="s">
        <v>136</v>
      </c>
      <c r="O103" t="s">
        <v>105</v>
      </c>
      <c r="P103" t="s">
        <v>106</v>
      </c>
      <c r="Q103" t="s">
        <v>102</v>
      </c>
      <c r="S103">
        <v>4</v>
      </c>
      <c r="T103">
        <v>4</v>
      </c>
      <c r="U103">
        <v>4</v>
      </c>
      <c r="V103">
        <v>3</v>
      </c>
      <c r="W103">
        <v>3</v>
      </c>
      <c r="X103">
        <v>4</v>
      </c>
      <c r="Y103">
        <v>4</v>
      </c>
      <c r="Z103">
        <v>4</v>
      </c>
      <c r="AA103">
        <v>4</v>
      </c>
      <c r="AB103">
        <v>3</v>
      </c>
      <c r="AC103">
        <v>3</v>
      </c>
      <c r="AD103">
        <v>3</v>
      </c>
      <c r="AE103">
        <v>5</v>
      </c>
      <c r="AF103">
        <v>3</v>
      </c>
      <c r="AG103">
        <v>3</v>
      </c>
      <c r="AH103">
        <v>3</v>
      </c>
      <c r="AI103">
        <v>3</v>
      </c>
      <c r="AJ103">
        <v>3</v>
      </c>
      <c r="AK103">
        <v>3</v>
      </c>
      <c r="AL103" t="s">
        <v>199</v>
      </c>
      <c r="AM103" t="s">
        <v>275</v>
      </c>
    </row>
    <row r="104" spans="1:39" x14ac:dyDescent="0.3">
      <c r="A104">
        <v>103</v>
      </c>
      <c r="B104" t="s">
        <v>121</v>
      </c>
      <c r="C104" t="s">
        <v>133</v>
      </c>
      <c r="D104" t="s">
        <v>95</v>
      </c>
      <c r="E104" t="s">
        <v>212</v>
      </c>
      <c r="F104" t="s">
        <v>97</v>
      </c>
      <c r="G104" t="s">
        <v>90</v>
      </c>
      <c r="H104" t="s">
        <v>97</v>
      </c>
      <c r="I104" t="s">
        <v>114</v>
      </c>
      <c r="J104" t="s">
        <v>100</v>
      </c>
      <c r="K104" t="s">
        <v>274</v>
      </c>
      <c r="L104" t="s">
        <v>273</v>
      </c>
      <c r="M104" t="s">
        <v>149</v>
      </c>
      <c r="N104" t="s">
        <v>136</v>
      </c>
      <c r="O104" t="s">
        <v>105</v>
      </c>
      <c r="P104" t="s">
        <v>106</v>
      </c>
      <c r="Q104" t="s">
        <v>102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4</v>
      </c>
      <c r="Z104">
        <v>4</v>
      </c>
      <c r="AA104">
        <v>4</v>
      </c>
      <c r="AB104">
        <v>3</v>
      </c>
      <c r="AC104">
        <v>3</v>
      </c>
      <c r="AD104">
        <v>3</v>
      </c>
      <c r="AE104">
        <v>5</v>
      </c>
      <c r="AF104">
        <v>3</v>
      </c>
      <c r="AG104">
        <v>3</v>
      </c>
      <c r="AH104">
        <v>3</v>
      </c>
      <c r="AI104">
        <v>4</v>
      </c>
      <c r="AJ104">
        <v>3</v>
      </c>
      <c r="AK104">
        <v>3</v>
      </c>
      <c r="AL104" t="s">
        <v>246</v>
      </c>
      <c r="AM104" t="s">
        <v>252</v>
      </c>
    </row>
    <row r="105" spans="1:39" x14ac:dyDescent="0.3">
      <c r="A105">
        <v>104</v>
      </c>
      <c r="B105" t="s">
        <v>109</v>
      </c>
      <c r="C105" t="s">
        <v>94</v>
      </c>
      <c r="D105" t="s">
        <v>111</v>
      </c>
      <c r="E105" t="s">
        <v>272</v>
      </c>
      <c r="F105" t="s">
        <v>97</v>
      </c>
      <c r="G105" t="s">
        <v>90</v>
      </c>
      <c r="H105" t="s">
        <v>97</v>
      </c>
      <c r="I105" t="s">
        <v>114</v>
      </c>
      <c r="J105" t="s">
        <v>100</v>
      </c>
      <c r="K105" t="s">
        <v>274</v>
      </c>
      <c r="L105" t="s">
        <v>273</v>
      </c>
      <c r="M105" t="s">
        <v>149</v>
      </c>
      <c r="N105" t="s">
        <v>136</v>
      </c>
      <c r="O105" t="s">
        <v>105</v>
      </c>
      <c r="P105" t="s">
        <v>106</v>
      </c>
      <c r="Q105" t="s">
        <v>102</v>
      </c>
      <c r="S105">
        <v>4</v>
      </c>
      <c r="T105">
        <v>3</v>
      </c>
      <c r="U105">
        <v>3</v>
      </c>
      <c r="V105">
        <v>3</v>
      </c>
      <c r="W105">
        <v>3</v>
      </c>
      <c r="X105">
        <v>5</v>
      </c>
      <c r="Y105">
        <v>3</v>
      </c>
      <c r="Z105">
        <v>5</v>
      </c>
      <c r="AA105">
        <v>4</v>
      </c>
      <c r="AB105">
        <v>3</v>
      </c>
      <c r="AC105">
        <v>5</v>
      </c>
      <c r="AD105">
        <v>4</v>
      </c>
      <c r="AE105">
        <v>4</v>
      </c>
      <c r="AF105">
        <v>3</v>
      </c>
      <c r="AG105">
        <v>4</v>
      </c>
      <c r="AH105">
        <v>2</v>
      </c>
      <c r="AI105">
        <v>3</v>
      </c>
      <c r="AJ105">
        <v>2</v>
      </c>
      <c r="AK105">
        <v>2</v>
      </c>
      <c r="AL105" t="s">
        <v>246</v>
      </c>
      <c r="AM105" t="s">
        <v>252</v>
      </c>
    </row>
    <row r="106" spans="1:39" x14ac:dyDescent="0.3">
      <c r="A106">
        <v>105</v>
      </c>
      <c r="B106" t="s">
        <v>121</v>
      </c>
      <c r="C106" t="s">
        <v>110</v>
      </c>
      <c r="D106" t="s">
        <v>111</v>
      </c>
      <c r="E106" t="s">
        <v>148</v>
      </c>
      <c r="F106" t="s">
        <v>98</v>
      </c>
      <c r="G106" t="s">
        <v>91</v>
      </c>
      <c r="H106" t="s">
        <v>98</v>
      </c>
      <c r="I106" t="s">
        <v>99</v>
      </c>
      <c r="J106" t="s">
        <v>100</v>
      </c>
      <c r="K106" t="s">
        <v>201</v>
      </c>
      <c r="L106" t="s">
        <v>102</v>
      </c>
      <c r="M106" t="s">
        <v>168</v>
      </c>
      <c r="N106" t="s">
        <v>136</v>
      </c>
      <c r="O106" t="s">
        <v>105</v>
      </c>
      <c r="P106" t="s">
        <v>106</v>
      </c>
      <c r="Q106" t="s">
        <v>102</v>
      </c>
      <c r="S106">
        <v>4</v>
      </c>
      <c r="T106">
        <v>3</v>
      </c>
      <c r="U106">
        <v>3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3</v>
      </c>
      <c r="AB106">
        <v>3</v>
      </c>
      <c r="AC106">
        <v>5</v>
      </c>
      <c r="AD106">
        <v>3</v>
      </c>
      <c r="AE106">
        <v>3</v>
      </c>
      <c r="AF106">
        <v>3</v>
      </c>
      <c r="AG106">
        <v>3</v>
      </c>
      <c r="AH106">
        <v>1</v>
      </c>
      <c r="AI106">
        <v>2</v>
      </c>
      <c r="AJ106">
        <v>1</v>
      </c>
      <c r="AK106">
        <v>1</v>
      </c>
      <c r="AL106" t="s">
        <v>226</v>
      </c>
      <c r="AM106" t="s">
        <v>228</v>
      </c>
    </row>
    <row r="107" spans="1:39" x14ac:dyDescent="0.3">
      <c r="A107">
        <v>106</v>
      </c>
      <c r="B107" t="s">
        <v>109</v>
      </c>
      <c r="C107" t="s">
        <v>110</v>
      </c>
      <c r="D107" t="s">
        <v>111</v>
      </c>
      <c r="E107" t="s">
        <v>212</v>
      </c>
      <c r="F107" t="s">
        <v>98</v>
      </c>
      <c r="G107" t="s">
        <v>91</v>
      </c>
      <c r="H107" t="s">
        <v>98</v>
      </c>
      <c r="I107" t="s">
        <v>99</v>
      </c>
      <c r="J107" t="s">
        <v>100</v>
      </c>
      <c r="K107" t="s">
        <v>201</v>
      </c>
      <c r="L107" t="s">
        <v>102</v>
      </c>
      <c r="M107" t="s">
        <v>168</v>
      </c>
      <c r="N107" t="s">
        <v>136</v>
      </c>
      <c r="O107" t="s">
        <v>105</v>
      </c>
      <c r="P107" t="s">
        <v>106</v>
      </c>
      <c r="Q107" t="s">
        <v>102</v>
      </c>
      <c r="S107">
        <v>5</v>
      </c>
      <c r="T107">
        <v>4</v>
      </c>
      <c r="U107">
        <v>4</v>
      </c>
      <c r="V107">
        <v>3</v>
      </c>
      <c r="W107">
        <v>3</v>
      </c>
      <c r="X107">
        <v>4</v>
      </c>
      <c r="Y107">
        <v>4</v>
      </c>
      <c r="Z107">
        <v>3</v>
      </c>
      <c r="AA107">
        <v>4</v>
      </c>
      <c r="AB107">
        <v>4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2</v>
      </c>
      <c r="AI107">
        <v>4</v>
      </c>
      <c r="AJ107">
        <v>2</v>
      </c>
      <c r="AK107">
        <v>2</v>
      </c>
      <c r="AL107" t="s">
        <v>226</v>
      </c>
      <c r="AM107" t="s">
        <v>228</v>
      </c>
    </row>
    <row r="108" spans="1:39" x14ac:dyDescent="0.3">
      <c r="A108">
        <v>107</v>
      </c>
      <c r="B108" t="s">
        <v>121</v>
      </c>
      <c r="C108" t="s">
        <v>110</v>
      </c>
      <c r="D108" t="s">
        <v>95</v>
      </c>
      <c r="E108" t="s">
        <v>148</v>
      </c>
      <c r="F108" t="s">
        <v>98</v>
      </c>
      <c r="G108" t="s">
        <v>92</v>
      </c>
      <c r="H108" t="s">
        <v>98</v>
      </c>
      <c r="I108" t="s">
        <v>99</v>
      </c>
      <c r="J108" t="s">
        <v>100</v>
      </c>
      <c r="K108" t="s">
        <v>177</v>
      </c>
      <c r="L108" t="s">
        <v>102</v>
      </c>
      <c r="M108" t="s">
        <v>229</v>
      </c>
      <c r="N108" t="s">
        <v>136</v>
      </c>
      <c r="O108" t="s">
        <v>105</v>
      </c>
      <c r="P108" t="s">
        <v>166</v>
      </c>
      <c r="Q108" t="s">
        <v>102</v>
      </c>
      <c r="S108">
        <v>4</v>
      </c>
      <c r="T108">
        <v>3</v>
      </c>
      <c r="U108">
        <v>4</v>
      </c>
      <c r="V108">
        <v>3</v>
      </c>
      <c r="W108">
        <v>3</v>
      </c>
      <c r="X108">
        <v>3</v>
      </c>
      <c r="Y108">
        <v>4</v>
      </c>
      <c r="Z108">
        <v>4</v>
      </c>
      <c r="AA108">
        <v>4</v>
      </c>
      <c r="AB108">
        <v>3</v>
      </c>
      <c r="AC108">
        <v>4</v>
      </c>
      <c r="AD108">
        <v>3</v>
      </c>
      <c r="AE108">
        <v>4</v>
      </c>
      <c r="AF108">
        <v>4</v>
      </c>
      <c r="AG108">
        <v>4</v>
      </c>
      <c r="AH108">
        <v>3</v>
      </c>
      <c r="AI108">
        <v>2</v>
      </c>
      <c r="AJ108">
        <v>2</v>
      </c>
      <c r="AK108">
        <v>2</v>
      </c>
      <c r="AL108" t="s">
        <v>226</v>
      </c>
      <c r="AM108" t="s">
        <v>227</v>
      </c>
    </row>
    <row r="109" spans="1:39" x14ac:dyDescent="0.3">
      <c r="A109">
        <v>108</v>
      </c>
      <c r="B109" t="s">
        <v>129</v>
      </c>
      <c r="C109" t="s">
        <v>110</v>
      </c>
      <c r="D109" t="s">
        <v>111</v>
      </c>
      <c r="E109" t="s">
        <v>160</v>
      </c>
      <c r="F109" t="s">
        <v>98</v>
      </c>
      <c r="G109" t="s">
        <v>92</v>
      </c>
      <c r="H109" t="s">
        <v>98</v>
      </c>
      <c r="I109" t="s">
        <v>99</v>
      </c>
      <c r="J109" t="s">
        <v>100</v>
      </c>
      <c r="K109" t="s">
        <v>177</v>
      </c>
      <c r="L109" t="s">
        <v>102</v>
      </c>
      <c r="M109" t="s">
        <v>229</v>
      </c>
      <c r="N109" t="s">
        <v>136</v>
      </c>
      <c r="O109" t="s">
        <v>105</v>
      </c>
      <c r="P109" t="s">
        <v>166</v>
      </c>
      <c r="Q109" t="s">
        <v>102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4</v>
      </c>
      <c r="Y109">
        <v>4</v>
      </c>
      <c r="Z109">
        <v>4</v>
      </c>
      <c r="AA109">
        <v>4</v>
      </c>
      <c r="AB109">
        <v>3</v>
      </c>
      <c r="AC109">
        <v>4</v>
      </c>
      <c r="AD109">
        <v>4</v>
      </c>
      <c r="AE109">
        <v>4</v>
      </c>
      <c r="AF109">
        <v>4</v>
      </c>
      <c r="AG109">
        <v>4</v>
      </c>
      <c r="AH109">
        <v>3</v>
      </c>
      <c r="AI109">
        <v>3</v>
      </c>
      <c r="AJ109">
        <v>2</v>
      </c>
      <c r="AK109">
        <v>2</v>
      </c>
      <c r="AL109" t="s">
        <v>226</v>
      </c>
      <c r="AM109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0CBDA-3B93-40AA-9954-2AC3A7BE968C}">
  <dimension ref="A1:C20"/>
  <sheetViews>
    <sheetView workbookViewId="0">
      <selection activeCell="A18" sqref="A18"/>
    </sheetView>
  </sheetViews>
  <sheetFormatPr defaultRowHeight="14.4" x14ac:dyDescent="0.3"/>
  <cols>
    <col min="1" max="1" width="133" style="16" customWidth="1"/>
    <col min="2" max="2" width="18.77734375" style="16" customWidth="1"/>
    <col min="3" max="3" width="41.6640625" style="16" customWidth="1"/>
    <col min="4" max="16384" width="8.88671875" style="16"/>
  </cols>
  <sheetData>
    <row r="1" spans="1:3" x14ac:dyDescent="0.3">
      <c r="A1" s="16" t="s">
        <v>277</v>
      </c>
      <c r="B1" s="16" t="s">
        <v>278</v>
      </c>
      <c r="C1" s="16" t="s">
        <v>279</v>
      </c>
    </row>
    <row r="2" spans="1:3" x14ac:dyDescent="0.3">
      <c r="A2" s="16" t="s">
        <v>284</v>
      </c>
      <c r="B2" s="16" t="s">
        <v>8</v>
      </c>
      <c r="C2" s="16" t="s">
        <v>280</v>
      </c>
    </row>
    <row r="3" spans="1:3" x14ac:dyDescent="0.3">
      <c r="A3" s="17" t="s">
        <v>284</v>
      </c>
      <c r="B3" s="16" t="s">
        <v>9</v>
      </c>
      <c r="C3" s="16" t="s">
        <v>280</v>
      </c>
    </row>
    <row r="4" spans="1:3" x14ac:dyDescent="0.3">
      <c r="A4" s="17" t="s">
        <v>285</v>
      </c>
      <c r="B4" s="16" t="s">
        <v>10</v>
      </c>
      <c r="C4" s="16" t="s">
        <v>280</v>
      </c>
    </row>
    <row r="5" spans="1:3" x14ac:dyDescent="0.3">
      <c r="A5" s="17" t="s">
        <v>286</v>
      </c>
      <c r="B5" s="16" t="s">
        <v>11</v>
      </c>
      <c r="C5" s="16" t="s">
        <v>280</v>
      </c>
    </row>
    <row r="6" spans="1:3" x14ac:dyDescent="0.3">
      <c r="A6" s="17" t="s">
        <v>287</v>
      </c>
      <c r="B6" s="16" t="s">
        <v>12</v>
      </c>
      <c r="C6" s="16" t="s">
        <v>280</v>
      </c>
    </row>
    <row r="7" spans="1:3" x14ac:dyDescent="0.3">
      <c r="A7" s="17" t="s">
        <v>288</v>
      </c>
      <c r="B7" s="16" t="s">
        <v>13</v>
      </c>
      <c r="C7" s="16" t="s">
        <v>280</v>
      </c>
    </row>
    <row r="8" spans="1:3" x14ac:dyDescent="0.3">
      <c r="A8" s="17" t="s">
        <v>289</v>
      </c>
      <c r="B8" s="16" t="s">
        <v>14</v>
      </c>
      <c r="C8" s="16" t="s">
        <v>281</v>
      </c>
    </row>
    <row r="9" spans="1:3" x14ac:dyDescent="0.3">
      <c r="A9" s="17" t="s">
        <v>290</v>
      </c>
      <c r="B9" s="16" t="s">
        <v>15</v>
      </c>
      <c r="C9" s="16" t="s">
        <v>281</v>
      </c>
    </row>
    <row r="10" spans="1:3" x14ac:dyDescent="0.3">
      <c r="A10" s="17" t="s">
        <v>291</v>
      </c>
      <c r="B10" s="16" t="s">
        <v>16</v>
      </c>
      <c r="C10" s="16" t="s">
        <v>281</v>
      </c>
    </row>
    <row r="11" spans="1:3" x14ac:dyDescent="0.3">
      <c r="A11" s="17" t="s">
        <v>292</v>
      </c>
      <c r="B11" s="16" t="s">
        <v>17</v>
      </c>
      <c r="C11" s="16" t="s">
        <v>281</v>
      </c>
    </row>
    <row r="12" spans="1:3" x14ac:dyDescent="0.3">
      <c r="A12" s="17" t="s">
        <v>293</v>
      </c>
      <c r="B12" s="16" t="s">
        <v>18</v>
      </c>
      <c r="C12" s="16" t="s">
        <v>281</v>
      </c>
    </row>
    <row r="13" spans="1:3" x14ac:dyDescent="0.3">
      <c r="A13" s="17" t="s">
        <v>294</v>
      </c>
      <c r="B13" s="16" t="s">
        <v>19</v>
      </c>
      <c r="C13" s="16" t="s">
        <v>281</v>
      </c>
    </row>
    <row r="14" spans="1:3" x14ac:dyDescent="0.3">
      <c r="A14" s="17" t="s">
        <v>295</v>
      </c>
      <c r="B14" s="16" t="s">
        <v>20</v>
      </c>
      <c r="C14" s="16" t="s">
        <v>282</v>
      </c>
    </row>
    <row r="15" spans="1:3" x14ac:dyDescent="0.3">
      <c r="A15" s="17" t="s">
        <v>296</v>
      </c>
      <c r="B15" s="16" t="s">
        <v>21</v>
      </c>
      <c r="C15" s="16" t="s">
        <v>282</v>
      </c>
    </row>
    <row r="16" spans="1:3" x14ac:dyDescent="0.3">
      <c r="A16" s="17" t="s">
        <v>297</v>
      </c>
      <c r="B16" s="16" t="s">
        <v>22</v>
      </c>
      <c r="C16" s="16" t="s">
        <v>282</v>
      </c>
    </row>
    <row r="17" spans="1:3" x14ac:dyDescent="0.3">
      <c r="A17" s="17" t="s">
        <v>298</v>
      </c>
      <c r="B17" s="16" t="s">
        <v>23</v>
      </c>
      <c r="C17" s="16" t="s">
        <v>283</v>
      </c>
    </row>
    <row r="18" spans="1:3" ht="19.2" customHeight="1" x14ac:dyDescent="0.3">
      <c r="A18" s="17" t="s">
        <v>299</v>
      </c>
      <c r="B18" s="16" t="s">
        <v>24</v>
      </c>
      <c r="C18" s="16" t="s">
        <v>283</v>
      </c>
    </row>
    <row r="19" spans="1:3" ht="18" customHeight="1" x14ac:dyDescent="0.3">
      <c r="A19" s="17" t="s">
        <v>300</v>
      </c>
      <c r="B19" s="16" t="s">
        <v>25</v>
      </c>
      <c r="C19" s="16" t="s">
        <v>283</v>
      </c>
    </row>
    <row r="20" spans="1:3" ht="16.2" customHeight="1" x14ac:dyDescent="0.3">
      <c r="A20" s="17" t="s">
        <v>300</v>
      </c>
      <c r="B20" s="16" t="s">
        <v>26</v>
      </c>
      <c r="C20" s="16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9222-BD5E-4C89-A3BF-6B5AAE966D6F}">
  <dimension ref="A1:AM109"/>
  <sheetViews>
    <sheetView topLeftCell="P102" workbookViewId="0">
      <selection sqref="A1:AM109"/>
    </sheetView>
  </sheetViews>
  <sheetFormatPr defaultRowHeight="10.199999999999999" x14ac:dyDescent="0.3"/>
  <cols>
    <col min="1" max="6" width="10.77734375" style="5" customWidth="1"/>
    <col min="7" max="7" width="23.88671875" style="5" customWidth="1"/>
    <col min="8" max="18" width="10.77734375" style="5" customWidth="1"/>
    <col min="19" max="37" width="5.77734375" style="5" customWidth="1"/>
    <col min="38" max="39" width="10.77734375" style="5" customWidth="1"/>
    <col min="40" max="16384" width="8.88671875" style="5"/>
  </cols>
  <sheetData>
    <row r="1" spans="1:39" s="2" customFormat="1" ht="40.799999999999997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31</v>
      </c>
      <c r="G1" s="1" t="s">
        <v>30</v>
      </c>
      <c r="H1" s="1" t="s">
        <v>32</v>
      </c>
      <c r="I1" s="1" t="s">
        <v>33</v>
      </c>
      <c r="J1" s="1" t="s">
        <v>5</v>
      </c>
      <c r="K1" s="1" t="s">
        <v>37</v>
      </c>
      <c r="L1" s="1" t="s">
        <v>34</v>
      </c>
      <c r="M1" s="1" t="s">
        <v>38</v>
      </c>
      <c r="N1" s="1" t="s">
        <v>35</v>
      </c>
      <c r="O1" s="1" t="s">
        <v>6</v>
      </c>
      <c r="P1" s="1" t="s">
        <v>29</v>
      </c>
      <c r="Q1" s="1" t="s">
        <v>36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28</v>
      </c>
      <c r="AM1" s="1" t="s">
        <v>27</v>
      </c>
    </row>
    <row r="2" spans="1:39" ht="71.400000000000006" x14ac:dyDescent="0.3">
      <c r="A2" s="3">
        <v>1</v>
      </c>
      <c r="B2" s="4" t="s">
        <v>121</v>
      </c>
      <c r="C2" s="4" t="s">
        <v>133</v>
      </c>
      <c r="D2" s="4" t="s">
        <v>95</v>
      </c>
      <c r="E2" s="4" t="s">
        <v>160</v>
      </c>
      <c r="F2" s="4" t="s">
        <v>98</v>
      </c>
      <c r="G2" s="14" t="s">
        <v>39</v>
      </c>
      <c r="H2" s="4" t="s">
        <v>98</v>
      </c>
      <c r="I2" s="4" t="s">
        <v>99</v>
      </c>
      <c r="J2" s="4" t="s">
        <v>123</v>
      </c>
      <c r="K2" s="4" t="s">
        <v>220</v>
      </c>
      <c r="L2" s="4" t="s">
        <v>102</v>
      </c>
      <c r="M2" s="4" t="s">
        <v>142</v>
      </c>
      <c r="N2" s="7" t="s">
        <v>136</v>
      </c>
      <c r="O2" s="4" t="s">
        <v>105</v>
      </c>
      <c r="P2" s="4" t="s">
        <v>166</v>
      </c>
      <c r="Q2" s="4" t="s">
        <v>102</v>
      </c>
      <c r="R2" s="6"/>
      <c r="S2" s="4">
        <v>4</v>
      </c>
      <c r="T2" s="4">
        <v>5</v>
      </c>
      <c r="U2" s="4">
        <v>4</v>
      </c>
      <c r="V2" s="4">
        <v>4</v>
      </c>
      <c r="W2" s="4">
        <v>4</v>
      </c>
      <c r="X2" s="4">
        <v>4</v>
      </c>
      <c r="Y2" s="4">
        <v>5</v>
      </c>
      <c r="Z2" s="4">
        <v>5</v>
      </c>
      <c r="AA2" s="4">
        <v>5</v>
      </c>
      <c r="AB2" s="4">
        <v>3</v>
      </c>
      <c r="AC2" s="4">
        <v>3</v>
      </c>
      <c r="AD2" s="4">
        <v>3</v>
      </c>
      <c r="AE2" s="4">
        <v>4</v>
      </c>
      <c r="AF2" s="4">
        <v>3</v>
      </c>
      <c r="AG2" s="4">
        <v>4</v>
      </c>
      <c r="AH2" s="4">
        <v>3</v>
      </c>
      <c r="AI2" s="4">
        <v>3</v>
      </c>
      <c r="AJ2" s="4">
        <v>2</v>
      </c>
      <c r="AK2" s="4">
        <v>3</v>
      </c>
      <c r="AL2" s="4" t="s">
        <v>221</v>
      </c>
      <c r="AM2" s="4" t="s">
        <v>222</v>
      </c>
    </row>
    <row r="3" spans="1:39" ht="40.799999999999997" x14ac:dyDescent="0.3">
      <c r="A3" s="3">
        <f>A2+1</f>
        <v>2</v>
      </c>
      <c r="B3" s="4" t="s">
        <v>129</v>
      </c>
      <c r="C3" s="4" t="s">
        <v>94</v>
      </c>
      <c r="D3" s="4" t="s">
        <v>111</v>
      </c>
      <c r="E3" s="4" t="s">
        <v>160</v>
      </c>
      <c r="F3" s="4" t="s">
        <v>98</v>
      </c>
      <c r="G3" s="14" t="s">
        <v>39</v>
      </c>
      <c r="H3" s="4" t="s">
        <v>98</v>
      </c>
      <c r="I3" s="4" t="s">
        <v>99</v>
      </c>
      <c r="J3" s="4" t="s">
        <v>123</v>
      </c>
      <c r="K3" s="4" t="s">
        <v>220</v>
      </c>
      <c r="L3" s="4" t="s">
        <v>102</v>
      </c>
      <c r="M3" s="4" t="s">
        <v>142</v>
      </c>
      <c r="N3" s="7" t="s">
        <v>136</v>
      </c>
      <c r="O3" s="4" t="s">
        <v>105</v>
      </c>
      <c r="P3" s="4" t="s">
        <v>166</v>
      </c>
      <c r="Q3" s="4" t="s">
        <v>102</v>
      </c>
      <c r="R3" s="6"/>
      <c r="S3" s="4">
        <v>5</v>
      </c>
      <c r="T3" s="4">
        <v>5</v>
      </c>
      <c r="U3" s="4">
        <v>4</v>
      </c>
      <c r="V3" s="4">
        <v>4</v>
      </c>
      <c r="W3" s="4">
        <v>4</v>
      </c>
      <c r="X3" s="4">
        <v>4</v>
      </c>
      <c r="Y3" s="4">
        <v>4</v>
      </c>
      <c r="Z3" s="4">
        <v>4</v>
      </c>
      <c r="AA3" s="4">
        <v>4</v>
      </c>
      <c r="AB3" s="4">
        <v>3</v>
      </c>
      <c r="AC3" s="4">
        <v>4</v>
      </c>
      <c r="AD3" s="4">
        <v>4</v>
      </c>
      <c r="AE3" s="4">
        <v>4</v>
      </c>
      <c r="AF3" s="4">
        <v>3</v>
      </c>
      <c r="AG3" s="4">
        <v>3</v>
      </c>
      <c r="AH3" s="4">
        <v>2</v>
      </c>
      <c r="AI3" s="4">
        <v>3</v>
      </c>
      <c r="AJ3" s="4">
        <v>2</v>
      </c>
      <c r="AK3" s="4">
        <v>2</v>
      </c>
      <c r="AL3" s="4" t="s">
        <v>221</v>
      </c>
      <c r="AM3" s="4" t="s">
        <v>223</v>
      </c>
    </row>
    <row r="4" spans="1:39" ht="40.799999999999997" x14ac:dyDescent="0.3">
      <c r="A4" s="3">
        <f>A3+1</f>
        <v>3</v>
      </c>
      <c r="B4" s="4" t="s">
        <v>109</v>
      </c>
      <c r="C4" s="4" t="s">
        <v>94</v>
      </c>
      <c r="D4" s="4" t="s">
        <v>111</v>
      </c>
      <c r="E4" s="4" t="s">
        <v>143</v>
      </c>
      <c r="F4" s="4" t="s">
        <v>98</v>
      </c>
      <c r="G4" s="14" t="s">
        <v>40</v>
      </c>
      <c r="H4" s="4" t="s">
        <v>98</v>
      </c>
      <c r="I4" s="4" t="s">
        <v>114</v>
      </c>
      <c r="J4" s="4" t="s">
        <v>123</v>
      </c>
      <c r="K4" s="4" t="s">
        <v>124</v>
      </c>
      <c r="L4" s="4" t="s">
        <v>102</v>
      </c>
      <c r="M4" s="4" t="s">
        <v>142</v>
      </c>
      <c r="N4" s="7" t="s">
        <v>136</v>
      </c>
      <c r="O4" s="4" t="s">
        <v>105</v>
      </c>
      <c r="P4" s="4" t="s">
        <v>166</v>
      </c>
      <c r="Q4" s="4" t="s">
        <v>102</v>
      </c>
      <c r="R4" s="6"/>
      <c r="S4" s="4">
        <v>5</v>
      </c>
      <c r="T4" s="4">
        <v>4</v>
      </c>
      <c r="U4" s="4">
        <v>5</v>
      </c>
      <c r="V4" s="4">
        <v>3</v>
      </c>
      <c r="W4" s="4">
        <v>3</v>
      </c>
      <c r="X4" s="4">
        <v>5</v>
      </c>
      <c r="Y4" s="4">
        <v>4</v>
      </c>
      <c r="Z4" s="4">
        <v>5</v>
      </c>
      <c r="AA4" s="4">
        <v>4</v>
      </c>
      <c r="AB4" s="4">
        <v>3</v>
      </c>
      <c r="AC4" s="4">
        <v>3</v>
      </c>
      <c r="AD4" s="4">
        <v>3</v>
      </c>
      <c r="AE4" s="4">
        <v>4</v>
      </c>
      <c r="AF4" s="4">
        <v>4</v>
      </c>
      <c r="AG4" s="4">
        <v>4</v>
      </c>
      <c r="AH4" s="4">
        <v>3</v>
      </c>
      <c r="AI4" s="4">
        <v>3</v>
      </c>
      <c r="AJ4" s="4">
        <v>2</v>
      </c>
      <c r="AK4" s="4">
        <v>3</v>
      </c>
      <c r="AL4" s="4" t="s">
        <v>224</v>
      </c>
      <c r="AM4" s="4" t="s">
        <v>205</v>
      </c>
    </row>
    <row r="5" spans="1:39" ht="30.6" x14ac:dyDescent="0.3">
      <c r="A5" s="3">
        <f t="shared" ref="A5:A30" si="0">A4+1</f>
        <v>4</v>
      </c>
      <c r="B5" s="4" t="s">
        <v>121</v>
      </c>
      <c r="C5" s="4" t="s">
        <v>133</v>
      </c>
      <c r="D5" s="4" t="s">
        <v>111</v>
      </c>
      <c r="E5" s="4" t="s">
        <v>160</v>
      </c>
      <c r="F5" s="4" t="s">
        <v>98</v>
      </c>
      <c r="G5" s="14" t="s">
        <v>40</v>
      </c>
      <c r="H5" s="4" t="s">
        <v>98</v>
      </c>
      <c r="I5" s="4" t="s">
        <v>114</v>
      </c>
      <c r="J5" s="4" t="s">
        <v>123</v>
      </c>
      <c r="K5" s="4" t="s">
        <v>124</v>
      </c>
      <c r="L5" s="4" t="s">
        <v>102</v>
      </c>
      <c r="M5" s="4" t="s">
        <v>142</v>
      </c>
      <c r="N5" s="7" t="s">
        <v>136</v>
      </c>
      <c r="O5" s="4" t="s">
        <v>105</v>
      </c>
      <c r="P5" s="4" t="s">
        <v>166</v>
      </c>
      <c r="Q5" s="4" t="s">
        <v>102</v>
      </c>
      <c r="R5" s="6"/>
      <c r="S5" s="4">
        <v>5</v>
      </c>
      <c r="T5" s="4">
        <v>5</v>
      </c>
      <c r="U5" s="4">
        <v>5</v>
      </c>
      <c r="V5" s="4">
        <v>4</v>
      </c>
      <c r="W5" s="4">
        <v>3</v>
      </c>
      <c r="X5" s="4">
        <v>4</v>
      </c>
      <c r="Y5" s="4">
        <v>4</v>
      </c>
      <c r="Z5" s="4">
        <v>4</v>
      </c>
      <c r="AA5" s="4">
        <v>4</v>
      </c>
      <c r="AB5" s="4">
        <v>4</v>
      </c>
      <c r="AC5" s="4">
        <v>3</v>
      </c>
      <c r="AD5" s="4">
        <v>3</v>
      </c>
      <c r="AE5" s="4">
        <v>4</v>
      </c>
      <c r="AF5" s="4">
        <v>3</v>
      </c>
      <c r="AG5" s="4">
        <v>4</v>
      </c>
      <c r="AH5" s="4">
        <v>3</v>
      </c>
      <c r="AI5" s="4">
        <v>2</v>
      </c>
      <c r="AJ5" s="4">
        <v>2</v>
      </c>
      <c r="AK5" s="4">
        <v>2</v>
      </c>
      <c r="AL5" s="4" t="s">
        <v>159</v>
      </c>
      <c r="AM5" s="4" t="s">
        <v>225</v>
      </c>
    </row>
    <row r="6" spans="1:39" ht="40.799999999999997" x14ac:dyDescent="0.3">
      <c r="A6" s="3">
        <f t="shared" si="0"/>
        <v>5</v>
      </c>
      <c r="B6" s="4" t="s">
        <v>93</v>
      </c>
      <c r="C6" s="4" t="s">
        <v>94</v>
      </c>
      <c r="D6" s="4" t="s">
        <v>95</v>
      </c>
      <c r="E6" s="4" t="s">
        <v>160</v>
      </c>
      <c r="F6" s="4" t="s">
        <v>97</v>
      </c>
      <c r="G6" s="14" t="s">
        <v>41</v>
      </c>
      <c r="H6" s="4" t="s">
        <v>98</v>
      </c>
      <c r="I6" s="4" t="s">
        <v>114</v>
      </c>
      <c r="J6" s="4" t="s">
        <v>100</v>
      </c>
      <c r="K6" s="4" t="s">
        <v>101</v>
      </c>
      <c r="L6" s="4" t="s">
        <v>102</v>
      </c>
      <c r="M6" s="4" t="s">
        <v>103</v>
      </c>
      <c r="N6" s="10" t="s">
        <v>104</v>
      </c>
      <c r="O6" s="4" t="s">
        <v>105</v>
      </c>
      <c r="P6" s="4" t="s">
        <v>106</v>
      </c>
      <c r="Q6" s="4" t="s">
        <v>102</v>
      </c>
      <c r="R6" s="6"/>
      <c r="S6" s="4">
        <v>4</v>
      </c>
      <c r="T6" s="4">
        <v>4</v>
      </c>
      <c r="U6" s="4">
        <v>4</v>
      </c>
      <c r="V6" s="4">
        <v>3</v>
      </c>
      <c r="W6" s="4">
        <v>3</v>
      </c>
      <c r="X6" s="4">
        <v>4</v>
      </c>
      <c r="Y6" s="4">
        <v>4</v>
      </c>
      <c r="Z6" s="4">
        <v>4</v>
      </c>
      <c r="AA6" s="4">
        <v>4</v>
      </c>
      <c r="AB6" s="4">
        <v>3</v>
      </c>
      <c r="AC6" s="4">
        <v>3</v>
      </c>
      <c r="AD6" s="4">
        <v>3</v>
      </c>
      <c r="AE6" s="4">
        <v>5</v>
      </c>
      <c r="AF6" s="4">
        <v>3</v>
      </c>
      <c r="AG6" s="4">
        <v>3</v>
      </c>
      <c r="AH6" s="4">
        <v>3</v>
      </c>
      <c r="AI6" s="4">
        <v>3</v>
      </c>
      <c r="AJ6" s="4">
        <v>3</v>
      </c>
      <c r="AK6" s="4">
        <v>3</v>
      </c>
      <c r="AL6" s="4" t="s">
        <v>107</v>
      </c>
      <c r="AM6" s="4" t="s">
        <v>108</v>
      </c>
    </row>
    <row r="7" spans="1:39" ht="40.799999999999997" x14ac:dyDescent="0.3">
      <c r="A7" s="3">
        <f t="shared" si="0"/>
        <v>6</v>
      </c>
      <c r="B7" s="4" t="s">
        <v>109</v>
      </c>
      <c r="C7" s="4" t="s">
        <v>110</v>
      </c>
      <c r="D7" s="4" t="s">
        <v>111</v>
      </c>
      <c r="E7" s="4" t="s">
        <v>160</v>
      </c>
      <c r="F7" s="4" t="s">
        <v>97</v>
      </c>
      <c r="G7" s="14" t="s">
        <v>41</v>
      </c>
      <c r="H7" s="4" t="s">
        <v>98</v>
      </c>
      <c r="I7" s="4" t="s">
        <v>114</v>
      </c>
      <c r="J7" s="4" t="s">
        <v>100</v>
      </c>
      <c r="K7" s="4" t="s">
        <v>101</v>
      </c>
      <c r="L7" s="4" t="s">
        <v>102</v>
      </c>
      <c r="M7" s="4" t="s">
        <v>103</v>
      </c>
      <c r="N7" s="10" t="s">
        <v>104</v>
      </c>
      <c r="O7" s="4" t="s">
        <v>105</v>
      </c>
      <c r="P7" s="4" t="s">
        <v>106</v>
      </c>
      <c r="Q7" s="4" t="s">
        <v>102</v>
      </c>
      <c r="R7" s="6"/>
      <c r="S7" s="4">
        <v>3</v>
      </c>
      <c r="T7" s="4">
        <v>3</v>
      </c>
      <c r="U7" s="4">
        <v>3</v>
      </c>
      <c r="V7" s="4">
        <v>3</v>
      </c>
      <c r="W7" s="4">
        <v>3</v>
      </c>
      <c r="X7" s="4">
        <v>3</v>
      </c>
      <c r="Y7" s="4">
        <v>4</v>
      </c>
      <c r="Z7" s="4">
        <v>4</v>
      </c>
      <c r="AA7" s="4">
        <v>4</v>
      </c>
      <c r="AB7" s="4">
        <v>3</v>
      </c>
      <c r="AC7" s="4">
        <v>3</v>
      </c>
      <c r="AD7" s="4">
        <v>3</v>
      </c>
      <c r="AE7" s="4">
        <v>5</v>
      </c>
      <c r="AF7" s="4">
        <v>3</v>
      </c>
      <c r="AG7" s="4">
        <v>3</v>
      </c>
      <c r="AH7" s="4">
        <v>3</v>
      </c>
      <c r="AI7" s="4">
        <v>4</v>
      </c>
      <c r="AJ7" s="4">
        <v>3</v>
      </c>
      <c r="AK7" s="4">
        <v>3</v>
      </c>
      <c r="AL7" s="4" t="s">
        <v>107</v>
      </c>
      <c r="AM7" s="4" t="s">
        <v>108</v>
      </c>
    </row>
    <row r="8" spans="1:39" ht="51" x14ac:dyDescent="0.3">
      <c r="A8" s="3">
        <f t="shared" si="0"/>
        <v>7</v>
      </c>
      <c r="B8" s="4" t="s">
        <v>121</v>
      </c>
      <c r="C8" s="4" t="s">
        <v>133</v>
      </c>
      <c r="D8" s="4" t="s">
        <v>111</v>
      </c>
      <c r="E8" s="4" t="s">
        <v>160</v>
      </c>
      <c r="F8" s="4" t="s">
        <v>97</v>
      </c>
      <c r="G8" s="15" t="s">
        <v>42</v>
      </c>
      <c r="H8" s="4" t="s">
        <v>97</v>
      </c>
      <c r="I8" s="4" t="s">
        <v>114</v>
      </c>
      <c r="J8" s="4" t="s">
        <v>123</v>
      </c>
      <c r="K8" s="4" t="s">
        <v>220</v>
      </c>
      <c r="L8" s="4" t="s">
        <v>102</v>
      </c>
      <c r="M8" s="4" t="s">
        <v>230</v>
      </c>
      <c r="N8" s="7" t="s">
        <v>118</v>
      </c>
      <c r="O8" s="4" t="s">
        <v>105</v>
      </c>
      <c r="P8" s="4" t="s">
        <v>155</v>
      </c>
      <c r="Q8" s="4" t="s">
        <v>102</v>
      </c>
      <c r="R8" s="6"/>
      <c r="S8" s="4">
        <v>5</v>
      </c>
      <c r="T8" s="4">
        <v>4</v>
      </c>
      <c r="U8" s="4">
        <v>5</v>
      </c>
      <c r="V8" s="4">
        <v>3</v>
      </c>
      <c r="W8" s="4">
        <v>4</v>
      </c>
      <c r="X8" s="4">
        <v>5</v>
      </c>
      <c r="Y8" s="4">
        <v>5</v>
      </c>
      <c r="Z8" s="4">
        <v>5</v>
      </c>
      <c r="AA8" s="4">
        <v>5</v>
      </c>
      <c r="AB8" s="4">
        <v>4</v>
      </c>
      <c r="AC8" s="4">
        <v>4</v>
      </c>
      <c r="AD8" s="4">
        <v>4</v>
      </c>
      <c r="AE8" s="4">
        <v>4</v>
      </c>
      <c r="AF8" s="4">
        <v>4</v>
      </c>
      <c r="AG8" s="4">
        <v>4</v>
      </c>
      <c r="AH8" s="4">
        <v>1</v>
      </c>
      <c r="AI8" s="4">
        <v>2</v>
      </c>
      <c r="AJ8" s="4">
        <v>1</v>
      </c>
      <c r="AK8" s="4">
        <v>1</v>
      </c>
      <c r="AL8" s="4" t="s">
        <v>232</v>
      </c>
      <c r="AM8" s="4" t="s">
        <v>233</v>
      </c>
    </row>
    <row r="9" spans="1:39" ht="51" x14ac:dyDescent="0.3">
      <c r="A9" s="3">
        <f t="shared" si="0"/>
        <v>8</v>
      </c>
      <c r="B9" s="4" t="s">
        <v>129</v>
      </c>
      <c r="C9" s="4" t="s">
        <v>94</v>
      </c>
      <c r="D9" s="4" t="s">
        <v>111</v>
      </c>
      <c r="E9" s="4" t="s">
        <v>160</v>
      </c>
      <c r="F9" s="4" t="s">
        <v>97</v>
      </c>
      <c r="G9" s="15" t="s">
        <v>42</v>
      </c>
      <c r="H9" s="4" t="s">
        <v>97</v>
      </c>
      <c r="I9" s="4" t="s">
        <v>114</v>
      </c>
      <c r="J9" s="4" t="s">
        <v>123</v>
      </c>
      <c r="K9" s="4" t="s">
        <v>220</v>
      </c>
      <c r="L9" s="4" t="s">
        <v>102</v>
      </c>
      <c r="M9" s="4" t="s">
        <v>230</v>
      </c>
      <c r="N9" s="7" t="s">
        <v>231</v>
      </c>
      <c r="O9" s="4" t="s">
        <v>105</v>
      </c>
      <c r="P9" s="4" t="s">
        <v>155</v>
      </c>
      <c r="Q9" s="4" t="s">
        <v>102</v>
      </c>
      <c r="R9" s="6"/>
      <c r="S9" s="4">
        <v>5</v>
      </c>
      <c r="T9" s="4">
        <v>5</v>
      </c>
      <c r="U9" s="4">
        <v>5</v>
      </c>
      <c r="V9" s="4">
        <v>4</v>
      </c>
      <c r="W9" s="4">
        <v>5</v>
      </c>
      <c r="X9" s="4">
        <v>5</v>
      </c>
      <c r="Y9" s="4">
        <v>5</v>
      </c>
      <c r="Z9" s="4">
        <v>5</v>
      </c>
      <c r="AA9" s="4">
        <v>5</v>
      </c>
      <c r="AB9" s="4">
        <v>4</v>
      </c>
      <c r="AC9" s="4">
        <v>3</v>
      </c>
      <c r="AD9" s="4">
        <v>4</v>
      </c>
      <c r="AE9" s="4">
        <v>4</v>
      </c>
      <c r="AF9" s="4">
        <v>4</v>
      </c>
      <c r="AG9" s="4">
        <v>4</v>
      </c>
      <c r="AH9" s="4">
        <v>1</v>
      </c>
      <c r="AI9" s="4">
        <v>2</v>
      </c>
      <c r="AJ9" s="4">
        <v>2</v>
      </c>
      <c r="AK9" s="4">
        <v>1</v>
      </c>
      <c r="AL9" s="4" t="s">
        <v>232</v>
      </c>
      <c r="AM9" s="4" t="s">
        <v>233</v>
      </c>
    </row>
    <row r="10" spans="1:39" ht="52.8" x14ac:dyDescent="0.3">
      <c r="A10" s="3">
        <f t="shared" si="0"/>
        <v>9</v>
      </c>
      <c r="B10" s="4" t="s">
        <v>121</v>
      </c>
      <c r="C10" s="4" t="s">
        <v>133</v>
      </c>
      <c r="D10" s="4" t="s">
        <v>95</v>
      </c>
      <c r="E10" s="4" t="s">
        <v>148</v>
      </c>
      <c r="F10" s="4" t="s">
        <v>98</v>
      </c>
      <c r="G10" s="15" t="s">
        <v>43</v>
      </c>
      <c r="H10" s="4" t="s">
        <v>98</v>
      </c>
      <c r="I10" s="4" t="s">
        <v>99</v>
      </c>
      <c r="J10" s="4" t="s">
        <v>123</v>
      </c>
      <c r="K10" s="4" t="s">
        <v>220</v>
      </c>
      <c r="L10" s="4" t="s">
        <v>102</v>
      </c>
      <c r="M10" s="4" t="s">
        <v>230</v>
      </c>
      <c r="N10" s="7" t="s">
        <v>130</v>
      </c>
      <c r="O10" s="4" t="s">
        <v>105</v>
      </c>
      <c r="P10" s="4" t="s">
        <v>166</v>
      </c>
      <c r="Q10" s="4" t="s">
        <v>102</v>
      </c>
      <c r="R10" s="6"/>
      <c r="S10" s="4">
        <v>5</v>
      </c>
      <c r="T10" s="4">
        <v>4</v>
      </c>
      <c r="U10" s="4">
        <v>4</v>
      </c>
      <c r="V10" s="4">
        <v>4</v>
      </c>
      <c r="W10" s="4">
        <v>4</v>
      </c>
      <c r="X10" s="4">
        <v>4</v>
      </c>
      <c r="Y10" s="4">
        <v>4</v>
      </c>
      <c r="Z10" s="4">
        <v>4</v>
      </c>
      <c r="AA10" s="4">
        <v>4</v>
      </c>
      <c r="AB10" s="4">
        <v>3</v>
      </c>
      <c r="AC10" s="4">
        <v>4</v>
      </c>
      <c r="AD10" s="4">
        <v>4</v>
      </c>
      <c r="AE10" s="4">
        <v>4</v>
      </c>
      <c r="AF10" s="4">
        <v>3</v>
      </c>
      <c r="AG10" s="4">
        <v>4</v>
      </c>
      <c r="AH10" s="4">
        <v>2</v>
      </c>
      <c r="AI10" s="4">
        <v>2</v>
      </c>
      <c r="AJ10" s="4">
        <v>2</v>
      </c>
      <c r="AK10" s="4">
        <v>2</v>
      </c>
      <c r="AL10" s="4" t="s">
        <v>237</v>
      </c>
      <c r="AM10" s="4" t="s">
        <v>205</v>
      </c>
    </row>
    <row r="11" spans="1:39" ht="52.8" x14ac:dyDescent="0.3">
      <c r="A11" s="3">
        <f t="shared" si="0"/>
        <v>10</v>
      </c>
      <c r="B11" s="4" t="s">
        <v>109</v>
      </c>
      <c r="C11" s="4" t="s">
        <v>110</v>
      </c>
      <c r="D11" s="4" t="s">
        <v>111</v>
      </c>
      <c r="E11" s="4" t="s">
        <v>134</v>
      </c>
      <c r="F11" s="4" t="s">
        <v>98</v>
      </c>
      <c r="G11" s="15" t="s">
        <v>43</v>
      </c>
      <c r="H11" s="4" t="s">
        <v>98</v>
      </c>
      <c r="I11" s="4" t="s">
        <v>99</v>
      </c>
      <c r="J11" s="4" t="s">
        <v>123</v>
      </c>
      <c r="K11" s="4" t="s">
        <v>220</v>
      </c>
      <c r="L11" s="4" t="s">
        <v>102</v>
      </c>
      <c r="M11" s="4" t="s">
        <v>230</v>
      </c>
      <c r="N11" s="7" t="s">
        <v>234</v>
      </c>
      <c r="O11" s="4" t="s">
        <v>105</v>
      </c>
      <c r="P11" s="4" t="s">
        <v>125</v>
      </c>
      <c r="Q11" s="4" t="s">
        <v>102</v>
      </c>
      <c r="R11" s="6"/>
      <c r="S11" s="4">
        <v>4</v>
      </c>
      <c r="T11" s="4">
        <v>4</v>
      </c>
      <c r="U11" s="4">
        <v>4</v>
      </c>
      <c r="V11" s="4">
        <v>4</v>
      </c>
      <c r="W11" s="4">
        <v>4</v>
      </c>
      <c r="X11" s="4">
        <v>4</v>
      </c>
      <c r="Y11" s="4">
        <v>5</v>
      </c>
      <c r="Z11" s="4">
        <v>5</v>
      </c>
      <c r="AA11" s="4">
        <v>5</v>
      </c>
      <c r="AB11" s="4">
        <v>4</v>
      </c>
      <c r="AC11" s="4">
        <v>3</v>
      </c>
      <c r="AD11" s="4">
        <v>3</v>
      </c>
      <c r="AE11" s="4">
        <v>3</v>
      </c>
      <c r="AF11" s="4">
        <v>3</v>
      </c>
      <c r="AG11" s="4">
        <v>3</v>
      </c>
      <c r="AH11" s="4">
        <v>1</v>
      </c>
      <c r="AI11" s="4">
        <v>2</v>
      </c>
      <c r="AJ11" s="4">
        <v>1</v>
      </c>
      <c r="AK11" s="4">
        <v>1</v>
      </c>
      <c r="AL11" s="4" t="s">
        <v>237</v>
      </c>
      <c r="AM11" s="4" t="s">
        <v>205</v>
      </c>
    </row>
    <row r="12" spans="1:39" ht="40.799999999999997" x14ac:dyDescent="0.3">
      <c r="A12" s="3">
        <f t="shared" si="0"/>
        <v>11</v>
      </c>
      <c r="B12" s="4" t="s">
        <v>121</v>
      </c>
      <c r="C12" s="4" t="s">
        <v>133</v>
      </c>
      <c r="D12" s="4" t="s">
        <v>95</v>
      </c>
      <c r="E12" s="4" t="s">
        <v>160</v>
      </c>
      <c r="F12" s="4" t="s">
        <v>98</v>
      </c>
      <c r="G12" s="15" t="s">
        <v>44</v>
      </c>
      <c r="H12" s="4" t="s">
        <v>98</v>
      </c>
      <c r="I12" s="4" t="s">
        <v>99</v>
      </c>
      <c r="J12" s="4" t="s">
        <v>123</v>
      </c>
      <c r="K12" s="4" t="s">
        <v>220</v>
      </c>
      <c r="L12" s="4" t="s">
        <v>102</v>
      </c>
      <c r="M12" s="4" t="s">
        <v>230</v>
      </c>
      <c r="N12" s="7" t="s">
        <v>150</v>
      </c>
      <c r="O12" s="4" t="s">
        <v>105</v>
      </c>
      <c r="P12" s="4" t="s">
        <v>166</v>
      </c>
      <c r="Q12" s="4" t="s">
        <v>102</v>
      </c>
      <c r="R12" s="6"/>
      <c r="S12" s="4">
        <v>5</v>
      </c>
      <c r="T12" s="4">
        <v>4</v>
      </c>
      <c r="U12" s="4">
        <v>4</v>
      </c>
      <c r="V12" s="4">
        <v>3</v>
      </c>
      <c r="W12" s="4">
        <v>4</v>
      </c>
      <c r="X12" s="4">
        <v>4</v>
      </c>
      <c r="Y12" s="4">
        <v>3</v>
      </c>
      <c r="Z12" s="4">
        <v>4</v>
      </c>
      <c r="AA12" s="4">
        <v>4</v>
      </c>
      <c r="AB12" s="4">
        <v>4</v>
      </c>
      <c r="AC12" s="4">
        <v>3</v>
      </c>
      <c r="AD12" s="4">
        <v>3</v>
      </c>
      <c r="AE12" s="4">
        <v>4</v>
      </c>
      <c r="AF12" s="4">
        <v>4</v>
      </c>
      <c r="AG12" s="4">
        <v>4</v>
      </c>
      <c r="AH12" s="4">
        <v>2</v>
      </c>
      <c r="AI12" s="4">
        <v>3</v>
      </c>
      <c r="AJ12" s="4">
        <v>2</v>
      </c>
      <c r="AK12" s="4">
        <v>2</v>
      </c>
      <c r="AL12" s="4" t="s">
        <v>237</v>
      </c>
      <c r="AM12" s="4" t="s">
        <v>205</v>
      </c>
    </row>
    <row r="13" spans="1:39" ht="40.799999999999997" x14ac:dyDescent="0.3">
      <c r="A13" s="3">
        <f t="shared" si="0"/>
        <v>12</v>
      </c>
      <c r="B13" s="4" t="s">
        <v>129</v>
      </c>
      <c r="C13" s="4" t="s">
        <v>94</v>
      </c>
      <c r="D13" s="4" t="s">
        <v>111</v>
      </c>
      <c r="E13" s="4" t="s">
        <v>160</v>
      </c>
      <c r="F13" s="4" t="s">
        <v>98</v>
      </c>
      <c r="G13" s="15" t="s">
        <v>44</v>
      </c>
      <c r="H13" s="4" t="s">
        <v>98</v>
      </c>
      <c r="I13" s="4" t="s">
        <v>99</v>
      </c>
      <c r="J13" s="4" t="s">
        <v>123</v>
      </c>
      <c r="K13" s="4" t="s">
        <v>220</v>
      </c>
      <c r="L13" s="4" t="s">
        <v>102</v>
      </c>
      <c r="M13" s="4" t="s">
        <v>230</v>
      </c>
      <c r="N13" s="7" t="s">
        <v>150</v>
      </c>
      <c r="O13" s="4" t="s">
        <v>105</v>
      </c>
      <c r="P13" s="4" t="s">
        <v>166</v>
      </c>
      <c r="Q13" s="4" t="s">
        <v>102</v>
      </c>
      <c r="R13" s="6"/>
      <c r="S13" s="4">
        <v>5</v>
      </c>
      <c r="T13" s="4">
        <v>5</v>
      </c>
      <c r="U13" s="4">
        <v>5</v>
      </c>
      <c r="V13" s="4">
        <v>4</v>
      </c>
      <c r="W13" s="4">
        <v>4</v>
      </c>
      <c r="X13" s="4">
        <v>4</v>
      </c>
      <c r="Y13" s="4">
        <v>4</v>
      </c>
      <c r="Z13" s="4">
        <v>5</v>
      </c>
      <c r="AA13" s="4">
        <v>5</v>
      </c>
      <c r="AB13" s="4">
        <v>4</v>
      </c>
      <c r="AC13" s="4">
        <v>3</v>
      </c>
      <c r="AD13" s="4">
        <v>3</v>
      </c>
      <c r="AE13" s="4">
        <v>3</v>
      </c>
      <c r="AF13" s="4">
        <v>3</v>
      </c>
      <c r="AG13" s="4">
        <v>3</v>
      </c>
      <c r="AH13" s="4">
        <v>2</v>
      </c>
      <c r="AI13" s="4">
        <v>3</v>
      </c>
      <c r="AJ13" s="4">
        <v>2</v>
      </c>
      <c r="AK13" s="4">
        <v>2</v>
      </c>
      <c r="AL13" s="4" t="s">
        <v>237</v>
      </c>
      <c r="AM13" s="4" t="s">
        <v>205</v>
      </c>
    </row>
    <row r="14" spans="1:39" ht="40.799999999999997" x14ac:dyDescent="0.3">
      <c r="A14" s="3">
        <f t="shared" si="0"/>
        <v>13</v>
      </c>
      <c r="B14" s="4" t="s">
        <v>121</v>
      </c>
      <c r="C14" s="4" t="s">
        <v>94</v>
      </c>
      <c r="D14" s="4" t="s">
        <v>111</v>
      </c>
      <c r="E14" s="4" t="s">
        <v>160</v>
      </c>
      <c r="F14" s="4" t="s">
        <v>98</v>
      </c>
      <c r="G14" s="15" t="s">
        <v>45</v>
      </c>
      <c r="H14" s="4" t="s">
        <v>98</v>
      </c>
      <c r="I14" s="4" t="s">
        <v>114</v>
      </c>
      <c r="J14" s="4" t="s">
        <v>123</v>
      </c>
      <c r="K14" s="4" t="s">
        <v>220</v>
      </c>
      <c r="L14" s="4" t="s">
        <v>102</v>
      </c>
      <c r="M14" s="4" t="s">
        <v>230</v>
      </c>
      <c r="N14" s="7" t="s">
        <v>118</v>
      </c>
      <c r="O14" s="4" t="s">
        <v>105</v>
      </c>
      <c r="P14" s="4" t="s">
        <v>106</v>
      </c>
      <c r="Q14" s="4" t="s">
        <v>102</v>
      </c>
      <c r="R14" s="6"/>
      <c r="S14" s="4">
        <v>4</v>
      </c>
      <c r="T14" s="4">
        <v>4</v>
      </c>
      <c r="U14" s="4">
        <v>4</v>
      </c>
      <c r="V14" s="4">
        <v>3</v>
      </c>
      <c r="W14" s="4">
        <v>4</v>
      </c>
      <c r="X14" s="4">
        <v>4</v>
      </c>
      <c r="Y14" s="4">
        <v>4</v>
      </c>
      <c r="Z14" s="4">
        <v>5</v>
      </c>
      <c r="AA14" s="4">
        <v>4</v>
      </c>
      <c r="AB14" s="4">
        <v>3</v>
      </c>
      <c r="AC14" s="4">
        <v>3</v>
      </c>
      <c r="AD14" s="4">
        <v>3</v>
      </c>
      <c r="AE14" s="4">
        <v>4</v>
      </c>
      <c r="AF14" s="4">
        <v>3</v>
      </c>
      <c r="AG14" s="4">
        <v>4</v>
      </c>
      <c r="AH14" s="4">
        <v>3</v>
      </c>
      <c r="AI14" s="4">
        <v>3</v>
      </c>
      <c r="AJ14" s="4">
        <v>3</v>
      </c>
      <c r="AK14" s="4">
        <v>3</v>
      </c>
      <c r="AL14" s="4" t="s">
        <v>175</v>
      </c>
      <c r="AM14" s="4" t="s">
        <v>236</v>
      </c>
    </row>
    <row r="15" spans="1:39" ht="30.6" x14ac:dyDescent="0.3">
      <c r="A15" s="3">
        <f t="shared" si="0"/>
        <v>14</v>
      </c>
      <c r="B15" s="4" t="s">
        <v>169</v>
      </c>
      <c r="C15" s="4" t="s">
        <v>94</v>
      </c>
      <c r="D15" s="4" t="s">
        <v>111</v>
      </c>
      <c r="E15" s="4" t="s">
        <v>160</v>
      </c>
      <c r="F15" s="4" t="s">
        <v>98</v>
      </c>
      <c r="G15" s="15" t="s">
        <v>45</v>
      </c>
      <c r="H15" s="4" t="s">
        <v>98</v>
      </c>
      <c r="I15" s="4" t="s">
        <v>114</v>
      </c>
      <c r="J15" s="4" t="s">
        <v>123</v>
      </c>
      <c r="K15" s="4" t="s">
        <v>220</v>
      </c>
      <c r="L15" s="4" t="s">
        <v>102</v>
      </c>
      <c r="M15" s="4" t="s">
        <v>230</v>
      </c>
      <c r="N15" s="7" t="s">
        <v>118</v>
      </c>
      <c r="O15" s="4" t="s">
        <v>105</v>
      </c>
      <c r="P15" s="4" t="s">
        <v>166</v>
      </c>
      <c r="Q15" s="4" t="s">
        <v>102</v>
      </c>
      <c r="R15" s="6"/>
      <c r="S15" s="4">
        <v>5</v>
      </c>
      <c r="T15" s="4">
        <v>4</v>
      </c>
      <c r="U15" s="4">
        <v>4</v>
      </c>
      <c r="V15" s="4">
        <v>3</v>
      </c>
      <c r="W15" s="4">
        <v>3</v>
      </c>
      <c r="X15" s="4">
        <v>5</v>
      </c>
      <c r="Y15" s="4">
        <v>4</v>
      </c>
      <c r="Z15" s="4">
        <v>5</v>
      </c>
      <c r="AA15" s="4">
        <v>4</v>
      </c>
      <c r="AB15" s="4">
        <v>3</v>
      </c>
      <c r="AC15" s="4">
        <v>4</v>
      </c>
      <c r="AD15" s="4">
        <v>3</v>
      </c>
      <c r="AE15" s="4">
        <v>3</v>
      </c>
      <c r="AF15" s="4">
        <v>4</v>
      </c>
      <c r="AG15" s="4">
        <v>4</v>
      </c>
      <c r="AH15" s="4">
        <v>2</v>
      </c>
      <c r="AI15" s="4">
        <v>3</v>
      </c>
      <c r="AJ15" s="4">
        <v>2</v>
      </c>
      <c r="AK15" s="4">
        <v>2</v>
      </c>
      <c r="AL15" s="4" t="s">
        <v>175</v>
      </c>
      <c r="AM15" s="4" t="s">
        <v>108</v>
      </c>
    </row>
    <row r="16" spans="1:39" ht="61.2" x14ac:dyDescent="0.3">
      <c r="A16" s="3">
        <f t="shared" si="0"/>
        <v>15</v>
      </c>
      <c r="B16" s="4" t="s">
        <v>112</v>
      </c>
      <c r="C16" s="4" t="s">
        <v>110</v>
      </c>
      <c r="D16" s="4" t="s">
        <v>111</v>
      </c>
      <c r="E16" s="4" t="s">
        <v>96</v>
      </c>
      <c r="F16" s="4" t="s">
        <v>113</v>
      </c>
      <c r="G16" s="15" t="s">
        <v>46</v>
      </c>
      <c r="H16" s="4" t="s">
        <v>97</v>
      </c>
      <c r="I16" s="4" t="s">
        <v>99</v>
      </c>
      <c r="J16" s="4" t="s">
        <v>100</v>
      </c>
      <c r="K16" s="4" t="s">
        <v>115</v>
      </c>
      <c r="L16" s="4" t="s">
        <v>116</v>
      </c>
      <c r="M16" s="4" t="s">
        <v>117</v>
      </c>
      <c r="N16" s="7" t="s">
        <v>118</v>
      </c>
      <c r="O16" s="4" t="s">
        <v>105</v>
      </c>
      <c r="P16" s="4" t="s">
        <v>106</v>
      </c>
      <c r="Q16" s="4" t="s">
        <v>102</v>
      </c>
      <c r="R16" s="6"/>
      <c r="S16" s="4">
        <v>5</v>
      </c>
      <c r="T16" s="4">
        <v>4</v>
      </c>
      <c r="U16" s="4">
        <v>5</v>
      </c>
      <c r="V16" s="4">
        <v>3</v>
      </c>
      <c r="W16" s="4">
        <v>3</v>
      </c>
      <c r="X16" s="4">
        <v>3</v>
      </c>
      <c r="Y16" s="4">
        <v>3</v>
      </c>
      <c r="Z16" s="4">
        <v>4</v>
      </c>
      <c r="AA16" s="4">
        <v>4</v>
      </c>
      <c r="AB16" s="4">
        <v>3</v>
      </c>
      <c r="AC16" s="4">
        <v>3</v>
      </c>
      <c r="AD16" s="4">
        <v>3</v>
      </c>
      <c r="AE16" s="4">
        <v>5</v>
      </c>
      <c r="AF16" s="4">
        <v>3</v>
      </c>
      <c r="AG16" s="4">
        <v>3</v>
      </c>
      <c r="AH16" s="4">
        <v>3</v>
      </c>
      <c r="AI16" s="4">
        <v>4</v>
      </c>
      <c r="AJ16" s="4">
        <v>3</v>
      </c>
      <c r="AK16" s="4">
        <v>3</v>
      </c>
      <c r="AL16" s="4" t="s">
        <v>119</v>
      </c>
      <c r="AM16" s="4" t="s">
        <v>120</v>
      </c>
    </row>
    <row r="17" spans="1:39" ht="61.2" x14ac:dyDescent="0.3">
      <c r="A17" s="3">
        <f t="shared" si="0"/>
        <v>16</v>
      </c>
      <c r="B17" s="4" t="s">
        <v>121</v>
      </c>
      <c r="C17" s="4" t="s">
        <v>94</v>
      </c>
      <c r="D17" s="4" t="s">
        <v>111</v>
      </c>
      <c r="E17" s="4" t="s">
        <v>143</v>
      </c>
      <c r="F17" s="4" t="s">
        <v>113</v>
      </c>
      <c r="G17" s="15" t="s">
        <v>46</v>
      </c>
      <c r="H17" s="4" t="s">
        <v>98</v>
      </c>
      <c r="I17" s="4" t="s">
        <v>99</v>
      </c>
      <c r="J17" s="4" t="s">
        <v>100</v>
      </c>
      <c r="K17" s="4" t="s">
        <v>115</v>
      </c>
      <c r="L17" s="4" t="s">
        <v>116</v>
      </c>
      <c r="M17" s="4" t="s">
        <v>117</v>
      </c>
      <c r="N17" s="7" t="s">
        <v>118</v>
      </c>
      <c r="O17" s="4" t="s">
        <v>105</v>
      </c>
      <c r="P17" s="4" t="s">
        <v>106</v>
      </c>
      <c r="Q17" s="4" t="s">
        <v>102</v>
      </c>
      <c r="R17" s="6"/>
      <c r="S17" s="4">
        <v>5</v>
      </c>
      <c r="T17" s="4">
        <v>4</v>
      </c>
      <c r="U17" s="4">
        <v>4</v>
      </c>
      <c r="V17" s="4">
        <v>4</v>
      </c>
      <c r="W17" s="4">
        <v>4</v>
      </c>
      <c r="X17" s="4">
        <v>4</v>
      </c>
      <c r="Y17" s="4">
        <v>5</v>
      </c>
      <c r="Z17" s="4">
        <v>5</v>
      </c>
      <c r="AA17" s="4">
        <v>5</v>
      </c>
      <c r="AB17" s="4">
        <v>3</v>
      </c>
      <c r="AC17" s="4">
        <v>4</v>
      </c>
      <c r="AD17" s="4">
        <v>4</v>
      </c>
      <c r="AE17" s="4">
        <v>4</v>
      </c>
      <c r="AF17" s="4">
        <v>3</v>
      </c>
      <c r="AG17" s="4">
        <v>4</v>
      </c>
      <c r="AH17" s="4">
        <v>3</v>
      </c>
      <c r="AI17" s="4">
        <v>3</v>
      </c>
      <c r="AJ17" s="4">
        <v>3</v>
      </c>
      <c r="AK17" s="4">
        <v>3</v>
      </c>
      <c r="AL17" s="4" t="s">
        <v>119</v>
      </c>
      <c r="AM17" s="4" t="s">
        <v>120</v>
      </c>
    </row>
    <row r="18" spans="1:39" ht="40.799999999999997" x14ac:dyDescent="0.3">
      <c r="A18" s="3">
        <f t="shared" si="0"/>
        <v>17</v>
      </c>
      <c r="B18" s="4" t="s">
        <v>121</v>
      </c>
      <c r="C18" s="4" t="s">
        <v>133</v>
      </c>
      <c r="D18" s="4" t="s">
        <v>111</v>
      </c>
      <c r="E18" s="4" t="s">
        <v>143</v>
      </c>
      <c r="F18" s="4" t="s">
        <v>98</v>
      </c>
      <c r="G18" s="15" t="s">
        <v>47</v>
      </c>
      <c r="H18" s="4" t="s">
        <v>98</v>
      </c>
      <c r="I18" s="4" t="s">
        <v>99</v>
      </c>
      <c r="J18" s="4" t="s">
        <v>123</v>
      </c>
      <c r="K18" s="4" t="s">
        <v>265</v>
      </c>
      <c r="L18" s="4" t="s">
        <v>235</v>
      </c>
      <c r="M18" s="4" t="s">
        <v>230</v>
      </c>
      <c r="N18" s="7" t="s">
        <v>104</v>
      </c>
      <c r="O18" s="4" t="s">
        <v>105</v>
      </c>
      <c r="P18" s="4" t="s">
        <v>125</v>
      </c>
      <c r="Q18" s="4" t="s">
        <v>102</v>
      </c>
      <c r="R18" s="6"/>
      <c r="S18" s="4">
        <v>5</v>
      </c>
      <c r="T18" s="4">
        <v>5</v>
      </c>
      <c r="U18" s="4">
        <v>5</v>
      </c>
      <c r="V18" s="4">
        <v>4</v>
      </c>
      <c r="W18" s="4">
        <v>4</v>
      </c>
      <c r="X18" s="4">
        <v>4</v>
      </c>
      <c r="Y18" s="4">
        <v>4</v>
      </c>
      <c r="Z18" s="4">
        <v>5</v>
      </c>
      <c r="AA18" s="4">
        <v>5</v>
      </c>
      <c r="AB18" s="4">
        <v>3</v>
      </c>
      <c r="AC18" s="4">
        <v>4</v>
      </c>
      <c r="AD18" s="4">
        <v>4</v>
      </c>
      <c r="AE18" s="4">
        <v>4</v>
      </c>
      <c r="AF18" s="4">
        <v>4</v>
      </c>
      <c r="AG18" s="4">
        <v>4</v>
      </c>
      <c r="AH18" s="4">
        <v>1</v>
      </c>
      <c r="AI18" s="4">
        <v>2</v>
      </c>
      <c r="AJ18" s="4">
        <v>1</v>
      </c>
      <c r="AK18" s="4">
        <v>1</v>
      </c>
      <c r="AL18" s="4" t="s">
        <v>119</v>
      </c>
      <c r="AM18" s="4" t="s">
        <v>120</v>
      </c>
    </row>
    <row r="19" spans="1:39" ht="40.799999999999997" x14ac:dyDescent="0.3">
      <c r="A19" s="3">
        <f t="shared" si="0"/>
        <v>18</v>
      </c>
      <c r="B19" s="4" t="s">
        <v>129</v>
      </c>
      <c r="C19" s="4" t="s">
        <v>133</v>
      </c>
      <c r="D19" s="4" t="s">
        <v>111</v>
      </c>
      <c r="E19" s="4" t="s">
        <v>143</v>
      </c>
      <c r="F19" s="4" t="s">
        <v>98</v>
      </c>
      <c r="G19" s="15" t="s">
        <v>47</v>
      </c>
      <c r="H19" s="4" t="s">
        <v>98</v>
      </c>
      <c r="I19" s="4" t="s">
        <v>99</v>
      </c>
      <c r="J19" s="4" t="s">
        <v>123</v>
      </c>
      <c r="K19" s="4" t="s">
        <v>265</v>
      </c>
      <c r="L19" s="4" t="s">
        <v>235</v>
      </c>
      <c r="M19" s="4" t="s">
        <v>230</v>
      </c>
      <c r="N19" s="7" t="s">
        <v>104</v>
      </c>
      <c r="O19" s="4" t="s">
        <v>105</v>
      </c>
      <c r="P19" s="4" t="s">
        <v>125</v>
      </c>
      <c r="Q19" s="4" t="s">
        <v>102</v>
      </c>
      <c r="R19" s="6"/>
      <c r="S19" s="4">
        <v>5</v>
      </c>
      <c r="T19" s="4">
        <v>5</v>
      </c>
      <c r="U19" s="4">
        <v>5</v>
      </c>
      <c r="V19" s="4">
        <v>4</v>
      </c>
      <c r="W19" s="4">
        <v>5</v>
      </c>
      <c r="X19" s="4">
        <v>4</v>
      </c>
      <c r="Y19" s="4">
        <v>5</v>
      </c>
      <c r="Z19" s="4">
        <v>4</v>
      </c>
      <c r="AA19" s="4">
        <v>4</v>
      </c>
      <c r="AB19" s="4">
        <v>3</v>
      </c>
      <c r="AC19" s="4">
        <v>3</v>
      </c>
      <c r="AD19" s="4">
        <v>3</v>
      </c>
      <c r="AE19" s="4">
        <v>3</v>
      </c>
      <c r="AF19" s="4">
        <v>4</v>
      </c>
      <c r="AG19" s="4">
        <v>4</v>
      </c>
      <c r="AH19" s="4">
        <v>1</v>
      </c>
      <c r="AI19" s="4">
        <v>2</v>
      </c>
      <c r="AJ19" s="4">
        <v>2</v>
      </c>
      <c r="AK19" s="4">
        <v>1</v>
      </c>
      <c r="AL19" s="4" t="s">
        <v>119</v>
      </c>
      <c r="AM19" s="4" t="s">
        <v>120</v>
      </c>
    </row>
    <row r="20" spans="1:39" ht="52.8" x14ac:dyDescent="0.3">
      <c r="A20" s="3">
        <f t="shared" si="0"/>
        <v>19</v>
      </c>
      <c r="B20" s="4" t="s">
        <v>129</v>
      </c>
      <c r="C20" s="4" t="s">
        <v>110</v>
      </c>
      <c r="D20" s="4" t="s">
        <v>111</v>
      </c>
      <c r="E20" s="4" t="s">
        <v>160</v>
      </c>
      <c r="F20" s="4" t="s">
        <v>98</v>
      </c>
      <c r="G20" s="15" t="s">
        <v>48</v>
      </c>
      <c r="H20" s="4" t="s">
        <v>98</v>
      </c>
      <c r="I20" s="4" t="s">
        <v>99</v>
      </c>
      <c r="J20" s="4" t="s">
        <v>100</v>
      </c>
      <c r="K20" s="4" t="s">
        <v>124</v>
      </c>
      <c r="L20" s="4" t="s">
        <v>102</v>
      </c>
      <c r="M20" s="4" t="s">
        <v>103</v>
      </c>
      <c r="N20" s="7" t="s">
        <v>130</v>
      </c>
      <c r="O20" s="4" t="s">
        <v>105</v>
      </c>
      <c r="P20" s="4" t="s">
        <v>106</v>
      </c>
      <c r="Q20" s="4" t="s">
        <v>102</v>
      </c>
      <c r="R20" s="6"/>
      <c r="S20" s="4">
        <v>5</v>
      </c>
      <c r="T20" s="4">
        <v>4</v>
      </c>
      <c r="U20" s="4">
        <v>4</v>
      </c>
      <c r="V20" s="4">
        <v>4</v>
      </c>
      <c r="W20" s="4">
        <v>4</v>
      </c>
      <c r="X20" s="4">
        <v>4</v>
      </c>
      <c r="Y20" s="4">
        <v>4</v>
      </c>
      <c r="Z20" s="4">
        <v>4</v>
      </c>
      <c r="AA20" s="4">
        <v>4</v>
      </c>
      <c r="AB20" s="4">
        <v>4</v>
      </c>
      <c r="AC20" s="4">
        <v>4</v>
      </c>
      <c r="AD20" s="4">
        <v>4</v>
      </c>
      <c r="AE20" s="4">
        <v>5</v>
      </c>
      <c r="AF20" s="4">
        <v>4</v>
      </c>
      <c r="AG20" s="4">
        <v>4</v>
      </c>
      <c r="AH20" s="4">
        <v>3</v>
      </c>
      <c r="AI20" s="4">
        <v>3</v>
      </c>
      <c r="AJ20" s="4">
        <v>3</v>
      </c>
      <c r="AK20" s="4">
        <v>2</v>
      </c>
      <c r="AL20" s="4" t="s">
        <v>132</v>
      </c>
      <c r="AM20" s="4" t="s">
        <v>131</v>
      </c>
    </row>
    <row r="21" spans="1:39" ht="52.8" x14ac:dyDescent="0.3">
      <c r="A21" s="3">
        <f t="shared" si="0"/>
        <v>20</v>
      </c>
      <c r="B21" s="4" t="s">
        <v>109</v>
      </c>
      <c r="C21" s="4" t="s">
        <v>133</v>
      </c>
      <c r="D21" s="4" t="s">
        <v>111</v>
      </c>
      <c r="E21" s="4" t="s">
        <v>160</v>
      </c>
      <c r="F21" s="4" t="s">
        <v>97</v>
      </c>
      <c r="G21" s="15" t="s">
        <v>48</v>
      </c>
      <c r="H21" s="4" t="s">
        <v>97</v>
      </c>
      <c r="I21" s="4" t="s">
        <v>99</v>
      </c>
      <c r="J21" s="4" t="s">
        <v>100</v>
      </c>
      <c r="K21" s="4" t="s">
        <v>124</v>
      </c>
      <c r="L21" s="4" t="s">
        <v>102</v>
      </c>
      <c r="M21" s="4" t="s">
        <v>103</v>
      </c>
      <c r="N21" s="7" t="s">
        <v>130</v>
      </c>
      <c r="O21" s="4" t="s">
        <v>105</v>
      </c>
      <c r="P21" s="4" t="s">
        <v>106</v>
      </c>
      <c r="Q21" s="4" t="s">
        <v>102</v>
      </c>
      <c r="R21" s="6"/>
      <c r="S21" s="4">
        <v>3</v>
      </c>
      <c r="T21" s="4">
        <v>3</v>
      </c>
      <c r="U21" s="4">
        <v>4</v>
      </c>
      <c r="V21" s="4">
        <v>3</v>
      </c>
      <c r="W21" s="4">
        <v>3</v>
      </c>
      <c r="X21" s="4">
        <v>3</v>
      </c>
      <c r="Y21" s="4">
        <v>4</v>
      </c>
      <c r="Z21" s="4">
        <v>3</v>
      </c>
      <c r="AA21" s="4">
        <v>3</v>
      </c>
      <c r="AB21" s="4">
        <v>3</v>
      </c>
      <c r="AC21" s="4">
        <v>3</v>
      </c>
      <c r="AD21" s="4">
        <v>3</v>
      </c>
      <c r="AE21" s="4">
        <v>5</v>
      </c>
      <c r="AF21" s="4">
        <v>3</v>
      </c>
      <c r="AG21" s="4">
        <v>3</v>
      </c>
      <c r="AH21" s="4">
        <v>3</v>
      </c>
      <c r="AI21" s="4">
        <v>3</v>
      </c>
      <c r="AJ21" s="4">
        <v>1</v>
      </c>
      <c r="AK21" s="4">
        <v>1</v>
      </c>
      <c r="AL21" s="4" t="s">
        <v>132</v>
      </c>
      <c r="AM21" s="4" t="s">
        <v>131</v>
      </c>
    </row>
    <row r="22" spans="1:39" ht="61.2" x14ac:dyDescent="0.3">
      <c r="A22" s="3">
        <f t="shared" si="0"/>
        <v>21</v>
      </c>
      <c r="B22" s="4" t="s">
        <v>121</v>
      </c>
      <c r="C22" s="4" t="s">
        <v>110</v>
      </c>
      <c r="D22" s="4" t="s">
        <v>95</v>
      </c>
      <c r="E22" s="4" t="s">
        <v>122</v>
      </c>
      <c r="F22" s="4" t="s">
        <v>97</v>
      </c>
      <c r="G22" s="14" t="s">
        <v>49</v>
      </c>
      <c r="H22" s="4" t="s">
        <v>97</v>
      </c>
      <c r="I22" s="4" t="s">
        <v>114</v>
      </c>
      <c r="J22" s="4" t="s">
        <v>123</v>
      </c>
      <c r="K22" s="4" t="s">
        <v>126</v>
      </c>
      <c r="L22" s="4" t="s">
        <v>102</v>
      </c>
      <c r="M22" s="4" t="s">
        <v>127</v>
      </c>
      <c r="N22" s="7" t="s">
        <v>118</v>
      </c>
      <c r="O22" s="4" t="s">
        <v>105</v>
      </c>
      <c r="P22" s="4" t="s">
        <v>125</v>
      </c>
      <c r="Q22" s="4" t="s">
        <v>102</v>
      </c>
      <c r="R22" s="6"/>
      <c r="S22" s="4">
        <v>5</v>
      </c>
      <c r="T22" s="4">
        <v>3</v>
      </c>
      <c r="U22" s="4">
        <v>3</v>
      </c>
      <c r="V22" s="4">
        <v>3</v>
      </c>
      <c r="W22" s="4">
        <v>3</v>
      </c>
      <c r="X22" s="4">
        <v>3</v>
      </c>
      <c r="Y22" s="4">
        <v>4</v>
      </c>
      <c r="Z22" s="4">
        <v>4</v>
      </c>
      <c r="AA22" s="4">
        <v>4</v>
      </c>
      <c r="AB22" s="4">
        <v>3</v>
      </c>
      <c r="AC22" s="4">
        <v>3</v>
      </c>
      <c r="AD22" s="4">
        <v>3</v>
      </c>
      <c r="AE22" s="4">
        <v>5</v>
      </c>
      <c r="AF22" s="4">
        <v>4</v>
      </c>
      <c r="AG22" s="4">
        <v>4</v>
      </c>
      <c r="AH22" s="4">
        <v>3</v>
      </c>
      <c r="AI22" s="4">
        <v>3</v>
      </c>
      <c r="AJ22" s="4">
        <v>3</v>
      </c>
      <c r="AK22" s="4">
        <v>3</v>
      </c>
      <c r="AL22" s="4" t="s">
        <v>119</v>
      </c>
      <c r="AM22" s="4" t="s">
        <v>120</v>
      </c>
    </row>
    <row r="23" spans="1:39" ht="61.2" x14ac:dyDescent="0.3">
      <c r="A23" s="3">
        <f t="shared" si="0"/>
        <v>22</v>
      </c>
      <c r="B23" s="4" t="s">
        <v>109</v>
      </c>
      <c r="C23" s="4" t="s">
        <v>94</v>
      </c>
      <c r="D23" s="4" t="s">
        <v>111</v>
      </c>
      <c r="E23" s="4" t="s">
        <v>122</v>
      </c>
      <c r="F23" s="4" t="s">
        <v>97</v>
      </c>
      <c r="G23" s="14" t="s">
        <v>49</v>
      </c>
      <c r="H23" s="4" t="s">
        <v>97</v>
      </c>
      <c r="I23" s="4" t="s">
        <v>114</v>
      </c>
      <c r="J23" s="4" t="s">
        <v>123</v>
      </c>
      <c r="K23" s="4" t="s">
        <v>126</v>
      </c>
      <c r="L23" s="4" t="s">
        <v>102</v>
      </c>
      <c r="M23" s="4" t="s">
        <v>127</v>
      </c>
      <c r="N23" s="7" t="s">
        <v>118</v>
      </c>
      <c r="O23" s="4" t="s">
        <v>105</v>
      </c>
      <c r="P23" s="4" t="s">
        <v>125</v>
      </c>
      <c r="Q23" s="4" t="s">
        <v>102</v>
      </c>
      <c r="R23" s="6"/>
      <c r="S23" s="4">
        <v>5</v>
      </c>
      <c r="T23" s="4">
        <v>5</v>
      </c>
      <c r="U23" s="4">
        <v>3</v>
      </c>
      <c r="V23" s="4">
        <v>4</v>
      </c>
      <c r="W23" s="4">
        <v>4</v>
      </c>
      <c r="X23" s="4">
        <v>5</v>
      </c>
      <c r="Y23" s="4">
        <v>5</v>
      </c>
      <c r="Z23" s="4">
        <v>5</v>
      </c>
      <c r="AA23" s="4">
        <v>5</v>
      </c>
      <c r="AB23" s="4">
        <v>3</v>
      </c>
      <c r="AC23" s="4">
        <v>3</v>
      </c>
      <c r="AD23" s="4">
        <v>4</v>
      </c>
      <c r="AE23" s="4">
        <v>5</v>
      </c>
      <c r="AF23" s="4">
        <v>4</v>
      </c>
      <c r="AG23" s="4">
        <v>4</v>
      </c>
      <c r="AH23" s="4">
        <v>3</v>
      </c>
      <c r="AI23" s="4">
        <v>4</v>
      </c>
      <c r="AJ23" s="4">
        <v>3</v>
      </c>
      <c r="AK23" s="4">
        <v>3</v>
      </c>
      <c r="AL23" s="4" t="s">
        <v>138</v>
      </c>
      <c r="AM23" s="4" t="s">
        <v>128</v>
      </c>
    </row>
    <row r="24" spans="1:39" ht="40.799999999999997" x14ac:dyDescent="0.3">
      <c r="A24" s="3">
        <f t="shared" si="0"/>
        <v>23</v>
      </c>
      <c r="B24" s="4" t="s">
        <v>121</v>
      </c>
      <c r="C24" s="4" t="s">
        <v>110</v>
      </c>
      <c r="D24" s="4" t="s">
        <v>95</v>
      </c>
      <c r="E24" s="4" t="s">
        <v>134</v>
      </c>
      <c r="F24" s="4" t="s">
        <v>98</v>
      </c>
      <c r="G24" s="14" t="s">
        <v>50</v>
      </c>
      <c r="H24" s="4" t="s">
        <v>98</v>
      </c>
      <c r="I24" s="4" t="s">
        <v>99</v>
      </c>
      <c r="J24" s="4" t="s">
        <v>100</v>
      </c>
      <c r="K24" s="4" t="s">
        <v>124</v>
      </c>
      <c r="L24" s="4" t="s">
        <v>102</v>
      </c>
      <c r="M24" s="4" t="s">
        <v>135</v>
      </c>
      <c r="N24" s="7" t="s">
        <v>136</v>
      </c>
      <c r="O24" s="4" t="s">
        <v>105</v>
      </c>
      <c r="P24" s="4" t="s">
        <v>125</v>
      </c>
      <c r="Q24" s="4" t="s">
        <v>105</v>
      </c>
      <c r="R24" s="4" t="s">
        <v>137</v>
      </c>
      <c r="S24" s="4">
        <v>3</v>
      </c>
      <c r="T24" s="4">
        <v>4</v>
      </c>
      <c r="U24" s="4">
        <v>3</v>
      </c>
      <c r="V24" s="4">
        <v>3</v>
      </c>
      <c r="W24" s="4">
        <v>4</v>
      </c>
      <c r="X24" s="4">
        <v>5</v>
      </c>
      <c r="Y24" s="4">
        <v>4</v>
      </c>
      <c r="Z24" s="4">
        <v>5</v>
      </c>
      <c r="AA24" s="4">
        <v>5</v>
      </c>
      <c r="AB24" s="4">
        <v>3</v>
      </c>
      <c r="AC24" s="4">
        <v>4</v>
      </c>
      <c r="AD24" s="4">
        <v>4</v>
      </c>
      <c r="AE24" s="4">
        <v>4</v>
      </c>
      <c r="AF24" s="4">
        <v>4</v>
      </c>
      <c r="AG24" s="4">
        <v>4</v>
      </c>
      <c r="AH24" s="4">
        <v>3</v>
      </c>
      <c r="AI24" s="4">
        <v>3</v>
      </c>
      <c r="AJ24" s="4">
        <v>3</v>
      </c>
      <c r="AK24" s="4">
        <v>2</v>
      </c>
      <c r="AL24" s="4" t="s">
        <v>139</v>
      </c>
      <c r="AM24" s="4" t="s">
        <v>140</v>
      </c>
    </row>
    <row r="25" spans="1:39" ht="40.799999999999997" x14ac:dyDescent="0.3">
      <c r="A25" s="3">
        <f t="shared" si="0"/>
        <v>24</v>
      </c>
      <c r="B25" s="4" t="s">
        <v>129</v>
      </c>
      <c r="C25" s="4" t="s">
        <v>110</v>
      </c>
      <c r="D25" s="4" t="s">
        <v>95</v>
      </c>
      <c r="E25" s="4" t="s">
        <v>141</v>
      </c>
      <c r="F25" s="4" t="s">
        <v>98</v>
      </c>
      <c r="G25" s="14" t="s">
        <v>50</v>
      </c>
      <c r="H25" s="4" t="s">
        <v>98</v>
      </c>
      <c r="I25" s="4" t="s">
        <v>99</v>
      </c>
      <c r="J25" s="4" t="s">
        <v>100</v>
      </c>
      <c r="K25" s="4" t="s">
        <v>124</v>
      </c>
      <c r="L25" s="4" t="s">
        <v>102</v>
      </c>
      <c r="M25" s="4" t="s">
        <v>142</v>
      </c>
      <c r="N25" s="7" t="s">
        <v>136</v>
      </c>
      <c r="O25" s="4" t="s">
        <v>105</v>
      </c>
      <c r="P25" s="4" t="s">
        <v>125</v>
      </c>
      <c r="Q25" s="4" t="s">
        <v>105</v>
      </c>
      <c r="R25" s="4" t="s">
        <v>137</v>
      </c>
      <c r="S25" s="4">
        <v>3</v>
      </c>
      <c r="T25" s="4">
        <v>4</v>
      </c>
      <c r="U25" s="4">
        <v>4</v>
      </c>
      <c r="V25" s="4">
        <v>3</v>
      </c>
      <c r="W25" s="4">
        <v>3</v>
      </c>
      <c r="X25" s="4">
        <v>4</v>
      </c>
      <c r="Y25" s="4">
        <v>4</v>
      </c>
      <c r="Z25" s="4">
        <v>4</v>
      </c>
      <c r="AA25" s="4">
        <v>3</v>
      </c>
      <c r="AB25" s="4">
        <v>4</v>
      </c>
      <c r="AC25" s="4">
        <v>4</v>
      </c>
      <c r="AD25" s="4">
        <v>4</v>
      </c>
      <c r="AE25" s="4">
        <v>4</v>
      </c>
      <c r="AF25" s="4">
        <v>4</v>
      </c>
      <c r="AG25" s="4">
        <v>4</v>
      </c>
      <c r="AH25" s="4">
        <v>3</v>
      </c>
      <c r="AI25" s="4">
        <v>2</v>
      </c>
      <c r="AJ25" s="4">
        <v>3</v>
      </c>
      <c r="AK25" s="4">
        <v>2</v>
      </c>
      <c r="AL25" s="4" t="s">
        <v>139</v>
      </c>
      <c r="AM25" s="4" t="s">
        <v>140</v>
      </c>
    </row>
    <row r="26" spans="1:39" ht="51" x14ac:dyDescent="0.3">
      <c r="A26" s="3">
        <f t="shared" si="0"/>
        <v>25</v>
      </c>
      <c r="B26" s="4" t="s">
        <v>109</v>
      </c>
      <c r="C26" s="4" t="s">
        <v>133</v>
      </c>
      <c r="D26" s="4" t="s">
        <v>111</v>
      </c>
      <c r="E26" s="4" t="s">
        <v>143</v>
      </c>
      <c r="F26" s="4" t="s">
        <v>97</v>
      </c>
      <c r="G26" s="15" t="s">
        <v>51</v>
      </c>
      <c r="H26" s="4" t="s">
        <v>97</v>
      </c>
      <c r="I26" s="4" t="s">
        <v>144</v>
      </c>
      <c r="J26" s="4" t="s">
        <v>123</v>
      </c>
      <c r="K26" s="4" t="s">
        <v>264</v>
      </c>
      <c r="L26" s="4" t="s">
        <v>145</v>
      </c>
      <c r="M26" s="4" t="s">
        <v>117</v>
      </c>
      <c r="N26" s="7" t="s">
        <v>136</v>
      </c>
      <c r="O26" s="4" t="s">
        <v>105</v>
      </c>
      <c r="P26" s="4" t="s">
        <v>106</v>
      </c>
      <c r="Q26" s="4" t="s">
        <v>105</v>
      </c>
      <c r="R26" s="4" t="s">
        <v>137</v>
      </c>
      <c r="S26" s="4">
        <v>4</v>
      </c>
      <c r="T26" s="4">
        <v>3</v>
      </c>
      <c r="U26" s="4">
        <v>3</v>
      </c>
      <c r="V26" s="4">
        <v>3</v>
      </c>
      <c r="W26" s="4">
        <v>3</v>
      </c>
      <c r="X26" s="4">
        <v>4</v>
      </c>
      <c r="Y26" s="4">
        <v>3</v>
      </c>
      <c r="Z26" s="4">
        <v>4</v>
      </c>
      <c r="AA26" s="4">
        <v>5</v>
      </c>
      <c r="AB26" s="4">
        <v>3</v>
      </c>
      <c r="AC26" s="4">
        <v>4</v>
      </c>
      <c r="AD26" s="4">
        <v>4</v>
      </c>
      <c r="AE26" s="4">
        <v>3</v>
      </c>
      <c r="AF26" s="4">
        <v>4</v>
      </c>
      <c r="AG26" s="4">
        <v>3</v>
      </c>
      <c r="AH26" s="4">
        <v>3</v>
      </c>
      <c r="AI26" s="4">
        <v>4</v>
      </c>
      <c r="AJ26" s="4">
        <v>3</v>
      </c>
      <c r="AK26" s="4">
        <v>3</v>
      </c>
      <c r="AL26" s="4" t="s">
        <v>138</v>
      </c>
      <c r="AM26" s="4" t="s">
        <v>147</v>
      </c>
    </row>
    <row r="27" spans="1:39" ht="51" x14ac:dyDescent="0.3">
      <c r="A27" s="3">
        <f t="shared" si="0"/>
        <v>26</v>
      </c>
      <c r="B27" s="4" t="s">
        <v>93</v>
      </c>
      <c r="C27" s="4" t="s">
        <v>133</v>
      </c>
      <c r="D27" s="4" t="s">
        <v>111</v>
      </c>
      <c r="E27" s="4" t="s">
        <v>134</v>
      </c>
      <c r="F27" s="4" t="s">
        <v>97</v>
      </c>
      <c r="G27" s="15" t="s">
        <v>51</v>
      </c>
      <c r="H27" s="4" t="s">
        <v>97</v>
      </c>
      <c r="I27" s="4" t="s">
        <v>144</v>
      </c>
      <c r="J27" s="4" t="s">
        <v>123</v>
      </c>
      <c r="K27" s="4" t="s">
        <v>264</v>
      </c>
      <c r="L27" s="4" t="s">
        <v>145</v>
      </c>
      <c r="M27" s="4" t="s">
        <v>117</v>
      </c>
      <c r="N27" s="7" t="s">
        <v>136</v>
      </c>
      <c r="O27" s="4" t="s">
        <v>105</v>
      </c>
      <c r="P27" s="4" t="s">
        <v>106</v>
      </c>
      <c r="Q27" s="4" t="s">
        <v>105</v>
      </c>
      <c r="R27" s="4" t="s">
        <v>137</v>
      </c>
      <c r="S27" s="4">
        <v>4</v>
      </c>
      <c r="T27" s="4">
        <v>3</v>
      </c>
      <c r="U27" s="4">
        <v>4</v>
      </c>
      <c r="V27" s="4">
        <v>3</v>
      </c>
      <c r="W27" s="4">
        <v>4</v>
      </c>
      <c r="X27" s="4">
        <v>4</v>
      </c>
      <c r="Y27" s="4">
        <v>3</v>
      </c>
      <c r="Z27" s="4">
        <v>4</v>
      </c>
      <c r="AA27" s="4">
        <v>3</v>
      </c>
      <c r="AB27" s="4">
        <v>3</v>
      </c>
      <c r="AC27" s="4">
        <v>4</v>
      </c>
      <c r="AD27" s="4">
        <v>4</v>
      </c>
      <c r="AE27" s="4">
        <v>3</v>
      </c>
      <c r="AF27" s="4">
        <v>4</v>
      </c>
      <c r="AG27" s="4">
        <v>4</v>
      </c>
      <c r="AH27" s="4">
        <v>3</v>
      </c>
      <c r="AI27" s="4">
        <v>3</v>
      </c>
      <c r="AJ27" s="4">
        <v>3</v>
      </c>
      <c r="AK27" s="4">
        <v>3</v>
      </c>
      <c r="AL27" s="4" t="s">
        <v>138</v>
      </c>
      <c r="AM27" s="4" t="s">
        <v>147</v>
      </c>
    </row>
    <row r="28" spans="1:39" ht="40.799999999999997" x14ac:dyDescent="0.3">
      <c r="A28" s="3">
        <f>A27+1</f>
        <v>27</v>
      </c>
      <c r="B28" s="4" t="s">
        <v>109</v>
      </c>
      <c r="C28" s="4" t="s">
        <v>110</v>
      </c>
      <c r="D28" s="4" t="s">
        <v>111</v>
      </c>
      <c r="E28" s="4" t="s">
        <v>122</v>
      </c>
      <c r="F28" s="4" t="s">
        <v>97</v>
      </c>
      <c r="G28" s="15" t="s">
        <v>52</v>
      </c>
      <c r="H28" s="4" t="s">
        <v>97</v>
      </c>
      <c r="I28" s="4" t="s">
        <v>99</v>
      </c>
      <c r="J28" s="4" t="s">
        <v>100</v>
      </c>
      <c r="K28" s="4" t="s">
        <v>101</v>
      </c>
      <c r="L28" s="4" t="s">
        <v>102</v>
      </c>
      <c r="M28" s="4" t="s">
        <v>168</v>
      </c>
      <c r="N28" s="7" t="s">
        <v>150</v>
      </c>
      <c r="O28" s="4" t="s">
        <v>105</v>
      </c>
      <c r="P28" s="4" t="s">
        <v>106</v>
      </c>
      <c r="Q28" s="4" t="s">
        <v>102</v>
      </c>
      <c r="R28" s="6"/>
      <c r="S28" s="4">
        <v>4</v>
      </c>
      <c r="T28" s="4">
        <v>3</v>
      </c>
      <c r="U28" s="4">
        <v>4</v>
      </c>
      <c r="V28" s="4">
        <v>3</v>
      </c>
      <c r="W28" s="4">
        <v>4</v>
      </c>
      <c r="X28" s="4">
        <v>4</v>
      </c>
      <c r="Y28" s="4">
        <v>4</v>
      </c>
      <c r="Z28" s="4">
        <v>4</v>
      </c>
      <c r="AA28" s="4">
        <v>4</v>
      </c>
      <c r="AB28" s="4">
        <v>3</v>
      </c>
      <c r="AC28" s="4">
        <v>4</v>
      </c>
      <c r="AD28" s="4">
        <v>4</v>
      </c>
      <c r="AE28" s="4">
        <v>5</v>
      </c>
      <c r="AF28" s="4">
        <v>4</v>
      </c>
      <c r="AG28" s="4">
        <v>4</v>
      </c>
      <c r="AH28" s="4">
        <v>2</v>
      </c>
      <c r="AI28" s="4">
        <v>3</v>
      </c>
      <c r="AJ28" s="4">
        <v>3</v>
      </c>
      <c r="AK28" s="4">
        <v>2</v>
      </c>
      <c r="AL28" s="4" t="s">
        <v>151</v>
      </c>
      <c r="AM28" s="4" t="s">
        <v>152</v>
      </c>
    </row>
    <row r="29" spans="1:39" ht="30.6" x14ac:dyDescent="0.3">
      <c r="A29" s="3">
        <f t="shared" si="0"/>
        <v>28</v>
      </c>
      <c r="B29" s="4" t="s">
        <v>112</v>
      </c>
      <c r="C29" s="4" t="s">
        <v>94</v>
      </c>
      <c r="D29" s="4" t="s">
        <v>111</v>
      </c>
      <c r="E29" s="4" t="s">
        <v>143</v>
      </c>
      <c r="F29" s="4" t="s">
        <v>98</v>
      </c>
      <c r="G29" s="15" t="s">
        <v>52</v>
      </c>
      <c r="H29" s="4" t="s">
        <v>213</v>
      </c>
      <c r="I29" s="4" t="s">
        <v>99</v>
      </c>
      <c r="J29" s="4" t="s">
        <v>100</v>
      </c>
      <c r="K29" s="4" t="s">
        <v>101</v>
      </c>
      <c r="L29" s="4" t="s">
        <v>102</v>
      </c>
      <c r="M29" s="4" t="s">
        <v>168</v>
      </c>
      <c r="N29" s="7" t="s">
        <v>150</v>
      </c>
      <c r="O29" s="4" t="s">
        <v>105</v>
      </c>
      <c r="P29" s="4" t="s">
        <v>125</v>
      </c>
      <c r="Q29" s="4" t="s">
        <v>102</v>
      </c>
      <c r="R29" s="6"/>
      <c r="S29" s="4">
        <v>5</v>
      </c>
      <c r="T29" s="4">
        <v>4</v>
      </c>
      <c r="U29" s="4">
        <v>4</v>
      </c>
      <c r="V29" s="4">
        <v>3</v>
      </c>
      <c r="W29" s="4">
        <v>3</v>
      </c>
      <c r="X29" s="4">
        <v>4</v>
      </c>
      <c r="Y29" s="4">
        <v>5</v>
      </c>
      <c r="Z29" s="4">
        <v>5</v>
      </c>
      <c r="AA29" s="4">
        <v>5</v>
      </c>
      <c r="AB29" s="4">
        <v>4</v>
      </c>
      <c r="AC29" s="4">
        <v>5</v>
      </c>
      <c r="AD29" s="4">
        <v>4</v>
      </c>
      <c r="AE29" s="4">
        <v>3</v>
      </c>
      <c r="AF29" s="4">
        <v>4</v>
      </c>
      <c r="AG29" s="4">
        <v>3</v>
      </c>
      <c r="AH29" s="4">
        <v>1</v>
      </c>
      <c r="AI29" s="4">
        <v>2</v>
      </c>
      <c r="AJ29" s="4">
        <v>1</v>
      </c>
      <c r="AK29" s="4">
        <v>1</v>
      </c>
      <c r="AL29" s="4" t="s">
        <v>151</v>
      </c>
      <c r="AM29" s="4" t="s">
        <v>238</v>
      </c>
    </row>
    <row r="30" spans="1:39" ht="39.6" x14ac:dyDescent="0.3">
      <c r="A30" s="3">
        <f t="shared" si="0"/>
        <v>29</v>
      </c>
      <c r="B30" s="4" t="s">
        <v>121</v>
      </c>
      <c r="C30" s="4" t="s">
        <v>133</v>
      </c>
      <c r="D30" s="4" t="s">
        <v>95</v>
      </c>
      <c r="E30" s="4" t="s">
        <v>153</v>
      </c>
      <c r="F30" s="4" t="s">
        <v>98</v>
      </c>
      <c r="G30" s="15" t="s">
        <v>53</v>
      </c>
      <c r="H30" s="4" t="s">
        <v>98</v>
      </c>
      <c r="I30" s="4" t="s">
        <v>99</v>
      </c>
      <c r="J30" s="4" t="s">
        <v>100</v>
      </c>
      <c r="K30" s="4" t="s">
        <v>101</v>
      </c>
      <c r="L30" s="4" t="s">
        <v>102</v>
      </c>
      <c r="M30" s="4" t="s">
        <v>154</v>
      </c>
      <c r="N30" s="7" t="s">
        <v>150</v>
      </c>
      <c r="O30" s="4" t="s">
        <v>105</v>
      </c>
      <c r="P30" s="4" t="s">
        <v>125</v>
      </c>
      <c r="Q30" s="4" t="s">
        <v>102</v>
      </c>
      <c r="R30" s="6"/>
      <c r="S30" s="4">
        <v>5</v>
      </c>
      <c r="T30" s="4">
        <v>5</v>
      </c>
      <c r="U30" s="4">
        <v>5</v>
      </c>
      <c r="V30" s="4">
        <v>5</v>
      </c>
      <c r="W30" s="4">
        <v>5</v>
      </c>
      <c r="X30" s="4">
        <v>5</v>
      </c>
      <c r="Y30" s="4">
        <v>5</v>
      </c>
      <c r="Z30" s="4">
        <v>5</v>
      </c>
      <c r="AA30" s="4">
        <v>5</v>
      </c>
      <c r="AB30" s="4">
        <v>3</v>
      </c>
      <c r="AC30" s="4">
        <v>5</v>
      </c>
      <c r="AD30" s="4">
        <v>4</v>
      </c>
      <c r="AE30" s="4">
        <v>4</v>
      </c>
      <c r="AF30" s="4">
        <v>4</v>
      </c>
      <c r="AG30" s="4">
        <v>4</v>
      </c>
      <c r="AH30" s="4">
        <v>1</v>
      </c>
      <c r="AI30" s="4">
        <v>2</v>
      </c>
      <c r="AJ30" s="4">
        <v>2</v>
      </c>
      <c r="AK30" s="4">
        <v>1</v>
      </c>
      <c r="AL30" s="4" t="s">
        <v>156</v>
      </c>
      <c r="AM30" s="4" t="s">
        <v>157</v>
      </c>
    </row>
    <row r="31" spans="1:39" ht="39.6" x14ac:dyDescent="0.3">
      <c r="A31" s="3">
        <f>A30+1</f>
        <v>30</v>
      </c>
      <c r="B31" s="4" t="s">
        <v>129</v>
      </c>
      <c r="C31" s="4" t="s">
        <v>133</v>
      </c>
      <c r="D31" s="4" t="s">
        <v>111</v>
      </c>
      <c r="E31" s="4" t="s">
        <v>141</v>
      </c>
      <c r="F31" s="4" t="s">
        <v>98</v>
      </c>
      <c r="G31" s="15" t="s">
        <v>53</v>
      </c>
      <c r="H31" s="4" t="s">
        <v>98</v>
      </c>
      <c r="I31" s="4" t="s">
        <v>99</v>
      </c>
      <c r="J31" s="4" t="s">
        <v>100</v>
      </c>
      <c r="K31" s="4" t="s">
        <v>101</v>
      </c>
      <c r="L31" s="4" t="s">
        <v>102</v>
      </c>
      <c r="M31" s="4" t="s">
        <v>154</v>
      </c>
      <c r="N31" s="7" t="s">
        <v>150</v>
      </c>
      <c r="O31" s="4" t="s">
        <v>105</v>
      </c>
      <c r="P31" s="4" t="s">
        <v>125</v>
      </c>
      <c r="Q31" s="4" t="s">
        <v>102</v>
      </c>
      <c r="R31" s="6"/>
      <c r="S31" s="4">
        <v>5</v>
      </c>
      <c r="T31" s="4">
        <v>5</v>
      </c>
      <c r="U31" s="4">
        <v>5</v>
      </c>
      <c r="V31" s="4">
        <v>4</v>
      </c>
      <c r="W31" s="4">
        <v>4</v>
      </c>
      <c r="X31" s="4">
        <v>4</v>
      </c>
      <c r="Y31" s="4">
        <v>5</v>
      </c>
      <c r="Z31" s="4">
        <v>5</v>
      </c>
      <c r="AA31" s="4">
        <v>5</v>
      </c>
      <c r="AB31" s="4">
        <v>4</v>
      </c>
      <c r="AC31" s="4">
        <v>5</v>
      </c>
      <c r="AD31" s="4">
        <v>4</v>
      </c>
      <c r="AE31" s="4">
        <v>5</v>
      </c>
      <c r="AF31" s="4">
        <v>4</v>
      </c>
      <c r="AG31" s="4">
        <v>4</v>
      </c>
      <c r="AH31" s="4">
        <v>2</v>
      </c>
      <c r="AI31" s="4">
        <v>2</v>
      </c>
      <c r="AJ31" s="4">
        <v>2</v>
      </c>
      <c r="AK31" s="4">
        <v>2</v>
      </c>
      <c r="AL31" s="4" t="s">
        <v>156</v>
      </c>
      <c r="AM31" s="4" t="s">
        <v>157</v>
      </c>
    </row>
    <row r="32" spans="1:39" ht="40.799999999999997" x14ac:dyDescent="0.3">
      <c r="A32" s="3">
        <f t="shared" ref="A32:A54" si="1">A31+1</f>
        <v>31</v>
      </c>
      <c r="B32" s="4" t="s">
        <v>109</v>
      </c>
      <c r="C32" s="4" t="s">
        <v>133</v>
      </c>
      <c r="D32" s="4" t="s">
        <v>111</v>
      </c>
      <c r="E32" s="4" t="s">
        <v>148</v>
      </c>
      <c r="F32" s="4" t="s">
        <v>97</v>
      </c>
      <c r="G32" s="15" t="s">
        <v>54</v>
      </c>
      <c r="H32" s="4" t="s">
        <v>97</v>
      </c>
      <c r="I32" s="4" t="s">
        <v>144</v>
      </c>
      <c r="J32" s="4" t="s">
        <v>100</v>
      </c>
      <c r="K32" s="4" t="s">
        <v>124</v>
      </c>
      <c r="L32" s="4" t="s">
        <v>102</v>
      </c>
      <c r="M32" s="4" t="s">
        <v>149</v>
      </c>
      <c r="N32" s="7" t="s">
        <v>136</v>
      </c>
      <c r="O32" s="4" t="s">
        <v>105</v>
      </c>
      <c r="P32" s="4" t="s">
        <v>106</v>
      </c>
      <c r="Q32" s="4" t="s">
        <v>102</v>
      </c>
      <c r="R32" s="6"/>
      <c r="S32" s="4">
        <v>3</v>
      </c>
      <c r="T32" s="4">
        <v>3</v>
      </c>
      <c r="U32" s="4">
        <v>3</v>
      </c>
      <c r="V32" s="4">
        <v>3</v>
      </c>
      <c r="W32" s="4">
        <v>3</v>
      </c>
      <c r="X32" s="4">
        <v>4</v>
      </c>
      <c r="Y32" s="4">
        <v>4</v>
      </c>
      <c r="Z32" s="4">
        <v>4</v>
      </c>
      <c r="AA32" s="4">
        <v>4</v>
      </c>
      <c r="AB32" s="4">
        <v>3</v>
      </c>
      <c r="AC32" s="4">
        <v>3</v>
      </c>
      <c r="AD32" s="4">
        <v>4</v>
      </c>
      <c r="AE32" s="4">
        <v>4</v>
      </c>
      <c r="AF32" s="4">
        <v>4</v>
      </c>
      <c r="AG32" s="4">
        <v>4</v>
      </c>
      <c r="AH32" s="4">
        <v>3</v>
      </c>
      <c r="AI32" s="4">
        <v>4</v>
      </c>
      <c r="AJ32" s="4">
        <v>3</v>
      </c>
      <c r="AK32" s="4">
        <v>3</v>
      </c>
      <c r="AL32" s="4" t="s">
        <v>159</v>
      </c>
      <c r="AM32" s="4" t="s">
        <v>158</v>
      </c>
    </row>
    <row r="33" spans="1:39" ht="40.799999999999997" x14ac:dyDescent="0.3">
      <c r="A33" s="3">
        <f t="shared" si="1"/>
        <v>32</v>
      </c>
      <c r="B33" s="4" t="s">
        <v>129</v>
      </c>
      <c r="C33" s="4" t="s">
        <v>133</v>
      </c>
      <c r="D33" s="4" t="s">
        <v>111</v>
      </c>
      <c r="E33" s="4" t="s">
        <v>160</v>
      </c>
      <c r="F33" s="4" t="s">
        <v>98</v>
      </c>
      <c r="G33" s="15" t="s">
        <v>54</v>
      </c>
      <c r="H33" s="9" t="s">
        <v>97</v>
      </c>
      <c r="I33" s="4" t="s">
        <v>144</v>
      </c>
      <c r="J33" s="4" t="s">
        <v>100</v>
      </c>
      <c r="K33" s="4" t="s">
        <v>124</v>
      </c>
      <c r="L33" s="4" t="s">
        <v>102</v>
      </c>
      <c r="M33" s="4" t="s">
        <v>161</v>
      </c>
      <c r="N33" s="7" t="s">
        <v>136</v>
      </c>
      <c r="O33" s="4" t="s">
        <v>105</v>
      </c>
      <c r="P33" s="4" t="s">
        <v>106</v>
      </c>
      <c r="Q33" s="4" t="s">
        <v>102</v>
      </c>
      <c r="R33" s="6"/>
      <c r="S33" s="4">
        <v>4</v>
      </c>
      <c r="T33" s="4">
        <v>4</v>
      </c>
      <c r="U33" s="4">
        <v>4</v>
      </c>
      <c r="V33" s="4">
        <v>3</v>
      </c>
      <c r="W33" s="4">
        <v>3</v>
      </c>
      <c r="X33" s="4">
        <v>4</v>
      </c>
      <c r="Y33" s="4">
        <v>5</v>
      </c>
      <c r="Z33" s="4">
        <v>5</v>
      </c>
      <c r="AA33" s="4">
        <v>5</v>
      </c>
      <c r="AB33" s="4">
        <v>3</v>
      </c>
      <c r="AC33" s="4">
        <v>5</v>
      </c>
      <c r="AD33" s="4">
        <v>5</v>
      </c>
      <c r="AE33" s="4">
        <v>5</v>
      </c>
      <c r="AF33" s="4">
        <v>5</v>
      </c>
      <c r="AG33" s="4">
        <v>5</v>
      </c>
      <c r="AH33" s="4">
        <v>3</v>
      </c>
      <c r="AI33" s="4">
        <v>3</v>
      </c>
      <c r="AJ33" s="4">
        <v>2</v>
      </c>
      <c r="AK33" s="4">
        <v>2</v>
      </c>
      <c r="AL33" s="4" t="s">
        <v>162</v>
      </c>
      <c r="AM33" s="4" t="s">
        <v>163</v>
      </c>
    </row>
    <row r="34" spans="1:39" ht="40.799999999999997" x14ac:dyDescent="0.3">
      <c r="A34" s="3">
        <f t="shared" si="1"/>
        <v>33</v>
      </c>
      <c r="B34" s="4" t="s">
        <v>129</v>
      </c>
      <c r="C34" s="4" t="s">
        <v>164</v>
      </c>
      <c r="D34" s="4" t="s">
        <v>111</v>
      </c>
      <c r="E34" s="4" t="s">
        <v>143</v>
      </c>
      <c r="F34" s="4" t="s">
        <v>165</v>
      </c>
      <c r="G34" s="15" t="s">
        <v>55</v>
      </c>
      <c r="H34" s="4" t="s">
        <v>98</v>
      </c>
      <c r="I34" s="4" t="s">
        <v>99</v>
      </c>
      <c r="J34" s="4" t="s">
        <v>100</v>
      </c>
      <c r="K34" s="4" t="s">
        <v>124</v>
      </c>
      <c r="L34" s="4" t="s">
        <v>102</v>
      </c>
      <c r="M34" s="4" t="s">
        <v>161</v>
      </c>
      <c r="N34" s="7" t="s">
        <v>136</v>
      </c>
      <c r="O34" s="4" t="s">
        <v>105</v>
      </c>
      <c r="P34" s="4" t="s">
        <v>166</v>
      </c>
      <c r="Q34" s="4" t="s">
        <v>102</v>
      </c>
      <c r="R34" s="6"/>
      <c r="S34" s="4">
        <v>3</v>
      </c>
      <c r="T34" s="4">
        <v>3</v>
      </c>
      <c r="U34" s="4">
        <v>4</v>
      </c>
      <c r="V34" s="4">
        <v>4</v>
      </c>
      <c r="W34" s="4">
        <v>4</v>
      </c>
      <c r="X34" s="4">
        <v>4</v>
      </c>
      <c r="Y34" s="4">
        <v>5</v>
      </c>
      <c r="Z34" s="4">
        <v>5</v>
      </c>
      <c r="AA34" s="4">
        <v>5</v>
      </c>
      <c r="AB34" s="4">
        <v>3</v>
      </c>
      <c r="AC34" s="4">
        <v>3</v>
      </c>
      <c r="AD34" s="4">
        <v>3</v>
      </c>
      <c r="AE34" s="4">
        <v>4</v>
      </c>
      <c r="AF34" s="4">
        <v>4</v>
      </c>
      <c r="AG34" s="4">
        <v>4</v>
      </c>
      <c r="AH34" s="4">
        <v>3</v>
      </c>
      <c r="AI34" s="4">
        <v>3</v>
      </c>
      <c r="AJ34" s="4">
        <v>3</v>
      </c>
      <c r="AK34" s="4">
        <v>2</v>
      </c>
      <c r="AL34" s="4" t="s">
        <v>159</v>
      </c>
      <c r="AM34" s="4" t="s">
        <v>167</v>
      </c>
    </row>
    <row r="35" spans="1:39" ht="39.6" x14ac:dyDescent="0.3">
      <c r="A35" s="3">
        <f t="shared" si="1"/>
        <v>34</v>
      </c>
      <c r="B35" s="4" t="s">
        <v>169</v>
      </c>
      <c r="C35" s="4" t="s">
        <v>110</v>
      </c>
      <c r="D35" s="4" t="s">
        <v>95</v>
      </c>
      <c r="E35" s="4" t="s">
        <v>160</v>
      </c>
      <c r="F35" s="4" t="s">
        <v>165</v>
      </c>
      <c r="G35" s="15" t="s">
        <v>55</v>
      </c>
      <c r="H35" s="4" t="s">
        <v>98</v>
      </c>
      <c r="I35" s="4" t="s">
        <v>99</v>
      </c>
      <c r="J35" s="4" t="s">
        <v>100</v>
      </c>
      <c r="K35" s="4" t="s">
        <v>124</v>
      </c>
      <c r="L35" s="4" t="s">
        <v>102</v>
      </c>
      <c r="M35" s="4" t="s">
        <v>161</v>
      </c>
      <c r="N35" s="7" t="s">
        <v>136</v>
      </c>
      <c r="O35" s="4" t="s">
        <v>105</v>
      </c>
      <c r="P35" s="4" t="s">
        <v>166</v>
      </c>
      <c r="Q35" s="4" t="s">
        <v>102</v>
      </c>
      <c r="R35" s="6"/>
      <c r="S35" s="4">
        <v>4</v>
      </c>
      <c r="T35" s="4">
        <v>4</v>
      </c>
      <c r="U35" s="4">
        <v>3</v>
      </c>
      <c r="V35" s="4">
        <v>5</v>
      </c>
      <c r="W35" s="4">
        <v>5</v>
      </c>
      <c r="X35" s="4">
        <v>4</v>
      </c>
      <c r="Y35" s="4">
        <v>5</v>
      </c>
      <c r="Z35" s="4">
        <v>5</v>
      </c>
      <c r="AA35" s="4">
        <v>5</v>
      </c>
      <c r="AB35" s="4">
        <v>3</v>
      </c>
      <c r="AC35" s="4">
        <v>3</v>
      </c>
      <c r="AD35" s="4">
        <v>3</v>
      </c>
      <c r="AE35" s="4">
        <v>4</v>
      </c>
      <c r="AF35" s="4">
        <v>4</v>
      </c>
      <c r="AG35" s="4">
        <v>4</v>
      </c>
      <c r="AH35" s="4">
        <v>2</v>
      </c>
      <c r="AI35" s="4">
        <v>3</v>
      </c>
      <c r="AJ35" s="4">
        <v>3</v>
      </c>
      <c r="AK35" s="4">
        <v>2</v>
      </c>
      <c r="AL35" s="4" t="s">
        <v>159</v>
      </c>
      <c r="AM35" s="4" t="s">
        <v>170</v>
      </c>
    </row>
    <row r="36" spans="1:39" ht="40.799999999999997" x14ac:dyDescent="0.3">
      <c r="A36" s="3">
        <f t="shared" si="1"/>
        <v>35</v>
      </c>
      <c r="B36" s="4" t="s">
        <v>121</v>
      </c>
      <c r="C36" s="4" t="s">
        <v>94</v>
      </c>
      <c r="D36" s="4" t="s">
        <v>95</v>
      </c>
      <c r="E36" s="4" t="s">
        <v>148</v>
      </c>
      <c r="F36" s="4" t="s">
        <v>98</v>
      </c>
      <c r="G36" s="15" t="s">
        <v>56</v>
      </c>
      <c r="H36" s="4" t="s">
        <v>98</v>
      </c>
      <c r="I36" s="9" t="s">
        <v>114</v>
      </c>
      <c r="J36" s="4" t="s">
        <v>100</v>
      </c>
      <c r="K36" s="4" t="s">
        <v>124</v>
      </c>
      <c r="L36" s="4" t="s">
        <v>102</v>
      </c>
      <c r="M36" s="4" t="s">
        <v>171</v>
      </c>
      <c r="N36" s="7" t="s">
        <v>136</v>
      </c>
      <c r="O36" s="4" t="s">
        <v>105</v>
      </c>
      <c r="P36" s="4" t="s">
        <v>125</v>
      </c>
      <c r="Q36" s="4" t="s">
        <v>102</v>
      </c>
      <c r="R36" s="6"/>
      <c r="S36" s="4">
        <v>4</v>
      </c>
      <c r="T36" s="4">
        <v>4</v>
      </c>
      <c r="U36" s="4">
        <v>4</v>
      </c>
      <c r="V36" s="4">
        <v>3</v>
      </c>
      <c r="W36" s="4">
        <v>4</v>
      </c>
      <c r="X36" s="4">
        <v>4</v>
      </c>
      <c r="Y36" s="4">
        <v>4</v>
      </c>
      <c r="Z36" s="4">
        <v>4</v>
      </c>
      <c r="AA36" s="4">
        <v>4</v>
      </c>
      <c r="AB36" s="4">
        <v>3</v>
      </c>
      <c r="AC36" s="4">
        <v>4</v>
      </c>
      <c r="AD36" s="4">
        <v>4</v>
      </c>
      <c r="AE36" s="4">
        <v>4</v>
      </c>
      <c r="AF36" s="4">
        <v>4</v>
      </c>
      <c r="AG36" s="4">
        <v>4</v>
      </c>
      <c r="AH36" s="4">
        <v>1</v>
      </c>
      <c r="AI36" s="4">
        <v>2</v>
      </c>
      <c r="AJ36" s="4">
        <v>2</v>
      </c>
      <c r="AK36" s="4">
        <v>1</v>
      </c>
      <c r="AL36" s="4" t="s">
        <v>162</v>
      </c>
      <c r="AM36" s="4" t="s">
        <v>172</v>
      </c>
    </row>
    <row r="37" spans="1:39" ht="40.799999999999997" x14ac:dyDescent="0.3">
      <c r="A37" s="3">
        <f t="shared" si="1"/>
        <v>36</v>
      </c>
      <c r="B37" s="4" t="s">
        <v>169</v>
      </c>
      <c r="C37" s="4" t="s">
        <v>94</v>
      </c>
      <c r="D37" s="4" t="s">
        <v>111</v>
      </c>
      <c r="E37" s="4" t="s">
        <v>143</v>
      </c>
      <c r="F37" s="4" t="s">
        <v>98</v>
      </c>
      <c r="G37" s="15" t="s">
        <v>56</v>
      </c>
      <c r="H37" s="4" t="s">
        <v>98</v>
      </c>
      <c r="I37" s="9" t="s">
        <v>114</v>
      </c>
      <c r="J37" s="4" t="s">
        <v>100</v>
      </c>
      <c r="K37" s="4" t="s">
        <v>124</v>
      </c>
      <c r="L37" s="4" t="s">
        <v>102</v>
      </c>
      <c r="M37" s="4" t="s">
        <v>171</v>
      </c>
      <c r="N37" s="7" t="s">
        <v>136</v>
      </c>
      <c r="O37" s="4" t="s">
        <v>105</v>
      </c>
      <c r="P37" s="4" t="s">
        <v>125</v>
      </c>
      <c r="Q37" s="4" t="s">
        <v>102</v>
      </c>
      <c r="R37" s="6"/>
      <c r="S37" s="4">
        <v>4</v>
      </c>
      <c r="T37" s="4">
        <v>5</v>
      </c>
      <c r="U37" s="4">
        <v>5</v>
      </c>
      <c r="V37" s="4">
        <v>4</v>
      </c>
      <c r="W37" s="4">
        <v>4</v>
      </c>
      <c r="X37" s="4">
        <v>5</v>
      </c>
      <c r="Y37" s="4">
        <v>4</v>
      </c>
      <c r="Z37" s="4">
        <v>4</v>
      </c>
      <c r="AA37" s="4">
        <v>5</v>
      </c>
      <c r="AB37" s="4">
        <v>3</v>
      </c>
      <c r="AC37" s="4">
        <v>4</v>
      </c>
      <c r="AD37" s="4">
        <v>4</v>
      </c>
      <c r="AE37" s="4">
        <v>4</v>
      </c>
      <c r="AF37" s="4">
        <v>4</v>
      </c>
      <c r="AG37" s="4">
        <v>4</v>
      </c>
      <c r="AH37" s="4">
        <v>2</v>
      </c>
      <c r="AI37" s="4">
        <v>3</v>
      </c>
      <c r="AJ37" s="4">
        <v>2</v>
      </c>
      <c r="AK37" s="4">
        <v>1</v>
      </c>
      <c r="AL37" s="4" t="s">
        <v>162</v>
      </c>
      <c r="AM37" s="4" t="s">
        <v>172</v>
      </c>
    </row>
    <row r="38" spans="1:39" ht="30.6" x14ac:dyDescent="0.3">
      <c r="A38" s="3">
        <f t="shared" si="1"/>
        <v>37</v>
      </c>
      <c r="B38" s="4" t="s">
        <v>129</v>
      </c>
      <c r="C38" s="4" t="s">
        <v>94</v>
      </c>
      <c r="D38" s="4" t="s">
        <v>111</v>
      </c>
      <c r="E38" s="4" t="s">
        <v>160</v>
      </c>
      <c r="F38" s="4" t="s">
        <v>97</v>
      </c>
      <c r="G38" s="15" t="s">
        <v>57</v>
      </c>
      <c r="H38" s="4" t="s">
        <v>97</v>
      </c>
      <c r="I38" s="4" t="s">
        <v>114</v>
      </c>
      <c r="J38" s="4" t="s">
        <v>123</v>
      </c>
      <c r="K38" s="4" t="s">
        <v>124</v>
      </c>
      <c r="L38" s="4" t="s">
        <v>102</v>
      </c>
      <c r="M38" s="4" t="s">
        <v>174</v>
      </c>
      <c r="N38" s="7" t="s">
        <v>136</v>
      </c>
      <c r="O38" s="4" t="s">
        <v>105</v>
      </c>
      <c r="P38" s="4" t="s">
        <v>106</v>
      </c>
      <c r="Q38" s="4" t="s">
        <v>102</v>
      </c>
      <c r="R38" s="6"/>
      <c r="S38" s="4">
        <v>4</v>
      </c>
      <c r="T38" s="4">
        <v>4</v>
      </c>
      <c r="U38" s="4">
        <v>4</v>
      </c>
      <c r="V38" s="4">
        <v>3</v>
      </c>
      <c r="W38" s="4">
        <v>3</v>
      </c>
      <c r="X38" s="4">
        <v>3</v>
      </c>
      <c r="Y38" s="4">
        <v>3</v>
      </c>
      <c r="Z38" s="4">
        <v>4</v>
      </c>
      <c r="AA38" s="4">
        <v>4</v>
      </c>
      <c r="AB38" s="4">
        <v>3</v>
      </c>
      <c r="AC38" s="4">
        <v>4</v>
      </c>
      <c r="AD38" s="4">
        <v>4</v>
      </c>
      <c r="AE38" s="4">
        <v>3</v>
      </c>
      <c r="AF38" s="4">
        <v>4</v>
      </c>
      <c r="AG38" s="4">
        <v>4</v>
      </c>
      <c r="AH38" s="4">
        <v>2</v>
      </c>
      <c r="AI38" s="4">
        <v>3</v>
      </c>
      <c r="AJ38" s="4">
        <v>2</v>
      </c>
      <c r="AK38" s="4">
        <v>2</v>
      </c>
      <c r="AL38" s="4" t="s">
        <v>173</v>
      </c>
      <c r="AM38" s="4" t="s">
        <v>108</v>
      </c>
    </row>
    <row r="39" spans="1:39" ht="40.799999999999997" x14ac:dyDescent="0.3">
      <c r="A39" s="3">
        <f t="shared" si="1"/>
        <v>38</v>
      </c>
      <c r="B39" s="4" t="s">
        <v>109</v>
      </c>
      <c r="C39" s="4" t="s">
        <v>94</v>
      </c>
      <c r="D39" s="4" t="s">
        <v>111</v>
      </c>
      <c r="E39" s="4" t="s">
        <v>122</v>
      </c>
      <c r="F39" s="9" t="s">
        <v>97</v>
      </c>
      <c r="G39" s="15" t="s">
        <v>57</v>
      </c>
      <c r="H39" s="4" t="s">
        <v>97</v>
      </c>
      <c r="I39" s="4" t="s">
        <v>114</v>
      </c>
      <c r="J39" s="4" t="s">
        <v>123</v>
      </c>
      <c r="K39" s="4" t="s">
        <v>124</v>
      </c>
      <c r="L39" s="4" t="s">
        <v>102</v>
      </c>
      <c r="M39" s="4" t="s">
        <v>174</v>
      </c>
      <c r="N39" s="7" t="s">
        <v>136</v>
      </c>
      <c r="O39" s="4" t="s">
        <v>105</v>
      </c>
      <c r="P39" s="4" t="s">
        <v>106</v>
      </c>
      <c r="Q39" s="4" t="s">
        <v>102</v>
      </c>
      <c r="R39" s="6"/>
      <c r="S39" s="4">
        <v>4</v>
      </c>
      <c r="T39" s="4">
        <v>3</v>
      </c>
      <c r="U39" s="4">
        <v>3</v>
      </c>
      <c r="V39" s="4">
        <v>3</v>
      </c>
      <c r="W39" s="4">
        <v>3</v>
      </c>
      <c r="X39" s="4">
        <v>3</v>
      </c>
      <c r="Y39" s="4">
        <v>4</v>
      </c>
      <c r="Z39" s="4">
        <v>4</v>
      </c>
      <c r="AA39" s="4">
        <v>4</v>
      </c>
      <c r="AB39" s="4">
        <v>4</v>
      </c>
      <c r="AC39" s="4">
        <v>3</v>
      </c>
      <c r="AD39" s="4">
        <v>3</v>
      </c>
      <c r="AE39" s="4">
        <v>3</v>
      </c>
      <c r="AF39" s="4">
        <v>3</v>
      </c>
      <c r="AG39" s="4">
        <v>3</v>
      </c>
      <c r="AH39" s="4">
        <v>2</v>
      </c>
      <c r="AI39" s="4">
        <v>3</v>
      </c>
      <c r="AJ39" s="4">
        <v>2</v>
      </c>
      <c r="AK39" s="4">
        <v>2</v>
      </c>
      <c r="AL39" s="4" t="s">
        <v>175</v>
      </c>
      <c r="AM39" s="4" t="s">
        <v>176</v>
      </c>
    </row>
    <row r="40" spans="1:39" ht="30.6" x14ac:dyDescent="0.3">
      <c r="A40" s="3">
        <f t="shared" si="1"/>
        <v>39</v>
      </c>
      <c r="B40" s="4" t="s">
        <v>121</v>
      </c>
      <c r="C40" s="4" t="s">
        <v>133</v>
      </c>
      <c r="D40" s="4" t="s">
        <v>95</v>
      </c>
      <c r="E40" s="4" t="s">
        <v>148</v>
      </c>
      <c r="F40" s="4" t="s">
        <v>97</v>
      </c>
      <c r="G40" s="14" t="s">
        <v>58</v>
      </c>
      <c r="H40" s="4" t="s">
        <v>97</v>
      </c>
      <c r="I40" s="4" t="s">
        <v>114</v>
      </c>
      <c r="J40" s="4" t="s">
        <v>100</v>
      </c>
      <c r="K40" s="4" t="s">
        <v>177</v>
      </c>
      <c r="L40" s="4" t="s">
        <v>102</v>
      </c>
      <c r="M40" s="4" t="s">
        <v>168</v>
      </c>
      <c r="N40" s="7" t="s">
        <v>136</v>
      </c>
      <c r="O40" s="4" t="s">
        <v>105</v>
      </c>
      <c r="P40" s="4" t="s">
        <v>106</v>
      </c>
      <c r="Q40" s="4" t="s">
        <v>102</v>
      </c>
      <c r="R40" s="6"/>
      <c r="S40" s="4">
        <v>4</v>
      </c>
      <c r="T40" s="4">
        <v>3</v>
      </c>
      <c r="U40" s="4">
        <v>3</v>
      </c>
      <c r="V40" s="4">
        <v>3</v>
      </c>
      <c r="W40" s="4">
        <v>3</v>
      </c>
      <c r="X40" s="4">
        <v>5</v>
      </c>
      <c r="Y40" s="4">
        <v>3</v>
      </c>
      <c r="Z40" s="4">
        <v>5</v>
      </c>
      <c r="AA40" s="4">
        <v>4</v>
      </c>
      <c r="AB40" s="4">
        <v>3</v>
      </c>
      <c r="AC40" s="4">
        <v>5</v>
      </c>
      <c r="AD40" s="4">
        <v>4</v>
      </c>
      <c r="AE40" s="4">
        <v>4</v>
      </c>
      <c r="AF40" s="4">
        <v>3</v>
      </c>
      <c r="AG40" s="4">
        <v>4</v>
      </c>
      <c r="AH40" s="4">
        <v>2</v>
      </c>
      <c r="AI40" s="4">
        <v>3</v>
      </c>
      <c r="AJ40" s="4">
        <v>2</v>
      </c>
      <c r="AK40" s="4">
        <v>2</v>
      </c>
      <c r="AL40" s="4" t="s">
        <v>159</v>
      </c>
      <c r="AM40" s="4" t="s">
        <v>239</v>
      </c>
    </row>
    <row r="41" spans="1:39" ht="30.6" x14ac:dyDescent="0.3">
      <c r="A41" s="3">
        <f t="shared" si="1"/>
        <v>40</v>
      </c>
      <c r="B41" s="4" t="s">
        <v>129</v>
      </c>
      <c r="C41" s="4" t="s">
        <v>94</v>
      </c>
      <c r="D41" s="4" t="s">
        <v>111</v>
      </c>
      <c r="E41" s="4" t="s">
        <v>134</v>
      </c>
      <c r="F41" s="4" t="s">
        <v>97</v>
      </c>
      <c r="G41" s="14" t="s">
        <v>58</v>
      </c>
      <c r="H41" s="4" t="s">
        <v>97</v>
      </c>
      <c r="I41" s="4" t="s">
        <v>114</v>
      </c>
      <c r="J41" s="4" t="s">
        <v>100</v>
      </c>
      <c r="K41" s="4" t="s">
        <v>177</v>
      </c>
      <c r="L41" s="4" t="s">
        <v>102</v>
      </c>
      <c r="M41" s="4" t="s">
        <v>168</v>
      </c>
      <c r="N41" s="7" t="s">
        <v>136</v>
      </c>
      <c r="O41" s="4" t="s">
        <v>105</v>
      </c>
      <c r="P41" s="4" t="s">
        <v>106</v>
      </c>
      <c r="Q41" s="4" t="s">
        <v>102</v>
      </c>
      <c r="R41" s="6"/>
      <c r="S41" s="4">
        <v>4</v>
      </c>
      <c r="T41" s="4">
        <v>3</v>
      </c>
      <c r="U41" s="4">
        <v>3</v>
      </c>
      <c r="V41" s="4">
        <v>4</v>
      </c>
      <c r="W41" s="4">
        <v>4</v>
      </c>
      <c r="X41" s="4">
        <v>4</v>
      </c>
      <c r="Y41" s="4">
        <v>4</v>
      </c>
      <c r="Z41" s="4">
        <v>4</v>
      </c>
      <c r="AA41" s="4">
        <v>3</v>
      </c>
      <c r="AB41" s="4">
        <v>3</v>
      </c>
      <c r="AC41" s="4">
        <v>5</v>
      </c>
      <c r="AD41" s="4">
        <v>3</v>
      </c>
      <c r="AE41" s="4">
        <v>3</v>
      </c>
      <c r="AF41" s="4">
        <v>3</v>
      </c>
      <c r="AG41" s="4">
        <v>3</v>
      </c>
      <c r="AH41" s="4">
        <v>1</v>
      </c>
      <c r="AI41" s="4">
        <v>2</v>
      </c>
      <c r="AJ41" s="4">
        <v>1</v>
      </c>
      <c r="AK41" s="4">
        <v>1</v>
      </c>
      <c r="AL41" s="4" t="s">
        <v>175</v>
      </c>
      <c r="AM41" s="4" t="s">
        <v>172</v>
      </c>
    </row>
    <row r="42" spans="1:39" ht="40.799999999999997" x14ac:dyDescent="0.3">
      <c r="A42" s="3">
        <f t="shared" si="1"/>
        <v>41</v>
      </c>
      <c r="B42" s="4" t="s">
        <v>129</v>
      </c>
      <c r="C42" s="4" t="s">
        <v>110</v>
      </c>
      <c r="D42" s="4" t="s">
        <v>111</v>
      </c>
      <c r="E42" s="4" t="s">
        <v>160</v>
      </c>
      <c r="F42" s="4" t="s">
        <v>97</v>
      </c>
      <c r="G42" s="14" t="s">
        <v>59</v>
      </c>
      <c r="H42" s="4" t="s">
        <v>97</v>
      </c>
      <c r="I42" s="4" t="s">
        <v>114</v>
      </c>
      <c r="J42" s="4" t="s">
        <v>100</v>
      </c>
      <c r="K42" s="4" t="s">
        <v>177</v>
      </c>
      <c r="L42" s="4" t="s">
        <v>102</v>
      </c>
      <c r="M42" s="4" t="s">
        <v>178</v>
      </c>
      <c r="N42" s="7" t="s">
        <v>136</v>
      </c>
      <c r="O42" s="4" t="s">
        <v>105</v>
      </c>
      <c r="P42" s="4" t="s">
        <v>125</v>
      </c>
      <c r="Q42" s="4" t="s">
        <v>105</v>
      </c>
      <c r="R42" s="4" t="s">
        <v>137</v>
      </c>
      <c r="S42" s="4">
        <v>5</v>
      </c>
      <c r="T42" s="4">
        <v>4</v>
      </c>
      <c r="U42" s="4">
        <v>4</v>
      </c>
      <c r="V42" s="4">
        <v>3</v>
      </c>
      <c r="W42" s="4">
        <v>3</v>
      </c>
      <c r="X42" s="4">
        <v>4</v>
      </c>
      <c r="Y42" s="4">
        <v>4</v>
      </c>
      <c r="Z42" s="4">
        <v>3</v>
      </c>
      <c r="AA42" s="4">
        <v>4</v>
      </c>
      <c r="AB42" s="4">
        <v>4</v>
      </c>
      <c r="AC42" s="4">
        <v>3</v>
      </c>
      <c r="AD42" s="4">
        <v>3</v>
      </c>
      <c r="AE42" s="4">
        <v>3</v>
      </c>
      <c r="AF42" s="4">
        <v>3</v>
      </c>
      <c r="AG42" s="4">
        <v>3</v>
      </c>
      <c r="AH42" s="4">
        <v>2</v>
      </c>
      <c r="AI42" s="4">
        <v>4</v>
      </c>
      <c r="AJ42" s="4">
        <v>2</v>
      </c>
      <c r="AK42" s="4">
        <v>2</v>
      </c>
      <c r="AL42" s="4" t="s">
        <v>179</v>
      </c>
      <c r="AM42" s="4" t="s">
        <v>108</v>
      </c>
    </row>
    <row r="43" spans="1:39" ht="40.799999999999997" x14ac:dyDescent="0.3">
      <c r="A43" s="3">
        <f t="shared" si="1"/>
        <v>42</v>
      </c>
      <c r="B43" s="4" t="s">
        <v>109</v>
      </c>
      <c r="C43" s="4" t="s">
        <v>110</v>
      </c>
      <c r="D43" s="4" t="s">
        <v>111</v>
      </c>
      <c r="E43" s="4" t="s">
        <v>160</v>
      </c>
      <c r="F43" s="4" t="s">
        <v>97</v>
      </c>
      <c r="G43" s="14" t="s">
        <v>59</v>
      </c>
      <c r="H43" s="4" t="s">
        <v>180</v>
      </c>
      <c r="I43" s="4" t="s">
        <v>114</v>
      </c>
      <c r="J43" s="4" t="s">
        <v>100</v>
      </c>
      <c r="K43" s="4" t="s">
        <v>177</v>
      </c>
      <c r="L43" s="4" t="s">
        <v>102</v>
      </c>
      <c r="M43" s="4" t="s">
        <v>178</v>
      </c>
      <c r="N43" s="7" t="s">
        <v>136</v>
      </c>
      <c r="O43" s="4" t="s">
        <v>105</v>
      </c>
      <c r="P43" s="4" t="s">
        <v>125</v>
      </c>
      <c r="Q43" s="4" t="s">
        <v>105</v>
      </c>
      <c r="R43" s="4" t="s">
        <v>137</v>
      </c>
      <c r="S43" s="4">
        <v>5</v>
      </c>
      <c r="T43" s="4">
        <v>4</v>
      </c>
      <c r="U43" s="4">
        <v>4</v>
      </c>
      <c r="V43" s="4">
        <v>3</v>
      </c>
      <c r="W43" s="4">
        <v>4</v>
      </c>
      <c r="X43" s="4">
        <v>4</v>
      </c>
      <c r="Y43" s="4">
        <v>4</v>
      </c>
      <c r="Z43" s="4">
        <v>4</v>
      </c>
      <c r="AA43" s="4">
        <v>4</v>
      </c>
      <c r="AB43" s="4">
        <v>3</v>
      </c>
      <c r="AC43" s="4">
        <v>3</v>
      </c>
      <c r="AD43" s="4">
        <v>3</v>
      </c>
      <c r="AE43" s="4">
        <v>3</v>
      </c>
      <c r="AF43" s="4">
        <v>3</v>
      </c>
      <c r="AG43" s="4">
        <v>3</v>
      </c>
      <c r="AH43" s="4">
        <v>3</v>
      </c>
      <c r="AI43" s="4">
        <v>4</v>
      </c>
      <c r="AJ43" s="4">
        <v>3</v>
      </c>
      <c r="AK43" s="4">
        <v>3</v>
      </c>
      <c r="AL43" s="4" t="s">
        <v>179</v>
      </c>
      <c r="AM43" s="4" t="s">
        <v>108</v>
      </c>
    </row>
    <row r="44" spans="1:39" ht="51" x14ac:dyDescent="0.3">
      <c r="A44" s="3">
        <f t="shared" si="1"/>
        <v>43</v>
      </c>
      <c r="B44" s="4" t="s">
        <v>121</v>
      </c>
      <c r="C44" s="4" t="s">
        <v>94</v>
      </c>
      <c r="D44" s="4" t="s">
        <v>111</v>
      </c>
      <c r="E44" s="4" t="s">
        <v>160</v>
      </c>
      <c r="F44" s="4" t="s">
        <v>97</v>
      </c>
      <c r="G44" s="15" t="s">
        <v>60</v>
      </c>
      <c r="H44" s="4" t="s">
        <v>97</v>
      </c>
      <c r="I44" s="4" t="s">
        <v>99</v>
      </c>
      <c r="J44" s="4" t="s">
        <v>100</v>
      </c>
      <c r="K44" s="4" t="s">
        <v>101</v>
      </c>
      <c r="L44" s="4" t="s">
        <v>102</v>
      </c>
      <c r="M44" s="4" t="s">
        <v>168</v>
      </c>
      <c r="N44" s="7" t="s">
        <v>136</v>
      </c>
      <c r="O44" s="4" t="s">
        <v>105</v>
      </c>
      <c r="P44" s="4" t="s">
        <v>125</v>
      </c>
      <c r="Q44" s="4" t="s">
        <v>102</v>
      </c>
      <c r="R44" s="6"/>
      <c r="S44" s="4">
        <v>5</v>
      </c>
      <c r="T44" s="4">
        <v>5</v>
      </c>
      <c r="U44" s="4">
        <v>4</v>
      </c>
      <c r="V44" s="4">
        <v>4</v>
      </c>
      <c r="W44" s="4">
        <v>4</v>
      </c>
      <c r="X44" s="4">
        <v>4</v>
      </c>
      <c r="Y44" s="4">
        <v>5</v>
      </c>
      <c r="Z44" s="4">
        <v>5</v>
      </c>
      <c r="AA44" s="4">
        <v>4</v>
      </c>
      <c r="AB44" s="4">
        <v>3</v>
      </c>
      <c r="AC44" s="4">
        <v>4</v>
      </c>
      <c r="AD44" s="4">
        <v>4</v>
      </c>
      <c r="AE44" s="4">
        <v>4</v>
      </c>
      <c r="AF44" s="4">
        <v>3</v>
      </c>
      <c r="AG44" s="4">
        <v>4</v>
      </c>
      <c r="AH44" s="4">
        <v>1</v>
      </c>
      <c r="AI44" s="4">
        <v>2</v>
      </c>
      <c r="AJ44" s="4">
        <v>1</v>
      </c>
      <c r="AK44" s="4">
        <v>1</v>
      </c>
      <c r="AL44" s="4" t="s">
        <v>175</v>
      </c>
      <c r="AM44" s="4" t="s">
        <v>182</v>
      </c>
    </row>
    <row r="45" spans="1:39" ht="51" x14ac:dyDescent="0.3">
      <c r="A45" s="3">
        <f t="shared" si="1"/>
        <v>44</v>
      </c>
      <c r="B45" s="4" t="s">
        <v>109</v>
      </c>
      <c r="C45" s="4" t="s">
        <v>94</v>
      </c>
      <c r="D45" s="4" t="s">
        <v>111</v>
      </c>
      <c r="E45" s="4" t="s">
        <v>143</v>
      </c>
      <c r="F45" s="4" t="s">
        <v>97</v>
      </c>
      <c r="G45" s="15" t="s">
        <v>60</v>
      </c>
      <c r="H45" s="4" t="s">
        <v>97</v>
      </c>
      <c r="I45" s="4" t="s">
        <v>99</v>
      </c>
      <c r="J45" s="4" t="s">
        <v>100</v>
      </c>
      <c r="K45" s="4" t="s">
        <v>101</v>
      </c>
      <c r="L45" s="4" t="s">
        <v>102</v>
      </c>
      <c r="M45" s="4" t="s">
        <v>168</v>
      </c>
      <c r="N45" s="7" t="s">
        <v>136</v>
      </c>
      <c r="O45" s="4" t="s">
        <v>105</v>
      </c>
      <c r="P45" s="4" t="s">
        <v>125</v>
      </c>
      <c r="Q45" s="4" t="s">
        <v>102</v>
      </c>
      <c r="R45" s="6"/>
      <c r="S45" s="4">
        <v>5</v>
      </c>
      <c r="T45" s="4">
        <v>5</v>
      </c>
      <c r="U45" s="4">
        <v>4</v>
      </c>
      <c r="V45" s="4">
        <v>4</v>
      </c>
      <c r="W45" s="4">
        <v>4</v>
      </c>
      <c r="X45" s="4">
        <v>5</v>
      </c>
      <c r="Y45" s="4">
        <v>5</v>
      </c>
      <c r="Z45" s="4">
        <v>5</v>
      </c>
      <c r="AA45" s="4">
        <v>5</v>
      </c>
      <c r="AB45" s="4">
        <v>4</v>
      </c>
      <c r="AC45" s="4">
        <v>4</v>
      </c>
      <c r="AD45" s="4">
        <v>4</v>
      </c>
      <c r="AE45" s="4">
        <v>5</v>
      </c>
      <c r="AF45" s="4">
        <v>3</v>
      </c>
      <c r="AG45" s="4">
        <v>4</v>
      </c>
      <c r="AH45" s="4">
        <v>1</v>
      </c>
      <c r="AI45" s="4">
        <v>2</v>
      </c>
      <c r="AJ45" s="4">
        <v>1</v>
      </c>
      <c r="AK45" s="4">
        <v>1</v>
      </c>
      <c r="AL45" s="4" t="s">
        <v>175</v>
      </c>
      <c r="AM45" s="4" t="s">
        <v>182</v>
      </c>
    </row>
    <row r="46" spans="1:39" ht="30.6" x14ac:dyDescent="0.3">
      <c r="A46" s="3">
        <f t="shared" si="1"/>
        <v>45</v>
      </c>
      <c r="B46" s="4" t="s">
        <v>121</v>
      </c>
      <c r="C46" s="4" t="s">
        <v>94</v>
      </c>
      <c r="D46" s="4" t="s">
        <v>95</v>
      </c>
      <c r="E46" s="4" t="s">
        <v>212</v>
      </c>
      <c r="F46" s="4" t="s">
        <v>98</v>
      </c>
      <c r="G46" s="15" t="s">
        <v>61</v>
      </c>
      <c r="H46" s="4" t="s">
        <v>98</v>
      </c>
      <c r="I46" s="4" t="s">
        <v>144</v>
      </c>
      <c r="J46" s="4" t="s">
        <v>123</v>
      </c>
      <c r="K46" s="4" t="s">
        <v>124</v>
      </c>
      <c r="L46" s="4" t="s">
        <v>102</v>
      </c>
      <c r="M46" s="4" t="s">
        <v>240</v>
      </c>
      <c r="N46" s="7" t="s">
        <v>136</v>
      </c>
      <c r="O46" s="4" t="s">
        <v>105</v>
      </c>
      <c r="P46" s="4" t="s">
        <v>106</v>
      </c>
      <c r="Q46" s="4" t="s">
        <v>102</v>
      </c>
      <c r="R46" s="6"/>
      <c r="S46" s="4">
        <v>4</v>
      </c>
      <c r="T46" s="4">
        <v>3</v>
      </c>
      <c r="U46" s="4">
        <v>3</v>
      </c>
      <c r="V46" s="4">
        <v>3</v>
      </c>
      <c r="W46" s="4">
        <v>3</v>
      </c>
      <c r="X46" s="4">
        <v>4</v>
      </c>
      <c r="Y46" s="4">
        <v>4</v>
      </c>
      <c r="Z46" s="4">
        <v>4</v>
      </c>
      <c r="AA46" s="4">
        <v>4</v>
      </c>
      <c r="AB46" s="4">
        <v>3</v>
      </c>
      <c r="AC46" s="4">
        <v>4</v>
      </c>
      <c r="AD46" s="4">
        <v>3</v>
      </c>
      <c r="AE46" s="4">
        <v>4</v>
      </c>
      <c r="AF46" s="4">
        <v>3</v>
      </c>
      <c r="AG46" s="4">
        <v>4</v>
      </c>
      <c r="AH46" s="4">
        <v>1</v>
      </c>
      <c r="AI46" s="4">
        <v>3</v>
      </c>
      <c r="AJ46" s="4">
        <v>2</v>
      </c>
      <c r="AK46" s="4">
        <v>1</v>
      </c>
      <c r="AL46" s="4" t="s">
        <v>159</v>
      </c>
      <c r="AM46" s="4" t="s">
        <v>241</v>
      </c>
    </row>
    <row r="47" spans="1:39" ht="40.799999999999997" x14ac:dyDescent="0.3">
      <c r="A47" s="3">
        <f t="shared" si="1"/>
        <v>46</v>
      </c>
      <c r="B47" s="4" t="s">
        <v>112</v>
      </c>
      <c r="C47" s="4" t="s">
        <v>94</v>
      </c>
      <c r="D47" s="4" t="s">
        <v>95</v>
      </c>
      <c r="E47" s="4" t="s">
        <v>148</v>
      </c>
      <c r="F47" s="4" t="s">
        <v>98</v>
      </c>
      <c r="G47" s="15" t="s">
        <v>61</v>
      </c>
      <c r="H47" s="4" t="s">
        <v>98</v>
      </c>
      <c r="I47" s="4" t="s">
        <v>144</v>
      </c>
      <c r="J47" s="4" t="s">
        <v>123</v>
      </c>
      <c r="K47" s="4" t="s">
        <v>124</v>
      </c>
      <c r="L47" s="4" t="s">
        <v>102</v>
      </c>
      <c r="M47" s="4" t="s">
        <v>240</v>
      </c>
      <c r="N47" s="7" t="s">
        <v>136</v>
      </c>
      <c r="O47" s="4" t="s">
        <v>105</v>
      </c>
      <c r="P47" s="4" t="s">
        <v>106</v>
      </c>
      <c r="Q47" s="4" t="s">
        <v>102</v>
      </c>
      <c r="R47" s="6"/>
      <c r="S47" s="4">
        <v>3</v>
      </c>
      <c r="T47" s="4">
        <v>3</v>
      </c>
      <c r="U47" s="4">
        <v>3</v>
      </c>
      <c r="V47" s="4">
        <v>3</v>
      </c>
      <c r="W47" s="4">
        <v>3</v>
      </c>
      <c r="X47" s="4">
        <v>4</v>
      </c>
      <c r="Y47" s="4">
        <v>4</v>
      </c>
      <c r="Z47" s="4">
        <v>4</v>
      </c>
      <c r="AA47" s="4">
        <v>4</v>
      </c>
      <c r="AB47" s="4">
        <v>3</v>
      </c>
      <c r="AC47" s="4">
        <v>3</v>
      </c>
      <c r="AD47" s="4">
        <v>3</v>
      </c>
      <c r="AE47" s="4">
        <v>4</v>
      </c>
      <c r="AF47" s="4">
        <v>4</v>
      </c>
      <c r="AG47" s="4">
        <v>4</v>
      </c>
      <c r="AH47" s="4">
        <v>2</v>
      </c>
      <c r="AI47" s="4">
        <v>4</v>
      </c>
      <c r="AJ47" s="4">
        <v>3</v>
      </c>
      <c r="AK47" s="4">
        <v>2</v>
      </c>
      <c r="AL47" s="4" t="s">
        <v>159</v>
      </c>
      <c r="AM47" s="4" t="s">
        <v>242</v>
      </c>
    </row>
    <row r="48" spans="1:39" ht="30.6" x14ac:dyDescent="0.3">
      <c r="A48" s="3">
        <f t="shared" si="1"/>
        <v>47</v>
      </c>
      <c r="B48" s="4" t="s">
        <v>121</v>
      </c>
      <c r="C48" s="4" t="s">
        <v>133</v>
      </c>
      <c r="D48" s="4" t="s">
        <v>95</v>
      </c>
      <c r="E48" s="4" t="s">
        <v>143</v>
      </c>
      <c r="F48" s="4" t="s">
        <v>98</v>
      </c>
      <c r="G48" s="15" t="s">
        <v>62</v>
      </c>
      <c r="H48" s="4" t="s">
        <v>98</v>
      </c>
      <c r="I48" s="4" t="s">
        <v>114</v>
      </c>
      <c r="J48" s="4" t="s">
        <v>100</v>
      </c>
      <c r="K48" s="4" t="s">
        <v>201</v>
      </c>
      <c r="L48" s="4" t="s">
        <v>102</v>
      </c>
      <c r="M48" s="4" t="s">
        <v>168</v>
      </c>
      <c r="N48" s="7" t="s">
        <v>136</v>
      </c>
      <c r="O48" s="4" t="s">
        <v>105</v>
      </c>
      <c r="P48" s="4" t="s">
        <v>125</v>
      </c>
      <c r="Q48" s="4" t="s">
        <v>102</v>
      </c>
      <c r="R48" s="6"/>
      <c r="S48" s="4">
        <v>5</v>
      </c>
      <c r="T48" s="4">
        <v>5</v>
      </c>
      <c r="U48" s="4">
        <v>5</v>
      </c>
      <c r="V48" s="4">
        <v>4</v>
      </c>
      <c r="W48" s="4">
        <v>4</v>
      </c>
      <c r="X48" s="4">
        <v>5</v>
      </c>
      <c r="Y48" s="4">
        <v>4</v>
      </c>
      <c r="Z48" s="4">
        <v>5</v>
      </c>
      <c r="AA48" s="4">
        <v>5</v>
      </c>
      <c r="AB48" s="4">
        <v>3</v>
      </c>
      <c r="AC48" s="4">
        <v>4</v>
      </c>
      <c r="AD48" s="4">
        <v>3</v>
      </c>
      <c r="AE48" s="4">
        <v>4</v>
      </c>
      <c r="AF48" s="4">
        <v>3</v>
      </c>
      <c r="AG48" s="4">
        <v>4</v>
      </c>
      <c r="AH48" s="4">
        <v>1</v>
      </c>
      <c r="AI48" s="4">
        <v>1</v>
      </c>
      <c r="AJ48" s="4">
        <v>1</v>
      </c>
      <c r="AK48" s="4">
        <v>1</v>
      </c>
      <c r="AL48" s="4" t="s">
        <v>209</v>
      </c>
      <c r="AM48" s="4" t="s">
        <v>244</v>
      </c>
    </row>
    <row r="49" spans="1:39" ht="30.6" x14ac:dyDescent="0.3">
      <c r="A49" s="3">
        <f t="shared" si="1"/>
        <v>48</v>
      </c>
      <c r="B49" s="4" t="s">
        <v>109</v>
      </c>
      <c r="C49" s="4" t="s">
        <v>94</v>
      </c>
      <c r="D49" s="4" t="s">
        <v>111</v>
      </c>
      <c r="E49" s="4" t="s">
        <v>243</v>
      </c>
      <c r="F49" s="4" t="s">
        <v>98</v>
      </c>
      <c r="G49" s="15" t="s">
        <v>62</v>
      </c>
      <c r="H49" s="4" t="s">
        <v>98</v>
      </c>
      <c r="I49" s="4" t="s">
        <v>114</v>
      </c>
      <c r="J49" s="4" t="s">
        <v>100</v>
      </c>
      <c r="K49" s="4" t="s">
        <v>201</v>
      </c>
      <c r="L49" s="4" t="s">
        <v>102</v>
      </c>
      <c r="M49" s="4" t="s">
        <v>168</v>
      </c>
      <c r="N49" s="7" t="s">
        <v>136</v>
      </c>
      <c r="O49" s="4" t="s">
        <v>105</v>
      </c>
      <c r="P49" s="4" t="s">
        <v>125</v>
      </c>
      <c r="Q49" s="4" t="s">
        <v>102</v>
      </c>
      <c r="R49" s="6"/>
      <c r="S49" s="4">
        <v>5</v>
      </c>
      <c r="T49" s="4">
        <v>4</v>
      </c>
      <c r="U49" s="4">
        <v>4</v>
      </c>
      <c r="V49" s="4">
        <v>4</v>
      </c>
      <c r="W49" s="4">
        <v>4</v>
      </c>
      <c r="X49" s="4">
        <v>5</v>
      </c>
      <c r="Y49" s="4">
        <v>4</v>
      </c>
      <c r="Z49" s="4">
        <v>5</v>
      </c>
      <c r="AA49" s="4">
        <v>4</v>
      </c>
      <c r="AB49" s="4">
        <v>3</v>
      </c>
      <c r="AC49" s="4">
        <v>4</v>
      </c>
      <c r="AD49" s="4">
        <v>3</v>
      </c>
      <c r="AE49" s="4">
        <v>4</v>
      </c>
      <c r="AF49" s="4">
        <v>3</v>
      </c>
      <c r="AG49" s="4">
        <v>3</v>
      </c>
      <c r="AH49" s="4">
        <v>1</v>
      </c>
      <c r="AI49" s="4">
        <v>1</v>
      </c>
      <c r="AJ49" s="4">
        <v>1</v>
      </c>
      <c r="AK49" s="4">
        <v>1</v>
      </c>
      <c r="AL49" s="4" t="s">
        <v>209</v>
      </c>
      <c r="AM49" s="4" t="s">
        <v>244</v>
      </c>
    </row>
    <row r="50" spans="1:39" ht="30.6" x14ac:dyDescent="0.3">
      <c r="A50" s="3">
        <f t="shared" si="1"/>
        <v>49</v>
      </c>
      <c r="B50" s="4" t="s">
        <v>169</v>
      </c>
      <c r="C50" s="4" t="s">
        <v>94</v>
      </c>
      <c r="D50" s="4" t="s">
        <v>95</v>
      </c>
      <c r="E50" s="4" t="s">
        <v>148</v>
      </c>
      <c r="F50" s="4" t="s">
        <v>97</v>
      </c>
      <c r="G50" s="15" t="s">
        <v>63</v>
      </c>
      <c r="H50" s="4" t="s">
        <v>97</v>
      </c>
      <c r="I50" s="4" t="s">
        <v>99</v>
      </c>
      <c r="J50" s="4" t="s">
        <v>100</v>
      </c>
      <c r="K50" s="4" t="s">
        <v>183</v>
      </c>
      <c r="L50" s="4" t="s">
        <v>102</v>
      </c>
      <c r="M50" s="4" t="s">
        <v>184</v>
      </c>
      <c r="N50" s="7" t="s">
        <v>136</v>
      </c>
      <c r="O50" s="4" t="s">
        <v>105</v>
      </c>
      <c r="P50" s="4" t="s">
        <v>106</v>
      </c>
      <c r="Q50" s="4" t="s">
        <v>102</v>
      </c>
      <c r="R50" s="6"/>
      <c r="S50" s="4">
        <v>4</v>
      </c>
      <c r="T50" s="4">
        <v>4</v>
      </c>
      <c r="U50" s="4">
        <v>4</v>
      </c>
      <c r="V50" s="4">
        <v>3</v>
      </c>
      <c r="W50" s="4">
        <v>3</v>
      </c>
      <c r="X50" s="4">
        <v>3</v>
      </c>
      <c r="Y50" s="4">
        <v>4</v>
      </c>
      <c r="Z50" s="4">
        <v>3</v>
      </c>
      <c r="AA50" s="4">
        <v>4</v>
      </c>
      <c r="AB50" s="4">
        <v>3</v>
      </c>
      <c r="AC50" s="4">
        <v>3</v>
      </c>
      <c r="AD50" s="4">
        <v>3</v>
      </c>
      <c r="AE50" s="4">
        <v>4</v>
      </c>
      <c r="AF50" s="4">
        <v>4</v>
      </c>
      <c r="AG50" s="4">
        <v>4</v>
      </c>
      <c r="AH50" s="4">
        <v>2</v>
      </c>
      <c r="AI50" s="4">
        <v>3</v>
      </c>
      <c r="AJ50" s="4">
        <v>2</v>
      </c>
      <c r="AK50" s="4">
        <v>2</v>
      </c>
      <c r="AL50" s="4" t="s">
        <v>185</v>
      </c>
      <c r="AM50" s="4" t="s">
        <v>186</v>
      </c>
    </row>
    <row r="51" spans="1:39" ht="30.6" x14ac:dyDescent="0.3">
      <c r="A51" s="3">
        <f>A50+1</f>
        <v>50</v>
      </c>
      <c r="B51" s="4" t="s">
        <v>121</v>
      </c>
      <c r="C51" s="4" t="s">
        <v>133</v>
      </c>
      <c r="D51" s="4" t="s">
        <v>95</v>
      </c>
      <c r="E51" s="4" t="s">
        <v>187</v>
      </c>
      <c r="F51" s="4" t="s">
        <v>97</v>
      </c>
      <c r="G51" s="15" t="s">
        <v>63</v>
      </c>
      <c r="H51" s="4" t="s">
        <v>97</v>
      </c>
      <c r="I51" s="4" t="s">
        <v>99</v>
      </c>
      <c r="J51" s="4" t="s">
        <v>100</v>
      </c>
      <c r="K51" s="4" t="s">
        <v>183</v>
      </c>
      <c r="L51" s="4" t="s">
        <v>102</v>
      </c>
      <c r="M51" s="4" t="s">
        <v>188</v>
      </c>
      <c r="N51" s="7" t="s">
        <v>136</v>
      </c>
      <c r="O51" s="4" t="s">
        <v>105</v>
      </c>
      <c r="P51" s="4" t="s">
        <v>106</v>
      </c>
      <c r="Q51" s="4" t="s">
        <v>102</v>
      </c>
      <c r="R51" s="6"/>
      <c r="S51" s="4">
        <v>5</v>
      </c>
      <c r="T51" s="4">
        <v>4</v>
      </c>
      <c r="U51" s="4">
        <v>3</v>
      </c>
      <c r="V51" s="4">
        <v>3</v>
      </c>
      <c r="W51" s="4">
        <v>4</v>
      </c>
      <c r="X51" s="4">
        <v>4</v>
      </c>
      <c r="Y51" s="4">
        <v>3</v>
      </c>
      <c r="Z51" s="4">
        <v>3</v>
      </c>
      <c r="AA51" s="4">
        <v>5</v>
      </c>
      <c r="AB51" s="4">
        <v>4</v>
      </c>
      <c r="AC51" s="4">
        <v>3</v>
      </c>
      <c r="AD51" s="4">
        <v>3</v>
      </c>
      <c r="AE51" s="4">
        <v>3</v>
      </c>
      <c r="AF51" s="4">
        <v>4</v>
      </c>
      <c r="AG51" s="4">
        <v>3</v>
      </c>
      <c r="AH51" s="4">
        <v>3</v>
      </c>
      <c r="AI51" s="4">
        <v>3</v>
      </c>
      <c r="AJ51" s="4">
        <v>3</v>
      </c>
      <c r="AK51" s="4">
        <v>3</v>
      </c>
      <c r="AL51" s="4" t="s">
        <v>190</v>
      </c>
      <c r="AM51" s="4" t="s">
        <v>189</v>
      </c>
    </row>
    <row r="52" spans="1:39" ht="30.6" x14ac:dyDescent="0.3">
      <c r="A52" s="3">
        <f t="shared" si="1"/>
        <v>51</v>
      </c>
      <c r="B52" s="4" t="s">
        <v>121</v>
      </c>
      <c r="C52" s="4" t="s">
        <v>133</v>
      </c>
      <c r="D52" s="4" t="s">
        <v>111</v>
      </c>
      <c r="E52" s="4" t="s">
        <v>148</v>
      </c>
      <c r="F52" s="4" t="s">
        <v>97</v>
      </c>
      <c r="G52" s="15" t="s">
        <v>64</v>
      </c>
      <c r="H52" s="4" t="s">
        <v>97</v>
      </c>
      <c r="I52" s="4" t="s">
        <v>99</v>
      </c>
      <c r="J52" s="4" t="s">
        <v>100</v>
      </c>
      <c r="K52" s="4" t="s">
        <v>191</v>
      </c>
      <c r="L52" s="4" t="s">
        <v>102</v>
      </c>
      <c r="M52" s="4" t="s">
        <v>192</v>
      </c>
      <c r="N52" s="7" t="s">
        <v>136</v>
      </c>
      <c r="O52" s="4" t="s">
        <v>146</v>
      </c>
      <c r="P52" s="4" t="s">
        <v>125</v>
      </c>
      <c r="Q52" s="4" t="s">
        <v>105</v>
      </c>
      <c r="R52" s="4" t="s">
        <v>137</v>
      </c>
      <c r="S52" s="4">
        <v>5</v>
      </c>
      <c r="T52" s="4">
        <v>4</v>
      </c>
      <c r="U52" s="4">
        <v>5</v>
      </c>
      <c r="V52" s="4">
        <v>4</v>
      </c>
      <c r="W52" s="4">
        <v>4</v>
      </c>
      <c r="X52" s="4">
        <v>4</v>
      </c>
      <c r="Y52" s="4">
        <v>4</v>
      </c>
      <c r="Z52" s="4">
        <v>4</v>
      </c>
      <c r="AA52" s="4">
        <v>4</v>
      </c>
      <c r="AB52" s="4">
        <v>4</v>
      </c>
      <c r="AC52" s="4">
        <v>4</v>
      </c>
      <c r="AD52" s="4">
        <v>4</v>
      </c>
      <c r="AE52" s="4">
        <v>3</v>
      </c>
      <c r="AF52" s="4">
        <v>3</v>
      </c>
      <c r="AG52" s="4">
        <v>3</v>
      </c>
      <c r="AH52" s="4">
        <v>2</v>
      </c>
      <c r="AI52" s="4">
        <v>2</v>
      </c>
      <c r="AJ52" s="4">
        <v>2</v>
      </c>
      <c r="AK52" s="4">
        <v>2</v>
      </c>
      <c r="AL52" s="4" t="s">
        <v>194</v>
      </c>
      <c r="AM52" s="4" t="s">
        <v>108</v>
      </c>
    </row>
    <row r="53" spans="1:39" ht="30.6" x14ac:dyDescent="0.3">
      <c r="A53" s="3">
        <f t="shared" si="1"/>
        <v>52</v>
      </c>
      <c r="B53" s="4" t="s">
        <v>109</v>
      </c>
      <c r="C53" s="4" t="s">
        <v>94</v>
      </c>
      <c r="D53" s="4" t="s">
        <v>111</v>
      </c>
      <c r="E53" s="4" t="s">
        <v>195</v>
      </c>
      <c r="F53" s="4" t="s">
        <v>97</v>
      </c>
      <c r="G53" s="15" t="s">
        <v>64</v>
      </c>
      <c r="H53" s="4" t="s">
        <v>97</v>
      </c>
      <c r="I53" s="4" t="s">
        <v>99</v>
      </c>
      <c r="J53" s="4" t="s">
        <v>100</v>
      </c>
      <c r="K53" s="4" t="s">
        <v>191</v>
      </c>
      <c r="L53" s="4" t="s">
        <v>102</v>
      </c>
      <c r="M53" s="4" t="s">
        <v>192</v>
      </c>
      <c r="N53" s="7" t="s">
        <v>136</v>
      </c>
      <c r="O53" s="4" t="s">
        <v>146</v>
      </c>
      <c r="P53" s="4" t="s">
        <v>125</v>
      </c>
      <c r="Q53" s="4" t="s">
        <v>105</v>
      </c>
      <c r="R53" s="4" t="s">
        <v>137</v>
      </c>
      <c r="S53" s="4">
        <v>5</v>
      </c>
      <c r="T53" s="4">
        <v>4</v>
      </c>
      <c r="U53" s="4">
        <v>4</v>
      </c>
      <c r="V53" s="4">
        <v>4</v>
      </c>
      <c r="W53" s="4">
        <v>4</v>
      </c>
      <c r="X53" s="4">
        <v>4</v>
      </c>
      <c r="Y53" s="4">
        <v>5</v>
      </c>
      <c r="Z53" s="4">
        <v>5</v>
      </c>
      <c r="AA53" s="4">
        <v>5</v>
      </c>
      <c r="AB53" s="4">
        <v>4</v>
      </c>
      <c r="AC53" s="4">
        <v>4</v>
      </c>
      <c r="AD53" s="4">
        <v>4</v>
      </c>
      <c r="AE53" s="4">
        <v>3</v>
      </c>
      <c r="AF53" s="4">
        <v>3</v>
      </c>
      <c r="AG53" s="4">
        <v>3</v>
      </c>
      <c r="AH53" s="4">
        <v>2</v>
      </c>
      <c r="AI53" s="4">
        <v>3</v>
      </c>
      <c r="AJ53" s="4">
        <v>2</v>
      </c>
      <c r="AK53" s="4">
        <v>2</v>
      </c>
      <c r="AL53" s="4" t="s">
        <v>194</v>
      </c>
      <c r="AM53" s="4" t="s">
        <v>108</v>
      </c>
    </row>
    <row r="54" spans="1:39" ht="66" x14ac:dyDescent="0.3">
      <c r="A54" s="3">
        <f t="shared" si="1"/>
        <v>53</v>
      </c>
      <c r="B54" s="4" t="s">
        <v>121</v>
      </c>
      <c r="C54" s="4" t="s">
        <v>133</v>
      </c>
      <c r="D54" s="4" t="s">
        <v>111</v>
      </c>
      <c r="E54" s="4" t="s">
        <v>160</v>
      </c>
      <c r="F54" s="4" t="s">
        <v>97</v>
      </c>
      <c r="G54" s="15" t="s">
        <v>65</v>
      </c>
      <c r="H54" s="4" t="s">
        <v>97</v>
      </c>
      <c r="I54" s="4" t="s">
        <v>99</v>
      </c>
      <c r="J54" s="4" t="s">
        <v>100</v>
      </c>
      <c r="K54" s="4" t="s">
        <v>177</v>
      </c>
      <c r="L54" s="4" t="s">
        <v>102</v>
      </c>
      <c r="M54" s="4" t="s">
        <v>168</v>
      </c>
      <c r="N54" s="7" t="s">
        <v>136</v>
      </c>
      <c r="O54" s="4" t="s">
        <v>146</v>
      </c>
      <c r="P54" s="4" t="s">
        <v>166</v>
      </c>
      <c r="Q54" s="4" t="s">
        <v>102</v>
      </c>
      <c r="R54" s="6"/>
      <c r="S54" s="4">
        <v>4</v>
      </c>
      <c r="T54" s="4">
        <v>4</v>
      </c>
      <c r="U54" s="4">
        <v>4</v>
      </c>
      <c r="V54" s="4">
        <v>4</v>
      </c>
      <c r="W54" s="4">
        <v>4</v>
      </c>
      <c r="X54" s="4">
        <v>5</v>
      </c>
      <c r="Y54" s="4">
        <v>5</v>
      </c>
      <c r="Z54" s="4">
        <v>5</v>
      </c>
      <c r="AA54" s="4">
        <v>5</v>
      </c>
      <c r="AB54" s="4">
        <v>3</v>
      </c>
      <c r="AC54" s="4">
        <v>3</v>
      </c>
      <c r="AD54" s="4">
        <v>3</v>
      </c>
      <c r="AE54" s="4">
        <v>4</v>
      </c>
      <c r="AF54" s="4">
        <v>4</v>
      </c>
      <c r="AG54" s="4">
        <v>4</v>
      </c>
      <c r="AH54" s="4">
        <v>2</v>
      </c>
      <c r="AI54" s="4">
        <v>3</v>
      </c>
      <c r="AJ54" s="4">
        <v>2</v>
      </c>
      <c r="AK54" s="4">
        <v>2</v>
      </c>
      <c r="AL54" s="4" t="s">
        <v>197</v>
      </c>
      <c r="AM54" s="4" t="s">
        <v>196</v>
      </c>
    </row>
    <row r="55" spans="1:39" ht="66" x14ac:dyDescent="0.3">
      <c r="A55" s="3">
        <f>A54+1</f>
        <v>54</v>
      </c>
      <c r="B55" s="4" t="s">
        <v>169</v>
      </c>
      <c r="C55" s="4" t="s">
        <v>94</v>
      </c>
      <c r="D55" s="4" t="s">
        <v>111</v>
      </c>
      <c r="E55" s="4" t="s">
        <v>160</v>
      </c>
      <c r="F55" s="4" t="s">
        <v>97</v>
      </c>
      <c r="G55" s="15" t="s">
        <v>65</v>
      </c>
      <c r="H55" s="4" t="s">
        <v>97</v>
      </c>
      <c r="I55" s="4" t="s">
        <v>99</v>
      </c>
      <c r="J55" s="4" t="s">
        <v>100</v>
      </c>
      <c r="K55" s="4" t="s">
        <v>177</v>
      </c>
      <c r="L55" s="4" t="s">
        <v>102</v>
      </c>
      <c r="M55" s="4" t="s">
        <v>168</v>
      </c>
      <c r="N55" s="7" t="s">
        <v>136</v>
      </c>
      <c r="O55" s="4" t="s">
        <v>146</v>
      </c>
      <c r="P55" s="4" t="s">
        <v>166</v>
      </c>
      <c r="Q55" s="4" t="s">
        <v>102</v>
      </c>
      <c r="R55" s="6"/>
      <c r="S55" s="4">
        <v>5</v>
      </c>
      <c r="T55" s="4">
        <v>4</v>
      </c>
      <c r="U55" s="4">
        <v>4</v>
      </c>
      <c r="V55" s="4">
        <v>4</v>
      </c>
      <c r="W55" s="4">
        <v>4</v>
      </c>
      <c r="X55" s="4">
        <v>4</v>
      </c>
      <c r="Y55" s="4">
        <v>4</v>
      </c>
      <c r="Z55" s="4">
        <v>5</v>
      </c>
      <c r="AA55" s="4">
        <v>4</v>
      </c>
      <c r="AB55" s="4">
        <v>4</v>
      </c>
      <c r="AC55" s="4">
        <v>3</v>
      </c>
      <c r="AD55" s="4">
        <v>3</v>
      </c>
      <c r="AE55" s="4">
        <v>4</v>
      </c>
      <c r="AF55" s="4">
        <v>3</v>
      </c>
      <c r="AG55" s="4">
        <v>4</v>
      </c>
      <c r="AH55" s="4">
        <v>1</v>
      </c>
      <c r="AI55" s="4">
        <v>4</v>
      </c>
      <c r="AJ55" s="4">
        <v>2</v>
      </c>
      <c r="AK55" s="4">
        <v>1</v>
      </c>
      <c r="AL55" s="4" t="s">
        <v>197</v>
      </c>
      <c r="AM55" s="4" t="s">
        <v>196</v>
      </c>
    </row>
    <row r="56" spans="1:39" ht="40.799999999999997" x14ac:dyDescent="0.3">
      <c r="A56" s="3">
        <f t="shared" ref="A56:A108" si="2">A55+1</f>
        <v>55</v>
      </c>
      <c r="B56" s="4" t="s">
        <v>121</v>
      </c>
      <c r="C56" s="4" t="s">
        <v>94</v>
      </c>
      <c r="D56" s="4" t="s">
        <v>95</v>
      </c>
      <c r="E56" s="4" t="s">
        <v>148</v>
      </c>
      <c r="F56" s="4" t="s">
        <v>98</v>
      </c>
      <c r="G56" s="15" t="s">
        <v>66</v>
      </c>
      <c r="H56" s="4" t="s">
        <v>98</v>
      </c>
      <c r="I56" s="4" t="s">
        <v>114</v>
      </c>
      <c r="J56" s="4" t="s">
        <v>100</v>
      </c>
      <c r="K56" s="4" t="s">
        <v>177</v>
      </c>
      <c r="L56" s="4" t="s">
        <v>102</v>
      </c>
      <c r="M56" s="4" t="s">
        <v>245</v>
      </c>
      <c r="N56" s="7" t="s">
        <v>136</v>
      </c>
      <c r="O56" s="4" t="s">
        <v>105</v>
      </c>
      <c r="P56" s="4" t="s">
        <v>106</v>
      </c>
      <c r="Q56" s="4" t="s">
        <v>102</v>
      </c>
      <c r="R56" s="6"/>
      <c r="S56" s="4">
        <v>4</v>
      </c>
      <c r="T56" s="4">
        <v>3</v>
      </c>
      <c r="U56" s="4">
        <v>3</v>
      </c>
      <c r="V56" s="4">
        <v>4</v>
      </c>
      <c r="W56" s="4">
        <v>4</v>
      </c>
      <c r="X56" s="4">
        <v>5</v>
      </c>
      <c r="Y56" s="4">
        <v>4</v>
      </c>
      <c r="Z56" s="4">
        <v>5</v>
      </c>
      <c r="AA56" s="4">
        <v>4</v>
      </c>
      <c r="AB56" s="4">
        <v>3</v>
      </c>
      <c r="AC56" s="4">
        <v>3</v>
      </c>
      <c r="AD56" s="4">
        <v>3</v>
      </c>
      <c r="AE56" s="4">
        <v>4</v>
      </c>
      <c r="AF56" s="4">
        <v>3</v>
      </c>
      <c r="AG56" s="4">
        <v>4</v>
      </c>
      <c r="AH56" s="4">
        <v>2</v>
      </c>
      <c r="AI56" s="4">
        <v>4</v>
      </c>
      <c r="AJ56" s="4">
        <v>3</v>
      </c>
      <c r="AK56" s="4">
        <v>2</v>
      </c>
      <c r="AL56" s="4" t="s">
        <v>247</v>
      </c>
      <c r="AM56" s="4" t="s">
        <v>248</v>
      </c>
    </row>
    <row r="57" spans="1:39" ht="40.799999999999997" x14ac:dyDescent="0.3">
      <c r="A57" s="3">
        <f t="shared" si="2"/>
        <v>56</v>
      </c>
      <c r="B57" s="4" t="s">
        <v>109</v>
      </c>
      <c r="C57" s="4" t="s">
        <v>110</v>
      </c>
      <c r="D57" s="4" t="s">
        <v>111</v>
      </c>
      <c r="E57" s="4" t="s">
        <v>160</v>
      </c>
      <c r="F57" s="4" t="s">
        <v>98</v>
      </c>
      <c r="G57" s="15" t="s">
        <v>66</v>
      </c>
      <c r="H57" s="4" t="s">
        <v>98</v>
      </c>
      <c r="I57" s="4" t="s">
        <v>114</v>
      </c>
      <c r="J57" s="4" t="s">
        <v>100</v>
      </c>
      <c r="K57" s="4" t="s">
        <v>177</v>
      </c>
      <c r="L57" s="4" t="s">
        <v>102</v>
      </c>
      <c r="M57" s="4" t="s">
        <v>245</v>
      </c>
      <c r="N57" s="7" t="s">
        <v>136</v>
      </c>
      <c r="O57" s="4" t="s">
        <v>105</v>
      </c>
      <c r="P57" s="4" t="s">
        <v>106</v>
      </c>
      <c r="Q57" s="4" t="s">
        <v>102</v>
      </c>
      <c r="R57" s="6"/>
      <c r="S57" s="4">
        <v>4</v>
      </c>
      <c r="T57" s="4">
        <v>4</v>
      </c>
      <c r="U57" s="4">
        <v>4</v>
      </c>
      <c r="V57" s="4">
        <v>4</v>
      </c>
      <c r="W57" s="4">
        <v>5</v>
      </c>
      <c r="X57" s="4">
        <v>4</v>
      </c>
      <c r="Y57" s="4">
        <v>4</v>
      </c>
      <c r="Z57" s="4">
        <v>5</v>
      </c>
      <c r="AA57" s="4">
        <v>5</v>
      </c>
      <c r="AB57" s="4">
        <v>3</v>
      </c>
      <c r="AC57" s="4">
        <v>3</v>
      </c>
      <c r="AD57" s="4">
        <v>3</v>
      </c>
      <c r="AE57" s="4">
        <v>4</v>
      </c>
      <c r="AF57" s="4">
        <v>4</v>
      </c>
      <c r="AG57" s="4">
        <v>4</v>
      </c>
      <c r="AH57" s="4">
        <v>1</v>
      </c>
      <c r="AI57" s="4">
        <v>3</v>
      </c>
      <c r="AJ57" s="4">
        <v>2</v>
      </c>
      <c r="AK57" s="4">
        <v>1</v>
      </c>
      <c r="AL57" s="4" t="s">
        <v>247</v>
      </c>
      <c r="AM57" s="4" t="s">
        <v>242</v>
      </c>
    </row>
    <row r="58" spans="1:39" ht="30.6" x14ac:dyDescent="0.3">
      <c r="A58" s="3">
        <f t="shared" si="2"/>
        <v>57</v>
      </c>
      <c r="B58" s="4" t="s">
        <v>121</v>
      </c>
      <c r="C58" s="4" t="s">
        <v>133</v>
      </c>
      <c r="D58" s="4" t="s">
        <v>111</v>
      </c>
      <c r="E58" s="4" t="s">
        <v>212</v>
      </c>
      <c r="F58" s="4" t="s">
        <v>98</v>
      </c>
      <c r="G58" s="15" t="s">
        <v>67</v>
      </c>
      <c r="H58" s="4" t="s">
        <v>98</v>
      </c>
      <c r="I58" s="4" t="s">
        <v>114</v>
      </c>
      <c r="J58" s="4" t="s">
        <v>100</v>
      </c>
      <c r="K58" s="4" t="s">
        <v>177</v>
      </c>
      <c r="L58" s="4" t="s">
        <v>102</v>
      </c>
      <c r="M58" s="4" t="s">
        <v>168</v>
      </c>
      <c r="N58" s="7" t="s">
        <v>136</v>
      </c>
      <c r="O58" s="4" t="s">
        <v>105</v>
      </c>
      <c r="P58" s="4" t="s">
        <v>125</v>
      </c>
      <c r="Q58" s="4" t="s">
        <v>102</v>
      </c>
      <c r="R58" s="6"/>
      <c r="S58" s="4">
        <v>5</v>
      </c>
      <c r="T58" s="4">
        <v>4</v>
      </c>
      <c r="U58" s="4">
        <v>5</v>
      </c>
      <c r="V58" s="4">
        <v>4</v>
      </c>
      <c r="W58" s="4">
        <v>3</v>
      </c>
      <c r="X58" s="4">
        <v>5</v>
      </c>
      <c r="Y58" s="4">
        <v>4</v>
      </c>
      <c r="Z58" s="4">
        <v>5</v>
      </c>
      <c r="AA58" s="4">
        <v>4</v>
      </c>
      <c r="AB58" s="4">
        <v>3</v>
      </c>
      <c r="AC58" s="4">
        <v>3</v>
      </c>
      <c r="AD58" s="4">
        <v>3</v>
      </c>
      <c r="AE58" s="4">
        <v>3</v>
      </c>
      <c r="AF58" s="4">
        <v>3</v>
      </c>
      <c r="AG58" s="4">
        <v>4</v>
      </c>
      <c r="AH58" s="4">
        <v>1</v>
      </c>
      <c r="AI58" s="4">
        <v>3</v>
      </c>
      <c r="AJ58" s="4">
        <v>2</v>
      </c>
      <c r="AK58" s="4">
        <v>1</v>
      </c>
      <c r="AL58" s="4" t="s">
        <v>247</v>
      </c>
      <c r="AM58" s="4" t="s">
        <v>108</v>
      </c>
    </row>
    <row r="59" spans="1:39" ht="30.6" x14ac:dyDescent="0.3">
      <c r="A59" s="3">
        <f t="shared" si="2"/>
        <v>58</v>
      </c>
      <c r="B59" s="4" t="s">
        <v>93</v>
      </c>
      <c r="C59" s="4" t="s">
        <v>133</v>
      </c>
      <c r="D59" s="4" t="s">
        <v>111</v>
      </c>
      <c r="E59" s="4" t="s">
        <v>212</v>
      </c>
      <c r="F59" s="4" t="s">
        <v>98</v>
      </c>
      <c r="G59" s="15" t="s">
        <v>67</v>
      </c>
      <c r="H59" s="4" t="s">
        <v>98</v>
      </c>
      <c r="I59" s="4" t="s">
        <v>114</v>
      </c>
      <c r="J59" s="4" t="s">
        <v>100</v>
      </c>
      <c r="K59" s="4" t="s">
        <v>177</v>
      </c>
      <c r="L59" s="4" t="s">
        <v>102</v>
      </c>
      <c r="M59" s="4" t="s">
        <v>168</v>
      </c>
      <c r="N59" s="7" t="s">
        <v>136</v>
      </c>
      <c r="O59" s="4" t="s">
        <v>105</v>
      </c>
      <c r="P59" s="4" t="s">
        <v>125</v>
      </c>
      <c r="Q59" s="4" t="s">
        <v>102</v>
      </c>
      <c r="R59" s="6"/>
      <c r="S59" s="4">
        <v>5</v>
      </c>
      <c r="T59" s="4">
        <v>5</v>
      </c>
      <c r="U59" s="4">
        <v>5</v>
      </c>
      <c r="V59" s="4">
        <v>4</v>
      </c>
      <c r="W59" s="4">
        <v>4</v>
      </c>
      <c r="X59" s="4">
        <v>4</v>
      </c>
      <c r="Y59" s="4">
        <v>5</v>
      </c>
      <c r="Z59" s="4">
        <v>5</v>
      </c>
      <c r="AA59" s="4">
        <v>5</v>
      </c>
      <c r="AB59" s="4">
        <v>3</v>
      </c>
      <c r="AC59" s="4">
        <v>3</v>
      </c>
      <c r="AD59" s="4">
        <v>3</v>
      </c>
      <c r="AE59" s="4">
        <v>4</v>
      </c>
      <c r="AF59" s="4">
        <v>3</v>
      </c>
      <c r="AG59" s="4">
        <v>4</v>
      </c>
      <c r="AH59" s="4">
        <v>2</v>
      </c>
      <c r="AI59" s="4">
        <v>4</v>
      </c>
      <c r="AJ59" s="4">
        <v>2</v>
      </c>
      <c r="AK59" s="4">
        <v>2</v>
      </c>
      <c r="AL59" s="4" t="s">
        <v>199</v>
      </c>
      <c r="AM59" s="4" t="s">
        <v>249</v>
      </c>
    </row>
    <row r="60" spans="1:39" ht="40.799999999999997" x14ac:dyDescent="0.3">
      <c r="A60" s="3">
        <f t="shared" si="2"/>
        <v>59</v>
      </c>
      <c r="B60" s="4" t="s">
        <v>121</v>
      </c>
      <c r="C60" s="4" t="s">
        <v>110</v>
      </c>
      <c r="D60" s="4" t="s">
        <v>95</v>
      </c>
      <c r="E60" s="4" t="s">
        <v>134</v>
      </c>
      <c r="F60" s="4" t="s">
        <v>98</v>
      </c>
      <c r="G60" s="14" t="s">
        <v>68</v>
      </c>
      <c r="H60" s="4" t="s">
        <v>98</v>
      </c>
      <c r="I60" s="4" t="s">
        <v>114</v>
      </c>
      <c r="J60" s="4" t="s">
        <v>100</v>
      </c>
      <c r="K60" s="4" t="s">
        <v>177</v>
      </c>
      <c r="L60" s="4" t="s">
        <v>102</v>
      </c>
      <c r="M60" s="4" t="s">
        <v>250</v>
      </c>
      <c r="N60" s="7" t="s">
        <v>136</v>
      </c>
      <c r="O60" s="4" t="s">
        <v>105</v>
      </c>
      <c r="P60" s="4" t="s">
        <v>106</v>
      </c>
      <c r="Q60" s="4" t="s">
        <v>102</v>
      </c>
      <c r="R60" s="6"/>
      <c r="S60" s="4">
        <v>3</v>
      </c>
      <c r="T60" s="4">
        <v>4</v>
      </c>
      <c r="U60" s="4">
        <v>3</v>
      </c>
      <c r="V60" s="4">
        <v>3</v>
      </c>
      <c r="W60" s="4">
        <v>3</v>
      </c>
      <c r="X60" s="4">
        <v>4</v>
      </c>
      <c r="Y60" s="4">
        <v>3</v>
      </c>
      <c r="Z60" s="4">
        <v>4</v>
      </c>
      <c r="AA60" s="4">
        <v>3</v>
      </c>
      <c r="AB60" s="4">
        <v>2</v>
      </c>
      <c r="AC60" s="4">
        <v>3</v>
      </c>
      <c r="AD60" s="4">
        <v>3</v>
      </c>
      <c r="AE60" s="4">
        <v>3</v>
      </c>
      <c r="AF60" s="4">
        <v>3</v>
      </c>
      <c r="AG60" s="4">
        <v>4</v>
      </c>
      <c r="AH60" s="4">
        <v>3</v>
      </c>
      <c r="AI60" s="4">
        <v>4</v>
      </c>
      <c r="AJ60" s="4">
        <v>3</v>
      </c>
      <c r="AK60" s="4">
        <v>3</v>
      </c>
      <c r="AL60" s="4" t="s">
        <v>246</v>
      </c>
      <c r="AM60" s="4" t="s">
        <v>251</v>
      </c>
    </row>
    <row r="61" spans="1:39" ht="30.6" x14ac:dyDescent="0.3">
      <c r="A61" s="3">
        <f t="shared" si="2"/>
        <v>60</v>
      </c>
      <c r="B61" s="4" t="s">
        <v>129</v>
      </c>
      <c r="C61" s="4" t="s">
        <v>110</v>
      </c>
      <c r="D61" s="4" t="s">
        <v>111</v>
      </c>
      <c r="E61" s="4" t="s">
        <v>160</v>
      </c>
      <c r="F61" s="4" t="s">
        <v>98</v>
      </c>
      <c r="G61" s="14" t="s">
        <v>68</v>
      </c>
      <c r="H61" s="4" t="s">
        <v>98</v>
      </c>
      <c r="I61" s="4" t="s">
        <v>114</v>
      </c>
      <c r="J61" s="4" t="s">
        <v>100</v>
      </c>
      <c r="K61" s="4" t="s">
        <v>177</v>
      </c>
      <c r="L61" s="4" t="s">
        <v>102</v>
      </c>
      <c r="M61" s="4" t="s">
        <v>250</v>
      </c>
      <c r="N61" s="7" t="s">
        <v>136</v>
      </c>
      <c r="O61" s="4" t="s">
        <v>105</v>
      </c>
      <c r="P61" s="4" t="s">
        <v>106</v>
      </c>
      <c r="Q61" s="4" t="s">
        <v>102</v>
      </c>
      <c r="R61" s="6"/>
      <c r="S61" s="4">
        <v>4</v>
      </c>
      <c r="T61" s="4">
        <v>3</v>
      </c>
      <c r="U61" s="4">
        <v>3</v>
      </c>
      <c r="V61" s="4">
        <v>3</v>
      </c>
      <c r="W61" s="4">
        <v>4</v>
      </c>
      <c r="X61" s="4">
        <v>4</v>
      </c>
      <c r="Y61" s="4">
        <v>4</v>
      </c>
      <c r="Z61" s="4">
        <v>5</v>
      </c>
      <c r="AA61" s="4">
        <v>4</v>
      </c>
      <c r="AB61" s="4">
        <v>3</v>
      </c>
      <c r="AC61" s="4">
        <v>4</v>
      </c>
      <c r="AD61" s="4">
        <v>3</v>
      </c>
      <c r="AE61" s="4">
        <v>4</v>
      </c>
      <c r="AF61" s="4">
        <v>3</v>
      </c>
      <c r="AG61" s="4">
        <v>4</v>
      </c>
      <c r="AH61" s="4">
        <v>3</v>
      </c>
      <c r="AI61" s="4">
        <v>4</v>
      </c>
      <c r="AJ61" s="4">
        <v>3</v>
      </c>
      <c r="AK61" s="4">
        <v>3</v>
      </c>
      <c r="AL61" s="4" t="s">
        <v>246</v>
      </c>
      <c r="AM61" s="4" t="s">
        <v>252</v>
      </c>
    </row>
    <row r="62" spans="1:39" ht="39.6" x14ac:dyDescent="0.3">
      <c r="A62" s="3">
        <f t="shared" si="2"/>
        <v>61</v>
      </c>
      <c r="B62" s="4" t="s">
        <v>121</v>
      </c>
      <c r="C62" s="4" t="s">
        <v>133</v>
      </c>
      <c r="D62" s="4" t="s">
        <v>95</v>
      </c>
      <c r="E62" s="4" t="s">
        <v>143</v>
      </c>
      <c r="F62" s="4" t="s">
        <v>98</v>
      </c>
      <c r="G62" s="14" t="s">
        <v>69</v>
      </c>
      <c r="H62" s="4" t="s">
        <v>98</v>
      </c>
      <c r="I62" s="4" t="s">
        <v>99</v>
      </c>
      <c r="J62" s="4" t="s">
        <v>100</v>
      </c>
      <c r="K62" s="4" t="s">
        <v>177</v>
      </c>
      <c r="L62" s="4" t="s">
        <v>102</v>
      </c>
      <c r="M62" s="4" t="s">
        <v>168</v>
      </c>
      <c r="N62" s="7" t="s">
        <v>136</v>
      </c>
      <c r="O62" s="4" t="s">
        <v>105</v>
      </c>
      <c r="P62" s="4" t="s">
        <v>106</v>
      </c>
      <c r="Q62" s="4" t="s">
        <v>102</v>
      </c>
      <c r="R62" s="6"/>
      <c r="S62" s="4">
        <v>4</v>
      </c>
      <c r="T62" s="4">
        <v>5</v>
      </c>
      <c r="U62" s="4">
        <v>4</v>
      </c>
      <c r="V62" s="4">
        <v>4</v>
      </c>
      <c r="W62" s="4">
        <v>4</v>
      </c>
      <c r="X62" s="4">
        <v>5</v>
      </c>
      <c r="Y62" s="4">
        <v>4</v>
      </c>
      <c r="Z62" s="4">
        <v>5</v>
      </c>
      <c r="AA62" s="4">
        <v>4</v>
      </c>
      <c r="AB62" s="4">
        <v>3</v>
      </c>
      <c r="AC62" s="4">
        <v>4</v>
      </c>
      <c r="AD62" s="4">
        <v>3</v>
      </c>
      <c r="AE62" s="4">
        <v>5</v>
      </c>
      <c r="AF62" s="4">
        <v>4</v>
      </c>
      <c r="AG62" s="4">
        <v>5</v>
      </c>
      <c r="AH62" s="4">
        <v>2</v>
      </c>
      <c r="AI62" s="4">
        <v>3</v>
      </c>
      <c r="AJ62" s="4">
        <v>2</v>
      </c>
      <c r="AK62" s="4">
        <v>2</v>
      </c>
      <c r="AL62" s="4" t="s">
        <v>159</v>
      </c>
      <c r="AM62" s="4" t="s">
        <v>203</v>
      </c>
    </row>
    <row r="63" spans="1:39" ht="39.6" x14ac:dyDescent="0.3">
      <c r="A63" s="3">
        <f t="shared" si="2"/>
        <v>62</v>
      </c>
      <c r="B63" s="4" t="s">
        <v>129</v>
      </c>
      <c r="C63" s="4" t="s">
        <v>94</v>
      </c>
      <c r="D63" s="4" t="s">
        <v>111</v>
      </c>
      <c r="E63" s="4" t="s">
        <v>160</v>
      </c>
      <c r="F63" s="4" t="s">
        <v>98</v>
      </c>
      <c r="G63" s="14" t="s">
        <v>69</v>
      </c>
      <c r="H63" s="4" t="s">
        <v>98</v>
      </c>
      <c r="I63" s="4" t="s">
        <v>99</v>
      </c>
      <c r="J63" s="4" t="s">
        <v>100</v>
      </c>
      <c r="K63" s="4" t="s">
        <v>177</v>
      </c>
      <c r="L63" s="4" t="s">
        <v>102</v>
      </c>
      <c r="M63" s="4" t="s">
        <v>168</v>
      </c>
      <c r="N63" s="7" t="s">
        <v>136</v>
      </c>
      <c r="O63" s="4" t="s">
        <v>105</v>
      </c>
      <c r="P63" s="4" t="s">
        <v>106</v>
      </c>
      <c r="Q63" s="4" t="s">
        <v>102</v>
      </c>
      <c r="R63" s="6"/>
      <c r="S63" s="4">
        <v>5</v>
      </c>
      <c r="T63" s="4">
        <v>4</v>
      </c>
      <c r="U63" s="4">
        <v>4</v>
      </c>
      <c r="V63" s="4">
        <v>4</v>
      </c>
      <c r="W63" s="4">
        <v>4</v>
      </c>
      <c r="X63" s="4">
        <v>4</v>
      </c>
      <c r="Y63" s="4">
        <v>4</v>
      </c>
      <c r="Z63" s="4">
        <v>5</v>
      </c>
      <c r="AA63" s="4">
        <v>5</v>
      </c>
      <c r="AB63" s="4">
        <v>4</v>
      </c>
      <c r="AC63" s="4">
        <v>3</v>
      </c>
      <c r="AD63" s="4">
        <v>3</v>
      </c>
      <c r="AE63" s="4">
        <v>5</v>
      </c>
      <c r="AF63" s="4">
        <v>4</v>
      </c>
      <c r="AG63" s="4">
        <v>5</v>
      </c>
      <c r="AH63" s="4">
        <v>2</v>
      </c>
      <c r="AI63" s="4">
        <v>4</v>
      </c>
      <c r="AJ63" s="4">
        <v>2</v>
      </c>
      <c r="AK63" s="4">
        <v>2</v>
      </c>
      <c r="AL63" s="4" t="s">
        <v>159</v>
      </c>
      <c r="AM63" s="4" t="s">
        <v>203</v>
      </c>
    </row>
    <row r="64" spans="1:39" ht="30.6" x14ac:dyDescent="0.3">
      <c r="A64" s="3">
        <f t="shared" si="2"/>
        <v>63</v>
      </c>
      <c r="B64" s="4" t="s">
        <v>121</v>
      </c>
      <c r="C64" s="4" t="s">
        <v>94</v>
      </c>
      <c r="D64" s="4" t="s">
        <v>111</v>
      </c>
      <c r="E64" s="4" t="s">
        <v>143</v>
      </c>
      <c r="F64" s="4" t="s">
        <v>98</v>
      </c>
      <c r="G64" s="15" t="s">
        <v>70</v>
      </c>
      <c r="H64" s="4" t="s">
        <v>98</v>
      </c>
      <c r="I64" s="4" t="s">
        <v>114</v>
      </c>
      <c r="J64" s="4" t="s">
        <v>123</v>
      </c>
      <c r="K64" s="4" t="s">
        <v>253</v>
      </c>
      <c r="L64" s="4" t="s">
        <v>102</v>
      </c>
      <c r="M64" s="4" t="s">
        <v>149</v>
      </c>
      <c r="N64" s="7" t="s">
        <v>118</v>
      </c>
      <c r="O64" s="4" t="s">
        <v>105</v>
      </c>
      <c r="P64" s="4" t="s">
        <v>106</v>
      </c>
      <c r="Q64" s="4" t="s">
        <v>102</v>
      </c>
      <c r="R64" s="6"/>
      <c r="S64" s="4">
        <v>4</v>
      </c>
      <c r="T64" s="4">
        <v>4</v>
      </c>
      <c r="U64" s="4">
        <v>4</v>
      </c>
      <c r="V64" s="4">
        <v>3</v>
      </c>
      <c r="W64" s="4">
        <v>3</v>
      </c>
      <c r="X64" s="4">
        <v>4</v>
      </c>
      <c r="Y64" s="4">
        <v>4</v>
      </c>
      <c r="Z64" s="4">
        <v>5</v>
      </c>
      <c r="AA64" s="4">
        <v>5</v>
      </c>
      <c r="AB64" s="4">
        <v>3</v>
      </c>
      <c r="AC64" s="4">
        <v>3</v>
      </c>
      <c r="AD64" s="4">
        <v>3</v>
      </c>
      <c r="AE64" s="4">
        <v>3</v>
      </c>
      <c r="AF64" s="4">
        <v>3</v>
      </c>
      <c r="AG64" s="4">
        <v>4</v>
      </c>
      <c r="AH64" s="4">
        <v>3</v>
      </c>
      <c r="AI64" s="4">
        <v>3</v>
      </c>
      <c r="AJ64" s="4">
        <v>2</v>
      </c>
      <c r="AK64" s="4">
        <v>2</v>
      </c>
      <c r="AL64" s="4" t="s">
        <v>159</v>
      </c>
      <c r="AM64" s="4" t="s">
        <v>248</v>
      </c>
    </row>
    <row r="65" spans="1:39" ht="30.6" x14ac:dyDescent="0.3">
      <c r="A65" s="3">
        <f t="shared" si="2"/>
        <v>64</v>
      </c>
      <c r="B65" s="4" t="s">
        <v>129</v>
      </c>
      <c r="C65" s="4" t="s">
        <v>94</v>
      </c>
      <c r="D65" s="4" t="s">
        <v>111</v>
      </c>
      <c r="E65" s="4" t="s">
        <v>160</v>
      </c>
      <c r="F65" s="4" t="s">
        <v>98</v>
      </c>
      <c r="G65" s="15" t="s">
        <v>70</v>
      </c>
      <c r="H65" s="4" t="s">
        <v>98</v>
      </c>
      <c r="I65" s="4" t="s">
        <v>114</v>
      </c>
      <c r="J65" s="4" t="s">
        <v>123</v>
      </c>
      <c r="K65" s="4" t="s">
        <v>253</v>
      </c>
      <c r="L65" s="4" t="s">
        <v>102</v>
      </c>
      <c r="M65" s="4" t="s">
        <v>149</v>
      </c>
      <c r="N65" s="7" t="s">
        <v>118</v>
      </c>
      <c r="O65" s="4" t="s">
        <v>105</v>
      </c>
      <c r="P65" s="4" t="s">
        <v>106</v>
      </c>
      <c r="Q65" s="4" t="s">
        <v>102</v>
      </c>
      <c r="R65" s="6"/>
      <c r="S65" s="4">
        <v>5</v>
      </c>
      <c r="T65" s="4">
        <v>4</v>
      </c>
      <c r="U65" s="4">
        <v>4</v>
      </c>
      <c r="V65" s="4">
        <v>4</v>
      </c>
      <c r="W65" s="4">
        <v>4</v>
      </c>
      <c r="X65" s="4">
        <v>5</v>
      </c>
      <c r="Y65" s="4">
        <v>5</v>
      </c>
      <c r="Z65" s="4">
        <v>5</v>
      </c>
      <c r="AA65" s="4">
        <v>5</v>
      </c>
      <c r="AB65" s="4">
        <v>4</v>
      </c>
      <c r="AC65" s="4">
        <v>3</v>
      </c>
      <c r="AD65" s="4">
        <v>4</v>
      </c>
      <c r="AE65" s="4">
        <v>5</v>
      </c>
      <c r="AF65" s="4">
        <v>4</v>
      </c>
      <c r="AG65" s="4">
        <v>5</v>
      </c>
      <c r="AH65" s="4">
        <v>3</v>
      </c>
      <c r="AI65" s="4">
        <v>3</v>
      </c>
      <c r="AJ65" s="4">
        <v>2</v>
      </c>
      <c r="AK65" s="4">
        <v>3</v>
      </c>
      <c r="AL65" s="4" t="s">
        <v>173</v>
      </c>
      <c r="AM65" s="4" t="s">
        <v>254</v>
      </c>
    </row>
    <row r="66" spans="1:39" ht="30.6" x14ac:dyDescent="0.3">
      <c r="A66" s="3">
        <f t="shared" si="2"/>
        <v>65</v>
      </c>
      <c r="B66" s="4" t="s">
        <v>109</v>
      </c>
      <c r="C66" s="4" t="s">
        <v>94</v>
      </c>
      <c r="D66" s="4" t="s">
        <v>111</v>
      </c>
      <c r="E66" s="4" t="s">
        <v>122</v>
      </c>
      <c r="F66" s="4" t="s">
        <v>98</v>
      </c>
      <c r="G66" s="15" t="s">
        <v>71</v>
      </c>
      <c r="H66" s="4" t="s">
        <v>97</v>
      </c>
      <c r="I66" s="4" t="s">
        <v>99</v>
      </c>
      <c r="J66" s="4" t="s">
        <v>123</v>
      </c>
      <c r="K66" s="4" t="s">
        <v>124</v>
      </c>
      <c r="L66" s="4" t="s">
        <v>102</v>
      </c>
      <c r="M66" s="4" t="s">
        <v>198</v>
      </c>
      <c r="N66" s="7" t="s">
        <v>136</v>
      </c>
      <c r="O66" s="4" t="s">
        <v>105</v>
      </c>
      <c r="P66" s="4" t="s">
        <v>166</v>
      </c>
      <c r="Q66" s="4" t="s">
        <v>102</v>
      </c>
      <c r="R66" s="6"/>
      <c r="S66" s="4">
        <v>3</v>
      </c>
      <c r="T66" s="4">
        <v>4</v>
      </c>
      <c r="U66" s="4">
        <v>3</v>
      </c>
      <c r="V66" s="4">
        <v>3</v>
      </c>
      <c r="W66" s="4">
        <v>4</v>
      </c>
      <c r="X66" s="4">
        <v>3</v>
      </c>
      <c r="Y66" s="4">
        <v>3</v>
      </c>
      <c r="Z66" s="4">
        <v>3</v>
      </c>
      <c r="AA66" s="4">
        <v>4</v>
      </c>
      <c r="AB66" s="4">
        <v>3</v>
      </c>
      <c r="AC66" s="4">
        <v>3</v>
      </c>
      <c r="AD66" s="4">
        <v>3</v>
      </c>
      <c r="AE66" s="4">
        <v>4</v>
      </c>
      <c r="AF66" s="4">
        <v>4</v>
      </c>
      <c r="AG66" s="4">
        <v>3</v>
      </c>
      <c r="AH66" s="4">
        <v>1</v>
      </c>
      <c r="AI66" s="4">
        <v>3</v>
      </c>
      <c r="AJ66" s="4">
        <v>2</v>
      </c>
      <c r="AK66" s="4">
        <v>1</v>
      </c>
      <c r="AL66" s="4" t="s">
        <v>199</v>
      </c>
      <c r="AM66" s="4" t="s">
        <v>108</v>
      </c>
    </row>
    <row r="67" spans="1:39" ht="30.6" x14ac:dyDescent="0.3">
      <c r="A67" s="3">
        <f t="shared" si="2"/>
        <v>66</v>
      </c>
      <c r="B67" s="4" t="s">
        <v>121</v>
      </c>
      <c r="C67" s="4" t="s">
        <v>133</v>
      </c>
      <c r="D67" s="4" t="s">
        <v>95</v>
      </c>
      <c r="E67" s="4" t="s">
        <v>143</v>
      </c>
      <c r="F67" s="4" t="s">
        <v>97</v>
      </c>
      <c r="G67" s="15" t="s">
        <v>71</v>
      </c>
      <c r="H67" s="4" t="s">
        <v>97</v>
      </c>
      <c r="I67" s="4" t="s">
        <v>99</v>
      </c>
      <c r="J67" s="4" t="s">
        <v>123</v>
      </c>
      <c r="K67" s="4" t="s">
        <v>124</v>
      </c>
      <c r="L67" s="4" t="s">
        <v>102</v>
      </c>
      <c r="M67" s="4" t="s">
        <v>198</v>
      </c>
      <c r="N67" s="7" t="s">
        <v>136</v>
      </c>
      <c r="O67" s="4" t="s">
        <v>105</v>
      </c>
      <c r="P67" s="4" t="s">
        <v>166</v>
      </c>
      <c r="Q67" s="4" t="s">
        <v>102</v>
      </c>
      <c r="R67" s="6"/>
      <c r="S67" s="4">
        <v>5</v>
      </c>
      <c r="T67" s="4">
        <v>4</v>
      </c>
      <c r="U67" s="4">
        <v>5</v>
      </c>
      <c r="V67" s="4">
        <v>3</v>
      </c>
      <c r="W67" s="4">
        <v>3</v>
      </c>
      <c r="X67" s="4">
        <v>3</v>
      </c>
      <c r="Y67" s="4">
        <v>5</v>
      </c>
      <c r="Z67" s="4">
        <v>3</v>
      </c>
      <c r="AA67" s="4">
        <v>3</v>
      </c>
      <c r="AB67" s="4">
        <v>3</v>
      </c>
      <c r="AC67" s="4">
        <v>3</v>
      </c>
      <c r="AD67" s="4">
        <v>3</v>
      </c>
      <c r="AE67" s="4">
        <v>3</v>
      </c>
      <c r="AF67" s="4">
        <v>3</v>
      </c>
      <c r="AG67" s="4">
        <v>3</v>
      </c>
      <c r="AH67" s="4">
        <v>2</v>
      </c>
      <c r="AI67" s="4">
        <v>3</v>
      </c>
      <c r="AJ67" s="4">
        <v>2</v>
      </c>
      <c r="AK67" s="4">
        <v>2</v>
      </c>
      <c r="AL67" s="4" t="s">
        <v>199</v>
      </c>
      <c r="AM67" s="4" t="s">
        <v>108</v>
      </c>
    </row>
    <row r="68" spans="1:39" ht="40.799999999999997" x14ac:dyDescent="0.3">
      <c r="A68" s="3">
        <f t="shared" si="2"/>
        <v>67</v>
      </c>
      <c r="B68" s="4" t="s">
        <v>129</v>
      </c>
      <c r="C68" s="4" t="s">
        <v>94</v>
      </c>
      <c r="D68" s="4" t="s">
        <v>111</v>
      </c>
      <c r="E68" s="4" t="s">
        <v>143</v>
      </c>
      <c r="F68" s="4" t="s">
        <v>97</v>
      </c>
      <c r="G68" s="15" t="s">
        <v>72</v>
      </c>
      <c r="H68" s="4" t="s">
        <v>213</v>
      </c>
      <c r="I68" s="4" t="s">
        <v>99</v>
      </c>
      <c r="J68" s="4" t="s">
        <v>100</v>
      </c>
      <c r="K68" s="4" t="s">
        <v>255</v>
      </c>
      <c r="L68" s="4" t="s">
        <v>102</v>
      </c>
      <c r="M68" s="4" t="s">
        <v>168</v>
      </c>
      <c r="N68" s="7" t="s">
        <v>118</v>
      </c>
      <c r="O68" s="4" t="s">
        <v>105</v>
      </c>
      <c r="P68" s="4" t="s">
        <v>106</v>
      </c>
      <c r="Q68" s="4" t="s">
        <v>102</v>
      </c>
      <c r="R68" s="6"/>
      <c r="S68" s="4">
        <v>4</v>
      </c>
      <c r="T68" s="4">
        <v>3</v>
      </c>
      <c r="U68" s="4">
        <v>4</v>
      </c>
      <c r="V68" s="4">
        <v>3</v>
      </c>
      <c r="W68" s="4">
        <v>3</v>
      </c>
      <c r="X68" s="4">
        <v>4</v>
      </c>
      <c r="Y68" s="4">
        <v>4</v>
      </c>
      <c r="Z68" s="4">
        <v>4</v>
      </c>
      <c r="AA68" s="4">
        <v>4</v>
      </c>
      <c r="AB68" s="4">
        <v>2</v>
      </c>
      <c r="AC68" s="4">
        <v>3</v>
      </c>
      <c r="AD68" s="4">
        <v>3</v>
      </c>
      <c r="AE68" s="4">
        <v>3</v>
      </c>
      <c r="AF68" s="4">
        <v>3</v>
      </c>
      <c r="AG68" s="4">
        <v>3</v>
      </c>
      <c r="AH68" s="4">
        <v>2</v>
      </c>
      <c r="AI68" s="4">
        <v>3</v>
      </c>
      <c r="AJ68" s="4">
        <v>2</v>
      </c>
      <c r="AK68" s="4">
        <v>2</v>
      </c>
      <c r="AL68" s="4" t="s">
        <v>256</v>
      </c>
      <c r="AM68" s="4" t="s">
        <v>257</v>
      </c>
    </row>
    <row r="69" spans="1:39" ht="30.6" x14ac:dyDescent="0.3">
      <c r="A69" s="3">
        <f t="shared" si="2"/>
        <v>68</v>
      </c>
      <c r="B69" s="4" t="s">
        <v>109</v>
      </c>
      <c r="C69" s="4" t="s">
        <v>94</v>
      </c>
      <c r="D69" s="4" t="s">
        <v>111</v>
      </c>
      <c r="E69" s="4" t="s">
        <v>143</v>
      </c>
      <c r="F69" s="4" t="s">
        <v>97</v>
      </c>
      <c r="G69" s="15" t="s">
        <v>72</v>
      </c>
      <c r="H69" s="4" t="s">
        <v>213</v>
      </c>
      <c r="I69" s="4" t="s">
        <v>99</v>
      </c>
      <c r="J69" s="4" t="s">
        <v>100</v>
      </c>
      <c r="K69" s="4" t="s">
        <v>255</v>
      </c>
      <c r="L69" s="4" t="s">
        <v>102</v>
      </c>
      <c r="M69" s="4" t="s">
        <v>168</v>
      </c>
      <c r="N69" s="7" t="s">
        <v>118</v>
      </c>
      <c r="O69" s="4" t="s">
        <v>105</v>
      </c>
      <c r="P69" s="4" t="s">
        <v>166</v>
      </c>
      <c r="Q69" s="4" t="s">
        <v>102</v>
      </c>
      <c r="R69" s="6"/>
      <c r="S69" s="4">
        <v>4</v>
      </c>
      <c r="T69" s="4">
        <v>4</v>
      </c>
      <c r="U69" s="4">
        <v>4</v>
      </c>
      <c r="V69" s="4">
        <v>4</v>
      </c>
      <c r="W69" s="4">
        <v>3</v>
      </c>
      <c r="X69" s="4">
        <v>4</v>
      </c>
      <c r="Y69" s="4">
        <v>3</v>
      </c>
      <c r="Z69" s="4">
        <v>4</v>
      </c>
      <c r="AA69" s="4">
        <v>4</v>
      </c>
      <c r="AB69" s="4">
        <v>3</v>
      </c>
      <c r="AC69" s="4">
        <v>4</v>
      </c>
      <c r="AD69" s="4">
        <v>3</v>
      </c>
      <c r="AE69" s="4">
        <v>3</v>
      </c>
      <c r="AF69" s="4">
        <v>4</v>
      </c>
      <c r="AG69" s="4">
        <v>3</v>
      </c>
      <c r="AH69" s="4">
        <v>2</v>
      </c>
      <c r="AI69" s="4">
        <v>3</v>
      </c>
      <c r="AJ69" s="4">
        <v>1</v>
      </c>
      <c r="AK69" s="4">
        <v>2</v>
      </c>
      <c r="AL69" s="4" t="s">
        <v>258</v>
      </c>
      <c r="AM69" s="4" t="s">
        <v>259</v>
      </c>
    </row>
    <row r="70" spans="1:39" ht="40.799999999999997" x14ac:dyDescent="0.3">
      <c r="A70" s="3">
        <f t="shared" si="2"/>
        <v>69</v>
      </c>
      <c r="B70" s="4" t="s">
        <v>129</v>
      </c>
      <c r="C70" s="4" t="s">
        <v>94</v>
      </c>
      <c r="D70" s="4" t="s">
        <v>111</v>
      </c>
      <c r="E70" s="4" t="s">
        <v>204</v>
      </c>
      <c r="F70" s="4" t="s">
        <v>97</v>
      </c>
      <c r="G70" s="15" t="s">
        <v>73</v>
      </c>
      <c r="H70" s="4" t="s">
        <v>97</v>
      </c>
      <c r="I70" s="4" t="s">
        <v>99</v>
      </c>
      <c r="J70" s="4" t="s">
        <v>123</v>
      </c>
      <c r="K70" s="4" t="s">
        <v>201</v>
      </c>
      <c r="L70" s="4" t="s">
        <v>102</v>
      </c>
      <c r="M70" s="4" t="s">
        <v>181</v>
      </c>
      <c r="N70" s="7" t="s">
        <v>136</v>
      </c>
      <c r="O70" s="4" t="s">
        <v>105</v>
      </c>
      <c r="P70" s="4" t="s">
        <v>106</v>
      </c>
      <c r="Q70" s="4" t="s">
        <v>102</v>
      </c>
      <c r="R70" s="6"/>
      <c r="S70" s="4">
        <v>4</v>
      </c>
      <c r="T70" s="4">
        <v>4</v>
      </c>
      <c r="U70" s="4">
        <v>3</v>
      </c>
      <c r="V70" s="4">
        <v>3</v>
      </c>
      <c r="W70" s="4">
        <v>4</v>
      </c>
      <c r="X70" s="4">
        <v>4</v>
      </c>
      <c r="Y70" s="4">
        <v>4</v>
      </c>
      <c r="Z70" s="4">
        <v>5</v>
      </c>
      <c r="AA70" s="4">
        <v>5</v>
      </c>
      <c r="AB70" s="4">
        <v>3</v>
      </c>
      <c r="AC70" s="4">
        <v>3</v>
      </c>
      <c r="AD70" s="4">
        <v>3</v>
      </c>
      <c r="AE70" s="4">
        <v>4</v>
      </c>
      <c r="AF70" s="4">
        <v>4</v>
      </c>
      <c r="AG70" s="4">
        <v>4</v>
      </c>
      <c r="AH70" s="4">
        <v>1</v>
      </c>
      <c r="AI70" s="4">
        <v>3</v>
      </c>
      <c r="AJ70" s="4">
        <v>1</v>
      </c>
      <c r="AK70" s="4">
        <v>1</v>
      </c>
      <c r="AL70" s="4" t="s">
        <v>199</v>
      </c>
      <c r="AM70" s="4" t="s">
        <v>205</v>
      </c>
    </row>
    <row r="71" spans="1:39" ht="30.6" x14ac:dyDescent="0.3">
      <c r="A71" s="3">
        <f t="shared" si="2"/>
        <v>70</v>
      </c>
      <c r="B71" s="4" t="s">
        <v>109</v>
      </c>
      <c r="C71" s="4" t="s">
        <v>94</v>
      </c>
      <c r="D71" s="4" t="s">
        <v>111</v>
      </c>
      <c r="E71" s="4" t="s">
        <v>143</v>
      </c>
      <c r="F71" s="4" t="s">
        <v>97</v>
      </c>
      <c r="G71" s="15" t="s">
        <v>73</v>
      </c>
      <c r="H71" s="4" t="s">
        <v>97</v>
      </c>
      <c r="I71" s="4" t="s">
        <v>99</v>
      </c>
      <c r="J71" s="4" t="s">
        <v>123</v>
      </c>
      <c r="K71" s="4" t="s">
        <v>201</v>
      </c>
      <c r="L71" s="4" t="s">
        <v>102</v>
      </c>
      <c r="M71" s="4" t="s">
        <v>181</v>
      </c>
      <c r="N71" s="7" t="s">
        <v>136</v>
      </c>
      <c r="O71" s="4" t="s">
        <v>105</v>
      </c>
      <c r="P71" s="4" t="s">
        <v>106</v>
      </c>
      <c r="Q71" s="4" t="s">
        <v>102</v>
      </c>
      <c r="R71" s="6"/>
      <c r="S71" s="4">
        <v>5</v>
      </c>
      <c r="T71" s="4">
        <v>4</v>
      </c>
      <c r="U71" s="4">
        <v>4</v>
      </c>
      <c r="V71" s="4">
        <v>4</v>
      </c>
      <c r="W71" s="4">
        <v>4</v>
      </c>
      <c r="X71" s="4">
        <v>5</v>
      </c>
      <c r="Y71" s="4">
        <v>5</v>
      </c>
      <c r="Z71" s="4">
        <v>5</v>
      </c>
      <c r="AA71" s="4">
        <v>5</v>
      </c>
      <c r="AB71" s="4">
        <v>3</v>
      </c>
      <c r="AC71" s="4">
        <v>3</v>
      </c>
      <c r="AD71" s="4">
        <v>3</v>
      </c>
      <c r="AE71" s="4">
        <v>4</v>
      </c>
      <c r="AF71" s="4">
        <v>4</v>
      </c>
      <c r="AG71" s="4">
        <v>4</v>
      </c>
      <c r="AH71" s="4">
        <v>1</v>
      </c>
      <c r="AI71" s="4">
        <v>2</v>
      </c>
      <c r="AJ71" s="4">
        <v>2</v>
      </c>
      <c r="AK71" s="4">
        <v>1</v>
      </c>
      <c r="AL71" s="4" t="s">
        <v>199</v>
      </c>
      <c r="AM71" s="4" t="s">
        <v>206</v>
      </c>
    </row>
    <row r="72" spans="1:39" ht="26.4" x14ac:dyDescent="0.3">
      <c r="A72" s="3">
        <f t="shared" si="2"/>
        <v>71</v>
      </c>
      <c r="B72" s="4" t="s">
        <v>109</v>
      </c>
      <c r="C72" s="4" t="s">
        <v>94</v>
      </c>
      <c r="D72" s="4" t="s">
        <v>111</v>
      </c>
      <c r="E72" s="4" t="s">
        <v>143</v>
      </c>
      <c r="F72" s="4" t="s">
        <v>98</v>
      </c>
      <c r="G72" s="15" t="s">
        <v>74</v>
      </c>
      <c r="H72" s="4" t="s">
        <v>98</v>
      </c>
      <c r="I72" s="4" t="s">
        <v>114</v>
      </c>
      <c r="J72" s="4" t="s">
        <v>100</v>
      </c>
      <c r="K72" s="4" t="s">
        <v>201</v>
      </c>
      <c r="L72" s="4" t="s">
        <v>102</v>
      </c>
      <c r="M72" s="4" t="s">
        <v>181</v>
      </c>
      <c r="N72" s="7" t="s">
        <v>136</v>
      </c>
      <c r="O72" s="4" t="s">
        <v>105</v>
      </c>
      <c r="P72" s="4" t="s">
        <v>106</v>
      </c>
      <c r="Q72" s="4" t="s">
        <v>102</v>
      </c>
      <c r="R72" s="6"/>
      <c r="S72" s="4">
        <v>4</v>
      </c>
      <c r="T72" s="4">
        <v>3</v>
      </c>
      <c r="U72" s="4">
        <v>3</v>
      </c>
      <c r="V72" s="4">
        <v>3</v>
      </c>
      <c r="W72" s="4">
        <v>3</v>
      </c>
      <c r="X72" s="4">
        <v>4</v>
      </c>
      <c r="Y72" s="4">
        <v>3</v>
      </c>
      <c r="Z72" s="4">
        <v>4</v>
      </c>
      <c r="AA72" s="4">
        <v>3</v>
      </c>
      <c r="AB72" s="4">
        <v>3</v>
      </c>
      <c r="AC72" s="4">
        <v>3</v>
      </c>
      <c r="AD72" s="4">
        <v>3</v>
      </c>
      <c r="AE72" s="4">
        <v>4</v>
      </c>
      <c r="AF72" s="4">
        <v>3</v>
      </c>
      <c r="AG72" s="4">
        <v>4</v>
      </c>
      <c r="AH72" s="4">
        <v>2</v>
      </c>
      <c r="AI72" s="4">
        <v>3</v>
      </c>
      <c r="AJ72" s="4">
        <v>1</v>
      </c>
      <c r="AK72" s="4">
        <v>1</v>
      </c>
      <c r="AL72" s="4" t="s">
        <v>246</v>
      </c>
      <c r="AM72" s="4" t="s">
        <v>260</v>
      </c>
    </row>
    <row r="73" spans="1:39" ht="26.4" x14ac:dyDescent="0.3">
      <c r="A73" s="3">
        <f>A72+1</f>
        <v>72</v>
      </c>
      <c r="B73" s="4" t="s">
        <v>121</v>
      </c>
      <c r="C73" s="4" t="s">
        <v>133</v>
      </c>
      <c r="D73" s="4" t="s">
        <v>111</v>
      </c>
      <c r="E73" s="4" t="s">
        <v>212</v>
      </c>
      <c r="F73" s="4" t="s">
        <v>98</v>
      </c>
      <c r="G73" s="15" t="s">
        <v>74</v>
      </c>
      <c r="H73" s="4" t="s">
        <v>98</v>
      </c>
      <c r="I73" s="4" t="s">
        <v>114</v>
      </c>
      <c r="J73" s="4" t="s">
        <v>100</v>
      </c>
      <c r="K73" s="4" t="s">
        <v>201</v>
      </c>
      <c r="L73" s="4" t="s">
        <v>102</v>
      </c>
      <c r="M73" s="4" t="s">
        <v>181</v>
      </c>
      <c r="N73" s="7" t="s">
        <v>136</v>
      </c>
      <c r="O73" s="4" t="s">
        <v>105</v>
      </c>
      <c r="P73" s="4" t="s">
        <v>106</v>
      </c>
      <c r="Q73" s="4" t="s">
        <v>102</v>
      </c>
      <c r="R73" s="6"/>
      <c r="S73" s="4">
        <v>4</v>
      </c>
      <c r="T73" s="4">
        <v>3</v>
      </c>
      <c r="U73" s="4">
        <v>4</v>
      </c>
      <c r="V73" s="4">
        <v>4</v>
      </c>
      <c r="W73" s="4">
        <v>3</v>
      </c>
      <c r="X73" s="4">
        <v>3</v>
      </c>
      <c r="Y73" s="4">
        <v>4</v>
      </c>
      <c r="Z73" s="4">
        <v>5</v>
      </c>
      <c r="AA73" s="4">
        <v>4</v>
      </c>
      <c r="AB73" s="4">
        <v>2</v>
      </c>
      <c r="AC73" s="4">
        <v>3</v>
      </c>
      <c r="AD73" s="4">
        <v>2</v>
      </c>
      <c r="AE73" s="4">
        <v>3</v>
      </c>
      <c r="AF73" s="4">
        <v>3</v>
      </c>
      <c r="AG73" s="4">
        <v>4</v>
      </c>
      <c r="AH73" s="4">
        <v>2</v>
      </c>
      <c r="AI73" s="4">
        <v>4</v>
      </c>
      <c r="AJ73" s="4">
        <v>2</v>
      </c>
      <c r="AK73" s="4">
        <v>2</v>
      </c>
      <c r="AL73" s="4" t="s">
        <v>246</v>
      </c>
      <c r="AM73" s="4" t="s">
        <v>261</v>
      </c>
    </row>
    <row r="74" spans="1:39" ht="26.4" x14ac:dyDescent="0.3">
      <c r="A74" s="3">
        <f t="shared" si="2"/>
        <v>73</v>
      </c>
      <c r="B74" s="4" t="s">
        <v>129</v>
      </c>
      <c r="C74" s="4" t="s">
        <v>94</v>
      </c>
      <c r="D74" s="4" t="s">
        <v>111</v>
      </c>
      <c r="E74" s="4" t="s">
        <v>122</v>
      </c>
      <c r="F74" s="4" t="s">
        <v>97</v>
      </c>
      <c r="G74" s="15" t="s">
        <v>75</v>
      </c>
      <c r="H74" s="4" t="s">
        <v>200</v>
      </c>
      <c r="I74" s="4" t="s">
        <v>99</v>
      </c>
      <c r="J74" s="4" t="s">
        <v>100</v>
      </c>
      <c r="K74" s="4" t="s">
        <v>201</v>
      </c>
      <c r="L74" s="4" t="s">
        <v>102</v>
      </c>
      <c r="M74" s="4" t="s">
        <v>181</v>
      </c>
      <c r="N74" s="7" t="s">
        <v>136</v>
      </c>
      <c r="O74" s="4" t="s">
        <v>105</v>
      </c>
      <c r="P74" s="4" t="s">
        <v>166</v>
      </c>
      <c r="Q74" s="4" t="s">
        <v>102</v>
      </c>
      <c r="R74" s="6"/>
      <c r="S74" s="4">
        <v>3</v>
      </c>
      <c r="T74" s="4">
        <v>4</v>
      </c>
      <c r="U74" s="4">
        <v>3</v>
      </c>
      <c r="V74" s="4">
        <v>3</v>
      </c>
      <c r="W74" s="4">
        <v>4</v>
      </c>
      <c r="X74" s="4">
        <v>4</v>
      </c>
      <c r="Y74" s="4">
        <v>5</v>
      </c>
      <c r="Z74" s="4">
        <v>5</v>
      </c>
      <c r="AA74" s="4">
        <v>4</v>
      </c>
      <c r="AB74" s="4">
        <v>3</v>
      </c>
      <c r="AC74" s="4">
        <v>4</v>
      </c>
      <c r="AD74" s="4">
        <v>4</v>
      </c>
      <c r="AE74" s="4">
        <v>3</v>
      </c>
      <c r="AF74" s="4">
        <v>3</v>
      </c>
      <c r="AG74" s="4">
        <v>3</v>
      </c>
      <c r="AH74" s="4">
        <v>1</v>
      </c>
      <c r="AI74" s="4">
        <v>3</v>
      </c>
      <c r="AJ74" s="4">
        <v>2</v>
      </c>
      <c r="AK74" s="4">
        <v>1</v>
      </c>
      <c r="AL74" s="4" t="s">
        <v>185</v>
      </c>
      <c r="AM74" s="4" t="s">
        <v>203</v>
      </c>
    </row>
    <row r="75" spans="1:39" ht="26.4" x14ac:dyDescent="0.3">
      <c r="A75" s="3">
        <f t="shared" si="2"/>
        <v>74</v>
      </c>
      <c r="B75" s="4" t="s">
        <v>121</v>
      </c>
      <c r="C75" s="4" t="s">
        <v>94</v>
      </c>
      <c r="D75" s="4" t="s">
        <v>111</v>
      </c>
      <c r="E75" s="4" t="s">
        <v>160</v>
      </c>
      <c r="F75" s="4" t="s">
        <v>97</v>
      </c>
      <c r="G75" s="15" t="s">
        <v>75</v>
      </c>
      <c r="H75" s="4" t="s">
        <v>200</v>
      </c>
      <c r="I75" s="4" t="s">
        <v>99</v>
      </c>
      <c r="J75" s="4" t="s">
        <v>100</v>
      </c>
      <c r="K75" s="4" t="s">
        <v>201</v>
      </c>
      <c r="L75" s="4" t="s">
        <v>102</v>
      </c>
      <c r="M75" s="4" t="s">
        <v>181</v>
      </c>
      <c r="N75" s="7" t="s">
        <v>136</v>
      </c>
      <c r="O75" s="4" t="s">
        <v>105</v>
      </c>
      <c r="P75" s="4" t="s">
        <v>166</v>
      </c>
      <c r="Q75" s="4" t="s">
        <v>102</v>
      </c>
      <c r="R75" s="6"/>
      <c r="S75" s="4">
        <v>3</v>
      </c>
      <c r="T75" s="4">
        <v>4</v>
      </c>
      <c r="U75" s="4">
        <v>4</v>
      </c>
      <c r="V75" s="4">
        <v>3</v>
      </c>
      <c r="W75" s="4">
        <v>3</v>
      </c>
      <c r="X75" s="4">
        <v>3</v>
      </c>
      <c r="Y75" s="4">
        <v>4</v>
      </c>
      <c r="Z75" s="4">
        <v>4</v>
      </c>
      <c r="AA75" s="4">
        <v>3</v>
      </c>
      <c r="AB75" s="4">
        <v>3</v>
      </c>
      <c r="AC75" s="4">
        <v>4</v>
      </c>
      <c r="AD75" s="4">
        <v>4</v>
      </c>
      <c r="AE75" s="4">
        <v>3</v>
      </c>
      <c r="AF75" s="4">
        <v>3</v>
      </c>
      <c r="AG75" s="4">
        <v>4</v>
      </c>
      <c r="AH75" s="4">
        <v>1</v>
      </c>
      <c r="AI75" s="4">
        <v>2</v>
      </c>
      <c r="AJ75" s="4">
        <v>2</v>
      </c>
      <c r="AK75" s="4">
        <v>1</v>
      </c>
      <c r="AL75" s="4" t="s">
        <v>185</v>
      </c>
      <c r="AM75" s="4" t="s">
        <v>202</v>
      </c>
    </row>
    <row r="76" spans="1:39" ht="40.799999999999997" x14ac:dyDescent="0.3">
      <c r="A76" s="3">
        <f t="shared" si="2"/>
        <v>75</v>
      </c>
      <c r="B76" s="4" t="s">
        <v>121</v>
      </c>
      <c r="C76" s="4" t="s">
        <v>133</v>
      </c>
      <c r="D76" s="4" t="s">
        <v>95</v>
      </c>
      <c r="E76" s="4" t="s">
        <v>143</v>
      </c>
      <c r="F76" s="4" t="s">
        <v>98</v>
      </c>
      <c r="G76" s="15" t="s">
        <v>76</v>
      </c>
      <c r="H76" s="4" t="s">
        <v>98</v>
      </c>
      <c r="I76" s="4" t="s">
        <v>114</v>
      </c>
      <c r="J76" s="4" t="s">
        <v>100</v>
      </c>
      <c r="K76" s="4" t="s">
        <v>201</v>
      </c>
      <c r="L76" s="4" t="s">
        <v>102</v>
      </c>
      <c r="M76" s="4" t="s">
        <v>181</v>
      </c>
      <c r="N76" s="7" t="s">
        <v>136</v>
      </c>
      <c r="O76" s="4" t="s">
        <v>105</v>
      </c>
      <c r="P76" s="4" t="s">
        <v>106</v>
      </c>
      <c r="Q76" s="4" t="s">
        <v>102</v>
      </c>
      <c r="R76" s="6"/>
      <c r="S76" s="4">
        <v>5</v>
      </c>
      <c r="T76" s="4">
        <v>4</v>
      </c>
      <c r="U76" s="4">
        <v>5</v>
      </c>
      <c r="V76" s="4">
        <v>3</v>
      </c>
      <c r="W76" s="4">
        <v>3</v>
      </c>
      <c r="X76" s="4">
        <v>3</v>
      </c>
      <c r="Y76" s="4">
        <v>5</v>
      </c>
      <c r="Z76" s="4">
        <v>3</v>
      </c>
      <c r="AA76" s="4">
        <v>3</v>
      </c>
      <c r="AB76" s="4">
        <v>3</v>
      </c>
      <c r="AC76" s="4">
        <v>3</v>
      </c>
      <c r="AD76" s="4">
        <v>3</v>
      </c>
      <c r="AE76" s="4">
        <v>3</v>
      </c>
      <c r="AF76" s="4">
        <v>3</v>
      </c>
      <c r="AG76" s="4">
        <v>3</v>
      </c>
      <c r="AH76" s="4">
        <v>2</v>
      </c>
      <c r="AI76" s="4">
        <v>3</v>
      </c>
      <c r="AJ76" s="4">
        <v>2</v>
      </c>
      <c r="AK76" s="4">
        <v>2</v>
      </c>
      <c r="AL76" s="4" t="s">
        <v>237</v>
      </c>
      <c r="AM76" s="4" t="s">
        <v>205</v>
      </c>
    </row>
    <row r="77" spans="1:39" ht="40.799999999999997" x14ac:dyDescent="0.3">
      <c r="A77" s="3">
        <f t="shared" si="2"/>
        <v>76</v>
      </c>
      <c r="B77" s="4" t="s">
        <v>109</v>
      </c>
      <c r="C77" s="4" t="s">
        <v>94</v>
      </c>
      <c r="D77" s="4" t="s">
        <v>111</v>
      </c>
      <c r="E77" s="4" t="s">
        <v>243</v>
      </c>
      <c r="F77" s="4" t="s">
        <v>98</v>
      </c>
      <c r="G77" s="15" t="s">
        <v>76</v>
      </c>
      <c r="H77" s="4" t="s">
        <v>98</v>
      </c>
      <c r="I77" s="4" t="s">
        <v>114</v>
      </c>
      <c r="J77" s="4" t="s">
        <v>100</v>
      </c>
      <c r="K77" s="4" t="s">
        <v>201</v>
      </c>
      <c r="L77" s="4" t="s">
        <v>102</v>
      </c>
      <c r="M77" s="4" t="s">
        <v>181</v>
      </c>
      <c r="N77" s="7" t="s">
        <v>136</v>
      </c>
      <c r="O77" s="4" t="s">
        <v>105</v>
      </c>
      <c r="P77" s="4" t="s">
        <v>166</v>
      </c>
      <c r="Q77" s="4" t="s">
        <v>102</v>
      </c>
      <c r="R77" s="6"/>
      <c r="S77" s="4">
        <v>5</v>
      </c>
      <c r="T77" s="4">
        <v>5</v>
      </c>
      <c r="U77" s="4">
        <v>5</v>
      </c>
      <c r="V77" s="4">
        <v>4</v>
      </c>
      <c r="W77" s="4">
        <v>3</v>
      </c>
      <c r="X77" s="4">
        <v>4</v>
      </c>
      <c r="Y77" s="4">
        <v>4</v>
      </c>
      <c r="Z77" s="4">
        <v>4</v>
      </c>
      <c r="AA77" s="4">
        <v>4</v>
      </c>
      <c r="AB77" s="4">
        <v>4</v>
      </c>
      <c r="AC77" s="4">
        <v>3</v>
      </c>
      <c r="AD77" s="4">
        <v>3</v>
      </c>
      <c r="AE77" s="4">
        <v>4</v>
      </c>
      <c r="AF77" s="4">
        <v>3</v>
      </c>
      <c r="AG77" s="4">
        <v>4</v>
      </c>
      <c r="AH77" s="4">
        <v>3</v>
      </c>
      <c r="AI77" s="4">
        <v>2</v>
      </c>
      <c r="AJ77" s="4">
        <v>2</v>
      </c>
      <c r="AK77" s="4">
        <v>2</v>
      </c>
      <c r="AL77" s="4" t="s">
        <v>237</v>
      </c>
      <c r="AM77" s="4" t="s">
        <v>205</v>
      </c>
    </row>
    <row r="78" spans="1:39" ht="40.799999999999997" x14ac:dyDescent="0.3">
      <c r="A78" s="3">
        <f t="shared" si="2"/>
        <v>77</v>
      </c>
      <c r="B78" s="4" t="s">
        <v>121</v>
      </c>
      <c r="C78" s="4" t="s">
        <v>133</v>
      </c>
      <c r="D78" s="4" t="s">
        <v>111</v>
      </c>
      <c r="E78" s="4" t="s">
        <v>148</v>
      </c>
      <c r="F78" s="4" t="s">
        <v>98</v>
      </c>
      <c r="G78" s="15" t="s">
        <v>77</v>
      </c>
      <c r="H78" s="4" t="s">
        <v>98</v>
      </c>
      <c r="I78" s="4" t="s">
        <v>114</v>
      </c>
      <c r="J78" s="4" t="s">
        <v>100</v>
      </c>
      <c r="K78" s="4" t="s">
        <v>201</v>
      </c>
      <c r="L78" s="4" t="s">
        <v>102</v>
      </c>
      <c r="M78" s="4" t="s">
        <v>181</v>
      </c>
      <c r="N78" s="7" t="s">
        <v>136</v>
      </c>
      <c r="O78" s="4" t="s">
        <v>105</v>
      </c>
      <c r="P78" s="4" t="s">
        <v>106</v>
      </c>
      <c r="Q78" s="4" t="s">
        <v>102</v>
      </c>
      <c r="R78" s="6"/>
      <c r="S78" s="4">
        <v>5</v>
      </c>
      <c r="T78" s="4">
        <v>5</v>
      </c>
      <c r="U78" s="4">
        <v>5</v>
      </c>
      <c r="V78" s="4">
        <v>4</v>
      </c>
      <c r="W78" s="4">
        <v>3</v>
      </c>
      <c r="X78" s="4">
        <v>4</v>
      </c>
      <c r="Y78" s="4">
        <v>4</v>
      </c>
      <c r="Z78" s="4">
        <v>4</v>
      </c>
      <c r="AA78" s="4">
        <v>4</v>
      </c>
      <c r="AB78" s="4">
        <v>4</v>
      </c>
      <c r="AC78" s="4">
        <v>3</v>
      </c>
      <c r="AD78" s="4">
        <v>3</v>
      </c>
      <c r="AE78" s="4">
        <v>4</v>
      </c>
      <c r="AF78" s="4">
        <v>3</v>
      </c>
      <c r="AG78" s="4">
        <v>4</v>
      </c>
      <c r="AH78" s="4">
        <v>3</v>
      </c>
      <c r="AI78" s="4">
        <v>2</v>
      </c>
      <c r="AJ78" s="4">
        <v>2</v>
      </c>
      <c r="AK78" s="4">
        <v>2</v>
      </c>
      <c r="AL78" s="4" t="s">
        <v>237</v>
      </c>
      <c r="AM78" s="4" t="s">
        <v>205</v>
      </c>
    </row>
    <row r="79" spans="1:39" ht="40.799999999999997" x14ac:dyDescent="0.3">
      <c r="A79" s="3">
        <f t="shared" si="2"/>
        <v>78</v>
      </c>
      <c r="B79" s="4" t="s">
        <v>112</v>
      </c>
      <c r="C79" s="4" t="s">
        <v>94</v>
      </c>
      <c r="D79" s="4" t="s">
        <v>111</v>
      </c>
      <c r="E79" s="4" t="s">
        <v>160</v>
      </c>
      <c r="F79" s="4" t="s">
        <v>98</v>
      </c>
      <c r="G79" s="15" t="s">
        <v>77</v>
      </c>
      <c r="H79" s="4" t="s">
        <v>98</v>
      </c>
      <c r="I79" s="4" t="s">
        <v>114</v>
      </c>
      <c r="J79" s="4" t="s">
        <v>100</v>
      </c>
      <c r="K79" s="4" t="s">
        <v>201</v>
      </c>
      <c r="L79" s="4" t="s">
        <v>102</v>
      </c>
      <c r="M79" s="4" t="s">
        <v>181</v>
      </c>
      <c r="N79" s="7" t="s">
        <v>136</v>
      </c>
      <c r="O79" s="4" t="s">
        <v>105</v>
      </c>
      <c r="P79" s="4" t="s">
        <v>125</v>
      </c>
      <c r="Q79" s="4" t="s">
        <v>102</v>
      </c>
      <c r="R79" s="6"/>
      <c r="S79" s="4">
        <v>4</v>
      </c>
      <c r="T79" s="4">
        <v>4</v>
      </c>
      <c r="U79" s="4">
        <v>4</v>
      </c>
      <c r="V79" s="4">
        <v>3</v>
      </c>
      <c r="W79" s="4">
        <v>3</v>
      </c>
      <c r="X79" s="4">
        <v>4</v>
      </c>
      <c r="Y79" s="4">
        <v>4</v>
      </c>
      <c r="Z79" s="4">
        <v>4</v>
      </c>
      <c r="AA79" s="4">
        <v>4</v>
      </c>
      <c r="AB79" s="4">
        <v>3</v>
      </c>
      <c r="AC79" s="4">
        <v>3</v>
      </c>
      <c r="AD79" s="4">
        <v>3</v>
      </c>
      <c r="AE79" s="4">
        <v>5</v>
      </c>
      <c r="AF79" s="4">
        <v>3</v>
      </c>
      <c r="AG79" s="4">
        <v>3</v>
      </c>
      <c r="AH79" s="4">
        <v>3</v>
      </c>
      <c r="AI79" s="4">
        <v>3</v>
      </c>
      <c r="AJ79" s="4">
        <v>3</v>
      </c>
      <c r="AK79" s="4">
        <v>3</v>
      </c>
      <c r="AL79" s="4" t="s">
        <v>237</v>
      </c>
      <c r="AM79" s="4" t="s">
        <v>205</v>
      </c>
    </row>
    <row r="80" spans="1:39" ht="40.799999999999997" x14ac:dyDescent="0.3">
      <c r="A80" s="3">
        <f t="shared" si="2"/>
        <v>79</v>
      </c>
      <c r="B80" s="4" t="s">
        <v>121</v>
      </c>
      <c r="C80" s="4" t="s">
        <v>133</v>
      </c>
      <c r="D80" s="4" t="s">
        <v>95</v>
      </c>
      <c r="E80" s="4" t="s">
        <v>212</v>
      </c>
      <c r="F80" s="4" t="s">
        <v>97</v>
      </c>
      <c r="G80" s="14" t="s">
        <v>78</v>
      </c>
      <c r="H80" s="4" t="s">
        <v>97</v>
      </c>
      <c r="I80" s="4" t="s">
        <v>99</v>
      </c>
      <c r="J80" s="4" t="s">
        <v>123</v>
      </c>
      <c r="K80" s="4" t="s">
        <v>267</v>
      </c>
      <c r="L80" s="4" t="s">
        <v>268</v>
      </c>
      <c r="M80" s="4" t="s">
        <v>269</v>
      </c>
      <c r="N80" s="7" t="s">
        <v>136</v>
      </c>
      <c r="O80" s="4" t="s">
        <v>105</v>
      </c>
      <c r="P80" s="4" t="s">
        <v>106</v>
      </c>
      <c r="Q80" s="4" t="s">
        <v>105</v>
      </c>
      <c r="R80" s="4" t="s">
        <v>137</v>
      </c>
      <c r="S80" s="4">
        <v>3</v>
      </c>
      <c r="T80" s="4">
        <v>3</v>
      </c>
      <c r="U80" s="4">
        <v>3</v>
      </c>
      <c r="V80" s="4">
        <v>3</v>
      </c>
      <c r="W80" s="4">
        <v>3</v>
      </c>
      <c r="X80" s="4">
        <v>3</v>
      </c>
      <c r="Y80" s="4">
        <v>4</v>
      </c>
      <c r="Z80" s="4">
        <v>4</v>
      </c>
      <c r="AA80" s="4">
        <v>4</v>
      </c>
      <c r="AB80" s="4">
        <v>3</v>
      </c>
      <c r="AC80" s="4">
        <v>3</v>
      </c>
      <c r="AD80" s="4">
        <v>3</v>
      </c>
      <c r="AE80" s="4">
        <v>5</v>
      </c>
      <c r="AF80" s="4">
        <v>3</v>
      </c>
      <c r="AG80" s="4">
        <v>3</v>
      </c>
      <c r="AH80" s="4">
        <v>3</v>
      </c>
      <c r="AI80" s="4">
        <v>4</v>
      </c>
      <c r="AJ80" s="4">
        <v>3</v>
      </c>
      <c r="AK80" s="4">
        <v>3</v>
      </c>
      <c r="AL80" s="4" t="s">
        <v>276</v>
      </c>
      <c r="AM80" s="4" t="s">
        <v>275</v>
      </c>
    </row>
    <row r="81" spans="1:39" ht="40.799999999999997" x14ac:dyDescent="0.3">
      <c r="A81" s="3">
        <f t="shared" si="2"/>
        <v>80</v>
      </c>
      <c r="B81" s="4" t="s">
        <v>112</v>
      </c>
      <c r="C81" s="4" t="s">
        <v>266</v>
      </c>
      <c r="D81" s="4" t="s">
        <v>95</v>
      </c>
      <c r="E81" s="4" t="s">
        <v>148</v>
      </c>
      <c r="F81" s="4" t="s">
        <v>97</v>
      </c>
      <c r="G81" s="14" t="s">
        <v>78</v>
      </c>
      <c r="H81" s="4" t="s">
        <v>97</v>
      </c>
      <c r="I81" s="4" t="s">
        <v>99</v>
      </c>
      <c r="J81" s="4" t="s">
        <v>123</v>
      </c>
      <c r="K81" s="4" t="s">
        <v>267</v>
      </c>
      <c r="L81" s="4" t="s">
        <v>268</v>
      </c>
      <c r="M81" s="4" t="s">
        <v>269</v>
      </c>
      <c r="N81" s="7" t="s">
        <v>136</v>
      </c>
      <c r="O81" s="4" t="s">
        <v>105</v>
      </c>
      <c r="P81" s="4" t="s">
        <v>106</v>
      </c>
      <c r="Q81" s="4" t="s">
        <v>105</v>
      </c>
      <c r="R81" s="4" t="s">
        <v>137</v>
      </c>
      <c r="S81" s="4">
        <v>3</v>
      </c>
      <c r="T81" s="4">
        <v>3</v>
      </c>
      <c r="U81" s="4">
        <v>3</v>
      </c>
      <c r="V81" s="4">
        <v>3</v>
      </c>
      <c r="W81" s="4">
        <v>3</v>
      </c>
      <c r="X81" s="4">
        <v>4</v>
      </c>
      <c r="Y81" s="4">
        <v>4</v>
      </c>
      <c r="Z81" s="4">
        <v>4</v>
      </c>
      <c r="AA81" s="4">
        <v>4</v>
      </c>
      <c r="AB81" s="4">
        <v>3</v>
      </c>
      <c r="AC81" s="4">
        <v>3</v>
      </c>
      <c r="AD81" s="4">
        <v>3</v>
      </c>
      <c r="AE81" s="4">
        <v>4</v>
      </c>
      <c r="AF81" s="4">
        <v>4</v>
      </c>
      <c r="AG81" s="4">
        <v>4</v>
      </c>
      <c r="AH81" s="4">
        <v>2</v>
      </c>
      <c r="AI81" s="4">
        <v>4</v>
      </c>
      <c r="AJ81" s="4">
        <v>3</v>
      </c>
      <c r="AK81" s="4">
        <v>2</v>
      </c>
      <c r="AL81" s="4" t="s">
        <v>276</v>
      </c>
      <c r="AM81" s="4" t="s">
        <v>275</v>
      </c>
    </row>
    <row r="82" spans="1:39" ht="51" x14ac:dyDescent="0.3">
      <c r="A82" s="3">
        <f t="shared" si="2"/>
        <v>81</v>
      </c>
      <c r="B82" s="4" t="s">
        <v>121</v>
      </c>
      <c r="C82" s="4" t="s">
        <v>94</v>
      </c>
      <c r="D82" s="4" t="s">
        <v>111</v>
      </c>
      <c r="E82" s="4" t="s">
        <v>148</v>
      </c>
      <c r="F82" s="4" t="s">
        <v>97</v>
      </c>
      <c r="G82" s="14" t="s">
        <v>79</v>
      </c>
      <c r="H82" s="4" t="s">
        <v>97</v>
      </c>
      <c r="I82" s="4" t="s">
        <v>99</v>
      </c>
      <c r="J82" s="4" t="s">
        <v>123</v>
      </c>
      <c r="K82" s="4" t="s">
        <v>264</v>
      </c>
      <c r="L82" s="4" t="s">
        <v>207</v>
      </c>
      <c r="M82" s="4" t="s">
        <v>208</v>
      </c>
      <c r="N82" s="7" t="s">
        <v>136</v>
      </c>
      <c r="O82" s="4" t="s">
        <v>105</v>
      </c>
      <c r="P82" s="4" t="s">
        <v>106</v>
      </c>
      <c r="Q82" s="4" t="s">
        <v>102</v>
      </c>
      <c r="R82" s="6"/>
      <c r="S82" s="4">
        <v>4</v>
      </c>
      <c r="T82" s="4">
        <v>3</v>
      </c>
      <c r="U82" s="4">
        <v>3</v>
      </c>
      <c r="V82" s="4">
        <v>3</v>
      </c>
      <c r="W82" s="4">
        <v>3</v>
      </c>
      <c r="X82" s="4">
        <v>4</v>
      </c>
      <c r="Y82" s="4">
        <v>4</v>
      </c>
      <c r="Z82" s="4">
        <v>4</v>
      </c>
      <c r="AA82" s="4">
        <v>3</v>
      </c>
      <c r="AB82" s="4">
        <v>3</v>
      </c>
      <c r="AC82" s="4">
        <v>4</v>
      </c>
      <c r="AD82" s="4">
        <v>3</v>
      </c>
      <c r="AE82" s="4">
        <v>5</v>
      </c>
      <c r="AF82" s="4">
        <v>5</v>
      </c>
      <c r="AG82" s="4">
        <v>5</v>
      </c>
      <c r="AH82" s="4">
        <v>3</v>
      </c>
      <c r="AI82" s="4">
        <v>4</v>
      </c>
      <c r="AJ82" s="4">
        <v>3</v>
      </c>
      <c r="AK82" s="4">
        <v>3</v>
      </c>
      <c r="AL82" s="4" t="s">
        <v>209</v>
      </c>
      <c r="AM82" s="4" t="s">
        <v>210</v>
      </c>
    </row>
    <row r="83" spans="1:39" ht="51" x14ac:dyDescent="0.3">
      <c r="A83" s="3">
        <f t="shared" si="2"/>
        <v>82</v>
      </c>
      <c r="B83" s="4" t="s">
        <v>109</v>
      </c>
      <c r="C83" s="4" t="s">
        <v>94</v>
      </c>
      <c r="D83" s="4" t="s">
        <v>111</v>
      </c>
      <c r="E83" s="4" t="s">
        <v>160</v>
      </c>
      <c r="F83" s="4" t="s">
        <v>97</v>
      </c>
      <c r="G83" s="14" t="s">
        <v>79</v>
      </c>
      <c r="H83" s="4" t="s">
        <v>97</v>
      </c>
      <c r="I83" s="4" t="s">
        <v>99</v>
      </c>
      <c r="J83" s="4" t="s">
        <v>123</v>
      </c>
      <c r="K83" s="4" t="s">
        <v>264</v>
      </c>
      <c r="L83" s="4" t="s">
        <v>207</v>
      </c>
      <c r="M83" s="4" t="s">
        <v>208</v>
      </c>
      <c r="N83" s="7" t="s">
        <v>136</v>
      </c>
      <c r="O83" s="4" t="s">
        <v>105</v>
      </c>
      <c r="P83" s="4" t="s">
        <v>106</v>
      </c>
      <c r="Q83" s="4" t="s">
        <v>102</v>
      </c>
      <c r="R83" s="6"/>
      <c r="S83" s="4">
        <v>4</v>
      </c>
      <c r="T83" s="4">
        <v>3</v>
      </c>
      <c r="U83" s="4">
        <v>4</v>
      </c>
      <c r="V83" s="4">
        <v>3</v>
      </c>
      <c r="W83" s="4">
        <v>3</v>
      </c>
      <c r="X83" s="4">
        <v>4</v>
      </c>
      <c r="Y83" s="4">
        <v>4</v>
      </c>
      <c r="Z83" s="4">
        <v>4</v>
      </c>
      <c r="AA83" s="4">
        <v>4</v>
      </c>
      <c r="AB83" s="4">
        <v>4</v>
      </c>
      <c r="AC83" s="4">
        <v>3</v>
      </c>
      <c r="AD83" s="4">
        <v>3</v>
      </c>
      <c r="AE83" s="4">
        <v>4</v>
      </c>
      <c r="AF83" s="4">
        <v>4</v>
      </c>
      <c r="AG83" s="4">
        <v>5</v>
      </c>
      <c r="AH83" s="4">
        <v>3</v>
      </c>
      <c r="AI83" s="4">
        <v>3</v>
      </c>
      <c r="AJ83" s="4">
        <v>3</v>
      </c>
      <c r="AK83" s="4">
        <v>3</v>
      </c>
      <c r="AL83" s="4" t="s">
        <v>209</v>
      </c>
      <c r="AM83" s="4" t="s">
        <v>205</v>
      </c>
    </row>
    <row r="84" spans="1:39" ht="40.799999999999997" x14ac:dyDescent="0.3">
      <c r="A84" s="3">
        <f t="shared" si="2"/>
        <v>83</v>
      </c>
      <c r="B84" s="4" t="s">
        <v>121</v>
      </c>
      <c r="C84" s="4" t="s">
        <v>94</v>
      </c>
      <c r="D84" s="4" t="s">
        <v>111</v>
      </c>
      <c r="E84" s="4" t="s">
        <v>143</v>
      </c>
      <c r="F84" s="4" t="s">
        <v>98</v>
      </c>
      <c r="G84" s="15" t="s">
        <v>80</v>
      </c>
      <c r="H84" s="4" t="s">
        <v>98</v>
      </c>
      <c r="I84" s="4" t="s">
        <v>99</v>
      </c>
      <c r="J84" s="4" t="s">
        <v>123</v>
      </c>
      <c r="K84" s="4" t="s">
        <v>262</v>
      </c>
      <c r="L84" s="4" t="s">
        <v>263</v>
      </c>
      <c r="M84" s="4" t="s">
        <v>208</v>
      </c>
      <c r="N84" s="7" t="s">
        <v>130</v>
      </c>
      <c r="O84" s="4" t="s">
        <v>105</v>
      </c>
      <c r="P84" s="4" t="s">
        <v>125</v>
      </c>
      <c r="Q84" s="4" t="s">
        <v>102</v>
      </c>
      <c r="R84" s="6"/>
      <c r="S84" s="4">
        <v>3</v>
      </c>
      <c r="T84" s="4">
        <v>3</v>
      </c>
      <c r="U84" s="4">
        <v>3</v>
      </c>
      <c r="V84" s="4">
        <v>3</v>
      </c>
      <c r="W84" s="4">
        <v>3</v>
      </c>
      <c r="X84" s="4">
        <v>4</v>
      </c>
      <c r="Y84" s="4">
        <v>4</v>
      </c>
      <c r="Z84" s="4">
        <v>4</v>
      </c>
      <c r="AA84" s="4">
        <v>4</v>
      </c>
      <c r="AB84" s="4">
        <v>3</v>
      </c>
      <c r="AC84" s="4">
        <v>3</v>
      </c>
      <c r="AD84" s="4">
        <v>3</v>
      </c>
      <c r="AE84" s="4">
        <v>4</v>
      </c>
      <c r="AF84" s="4">
        <v>4</v>
      </c>
      <c r="AG84" s="4">
        <v>4</v>
      </c>
      <c r="AH84" s="4">
        <v>2</v>
      </c>
      <c r="AI84" s="4">
        <v>4</v>
      </c>
      <c r="AJ84" s="4">
        <v>3</v>
      </c>
      <c r="AK84" s="4">
        <v>2</v>
      </c>
      <c r="AL84" s="4" t="s">
        <v>209</v>
      </c>
      <c r="AM84" s="4" t="s">
        <v>205</v>
      </c>
    </row>
    <row r="85" spans="1:39" ht="40.799999999999997" x14ac:dyDescent="0.3">
      <c r="A85" s="3">
        <f t="shared" si="2"/>
        <v>84</v>
      </c>
      <c r="B85" s="4" t="s">
        <v>129</v>
      </c>
      <c r="C85" s="4" t="s">
        <v>94</v>
      </c>
      <c r="D85" s="4" t="s">
        <v>111</v>
      </c>
      <c r="E85" s="4" t="s">
        <v>143</v>
      </c>
      <c r="F85" s="4" t="s">
        <v>98</v>
      </c>
      <c r="G85" s="15" t="s">
        <v>80</v>
      </c>
      <c r="H85" s="4" t="s">
        <v>98</v>
      </c>
      <c r="I85" s="4" t="s">
        <v>99</v>
      </c>
      <c r="J85" s="4" t="s">
        <v>123</v>
      </c>
      <c r="K85" s="4" t="s">
        <v>262</v>
      </c>
      <c r="L85" s="4" t="s">
        <v>263</v>
      </c>
      <c r="M85" s="4" t="s">
        <v>208</v>
      </c>
      <c r="N85" s="7" t="s">
        <v>130</v>
      </c>
      <c r="O85" s="4" t="s">
        <v>105</v>
      </c>
      <c r="P85" s="4" t="s">
        <v>125</v>
      </c>
      <c r="Q85" s="4" t="s">
        <v>102</v>
      </c>
      <c r="R85" s="6"/>
      <c r="S85" s="4">
        <v>5</v>
      </c>
      <c r="T85" s="4">
        <v>4</v>
      </c>
      <c r="U85" s="4">
        <v>5</v>
      </c>
      <c r="V85" s="4">
        <v>3</v>
      </c>
      <c r="W85" s="4">
        <v>3</v>
      </c>
      <c r="X85" s="4">
        <v>3</v>
      </c>
      <c r="Y85" s="4">
        <v>5</v>
      </c>
      <c r="Z85" s="4">
        <v>3</v>
      </c>
      <c r="AA85" s="4">
        <v>3</v>
      </c>
      <c r="AB85" s="4">
        <v>3</v>
      </c>
      <c r="AC85" s="4">
        <v>3</v>
      </c>
      <c r="AD85" s="4">
        <v>3</v>
      </c>
      <c r="AE85" s="4">
        <v>3</v>
      </c>
      <c r="AF85" s="4">
        <v>3</v>
      </c>
      <c r="AG85" s="4">
        <v>3</v>
      </c>
      <c r="AH85" s="4">
        <v>2</v>
      </c>
      <c r="AI85" s="4">
        <v>3</v>
      </c>
      <c r="AJ85" s="4">
        <v>2</v>
      </c>
      <c r="AK85" s="4">
        <v>2</v>
      </c>
      <c r="AL85" s="4" t="s">
        <v>214</v>
      </c>
      <c r="AM85" s="4" t="s">
        <v>186</v>
      </c>
    </row>
    <row r="86" spans="1:39" ht="30.6" x14ac:dyDescent="0.3">
      <c r="A86" s="3">
        <f t="shared" si="2"/>
        <v>85</v>
      </c>
      <c r="B86" s="4" t="s">
        <v>121</v>
      </c>
      <c r="C86" s="4" t="s">
        <v>94</v>
      </c>
      <c r="D86" s="4" t="s">
        <v>95</v>
      </c>
      <c r="E86" s="4" t="s">
        <v>160</v>
      </c>
      <c r="F86" s="4" t="s">
        <v>98</v>
      </c>
      <c r="G86" s="15" t="s">
        <v>81</v>
      </c>
      <c r="H86" s="4" t="s">
        <v>98</v>
      </c>
      <c r="I86" s="4" t="s">
        <v>99</v>
      </c>
      <c r="J86" s="4" t="s">
        <v>123</v>
      </c>
      <c r="K86" s="4" t="s">
        <v>124</v>
      </c>
      <c r="L86" s="4" t="s">
        <v>102</v>
      </c>
      <c r="M86" s="4" t="s">
        <v>168</v>
      </c>
      <c r="N86" s="7" t="s">
        <v>136</v>
      </c>
      <c r="O86" s="4" t="s">
        <v>105</v>
      </c>
      <c r="P86" s="4" t="s">
        <v>125</v>
      </c>
      <c r="Q86" s="4" t="s">
        <v>102</v>
      </c>
      <c r="R86" s="6"/>
      <c r="S86" s="4">
        <v>5</v>
      </c>
      <c r="T86" s="4">
        <v>5</v>
      </c>
      <c r="U86" s="4">
        <v>5</v>
      </c>
      <c r="V86" s="4">
        <v>4</v>
      </c>
      <c r="W86" s="4">
        <v>3</v>
      </c>
      <c r="X86" s="4">
        <v>4</v>
      </c>
      <c r="Y86" s="4">
        <v>4</v>
      </c>
      <c r="Z86" s="4">
        <v>4</v>
      </c>
      <c r="AA86" s="4">
        <v>4</v>
      </c>
      <c r="AB86" s="4">
        <v>4</v>
      </c>
      <c r="AC86" s="4">
        <v>3</v>
      </c>
      <c r="AD86" s="4">
        <v>3</v>
      </c>
      <c r="AE86" s="4">
        <v>4</v>
      </c>
      <c r="AF86" s="4">
        <v>3</v>
      </c>
      <c r="AG86" s="4">
        <v>4</v>
      </c>
      <c r="AH86" s="4">
        <v>3</v>
      </c>
      <c r="AI86" s="4">
        <v>2</v>
      </c>
      <c r="AJ86" s="4">
        <v>2</v>
      </c>
      <c r="AK86" s="4">
        <v>2</v>
      </c>
      <c r="AL86" s="4" t="s">
        <v>214</v>
      </c>
      <c r="AM86" s="4" t="s">
        <v>186</v>
      </c>
    </row>
    <row r="87" spans="1:39" ht="30.6" x14ac:dyDescent="0.3">
      <c r="A87" s="3">
        <f>A86+1</f>
        <v>86</v>
      </c>
      <c r="B87" s="4" t="s">
        <v>109</v>
      </c>
      <c r="C87" s="4" t="s">
        <v>110</v>
      </c>
      <c r="D87" s="4" t="s">
        <v>111</v>
      </c>
      <c r="E87" s="4" t="s">
        <v>160</v>
      </c>
      <c r="F87" s="4" t="s">
        <v>98</v>
      </c>
      <c r="G87" s="15" t="s">
        <v>81</v>
      </c>
      <c r="H87" s="4" t="s">
        <v>98</v>
      </c>
      <c r="I87" s="4" t="s">
        <v>99</v>
      </c>
      <c r="J87" s="4" t="s">
        <v>123</v>
      </c>
      <c r="K87" s="4" t="s">
        <v>124</v>
      </c>
      <c r="L87" s="4" t="s">
        <v>102</v>
      </c>
      <c r="M87" s="4" t="s">
        <v>168</v>
      </c>
      <c r="N87" s="7" t="s">
        <v>136</v>
      </c>
      <c r="O87" s="4" t="s">
        <v>105</v>
      </c>
      <c r="P87" s="4" t="s">
        <v>125</v>
      </c>
      <c r="Q87" s="4" t="s">
        <v>102</v>
      </c>
      <c r="R87" s="6"/>
      <c r="S87" s="4">
        <v>4</v>
      </c>
      <c r="T87" s="4">
        <v>4</v>
      </c>
      <c r="U87" s="4">
        <v>4</v>
      </c>
      <c r="V87" s="4">
        <v>3</v>
      </c>
      <c r="W87" s="4">
        <v>3</v>
      </c>
      <c r="X87" s="4">
        <v>4</v>
      </c>
      <c r="Y87" s="4">
        <v>4</v>
      </c>
      <c r="Z87" s="4">
        <v>4</v>
      </c>
      <c r="AA87" s="4">
        <v>4</v>
      </c>
      <c r="AB87" s="4">
        <v>3</v>
      </c>
      <c r="AC87" s="4">
        <v>3</v>
      </c>
      <c r="AD87" s="4">
        <v>3</v>
      </c>
      <c r="AE87" s="4">
        <v>5</v>
      </c>
      <c r="AF87" s="4">
        <v>3</v>
      </c>
      <c r="AG87" s="4">
        <v>3</v>
      </c>
      <c r="AH87" s="4">
        <v>3</v>
      </c>
      <c r="AI87" s="4">
        <v>3</v>
      </c>
      <c r="AJ87" s="4">
        <v>3</v>
      </c>
      <c r="AK87" s="4">
        <v>3</v>
      </c>
      <c r="AL87" s="4" t="s">
        <v>258</v>
      </c>
      <c r="AM87" s="4" t="s">
        <v>259</v>
      </c>
    </row>
    <row r="88" spans="1:39" ht="30.6" x14ac:dyDescent="0.3">
      <c r="A88" s="3">
        <f t="shared" si="2"/>
        <v>87</v>
      </c>
      <c r="B88" s="4" t="s">
        <v>121</v>
      </c>
      <c r="C88" s="4" t="s">
        <v>94</v>
      </c>
      <c r="D88" s="4" t="s">
        <v>95</v>
      </c>
      <c r="E88" s="4" t="s">
        <v>143</v>
      </c>
      <c r="F88" s="4" t="s">
        <v>98</v>
      </c>
      <c r="G88" s="15" t="s">
        <v>82</v>
      </c>
      <c r="H88" s="4" t="s">
        <v>98</v>
      </c>
      <c r="I88" s="4" t="s">
        <v>99</v>
      </c>
      <c r="J88" s="4" t="s">
        <v>100</v>
      </c>
      <c r="K88" s="4" t="s">
        <v>177</v>
      </c>
      <c r="L88" s="4" t="s">
        <v>102</v>
      </c>
      <c r="M88" s="4" t="s">
        <v>270</v>
      </c>
      <c r="N88" s="7" t="s">
        <v>136</v>
      </c>
      <c r="O88" s="4" t="s">
        <v>105</v>
      </c>
      <c r="P88" s="4" t="s">
        <v>125</v>
      </c>
      <c r="Q88" s="4" t="s">
        <v>102</v>
      </c>
      <c r="R88" s="6"/>
      <c r="S88" s="4">
        <v>3</v>
      </c>
      <c r="T88" s="4">
        <v>3</v>
      </c>
      <c r="U88" s="4">
        <v>3</v>
      </c>
      <c r="V88" s="4">
        <v>3</v>
      </c>
      <c r="W88" s="4">
        <v>3</v>
      </c>
      <c r="X88" s="4">
        <v>3</v>
      </c>
      <c r="Y88" s="4">
        <v>4</v>
      </c>
      <c r="Z88" s="4">
        <v>4</v>
      </c>
      <c r="AA88" s="4">
        <v>4</v>
      </c>
      <c r="AB88" s="4">
        <v>3</v>
      </c>
      <c r="AC88" s="4">
        <v>3</v>
      </c>
      <c r="AD88" s="4">
        <v>3</v>
      </c>
      <c r="AE88" s="4">
        <v>5</v>
      </c>
      <c r="AF88" s="4">
        <v>3</v>
      </c>
      <c r="AG88" s="4">
        <v>3</v>
      </c>
      <c r="AH88" s="4">
        <v>3</v>
      </c>
      <c r="AI88" s="4">
        <v>4</v>
      </c>
      <c r="AJ88" s="4">
        <v>3</v>
      </c>
      <c r="AK88" s="4">
        <v>3</v>
      </c>
      <c r="AL88" s="4" t="s">
        <v>258</v>
      </c>
      <c r="AM88" s="4" t="s">
        <v>259</v>
      </c>
    </row>
    <row r="89" spans="1:39" ht="30.6" x14ac:dyDescent="0.3">
      <c r="A89" s="3">
        <f t="shared" si="2"/>
        <v>88</v>
      </c>
      <c r="B89" s="4" t="s">
        <v>129</v>
      </c>
      <c r="C89" s="4" t="s">
        <v>94</v>
      </c>
      <c r="D89" s="4" t="s">
        <v>111</v>
      </c>
      <c r="E89" s="4" t="s">
        <v>160</v>
      </c>
      <c r="F89" s="4" t="s">
        <v>98</v>
      </c>
      <c r="G89" s="15" t="s">
        <v>82</v>
      </c>
      <c r="H89" s="4" t="s">
        <v>98</v>
      </c>
      <c r="I89" s="4" t="s">
        <v>99</v>
      </c>
      <c r="J89" s="4" t="s">
        <v>100</v>
      </c>
      <c r="K89" s="4" t="s">
        <v>177</v>
      </c>
      <c r="L89" s="4" t="s">
        <v>102</v>
      </c>
      <c r="M89" s="4" t="s">
        <v>270</v>
      </c>
      <c r="N89" s="7" t="s">
        <v>136</v>
      </c>
      <c r="O89" s="4" t="s">
        <v>105</v>
      </c>
      <c r="P89" s="4" t="s">
        <v>125</v>
      </c>
      <c r="Q89" s="4" t="s">
        <v>102</v>
      </c>
      <c r="R89" s="6"/>
      <c r="S89" s="4">
        <v>4</v>
      </c>
      <c r="T89" s="4">
        <v>3</v>
      </c>
      <c r="U89" s="4">
        <v>3</v>
      </c>
      <c r="V89" s="4">
        <v>3</v>
      </c>
      <c r="W89" s="4">
        <v>3</v>
      </c>
      <c r="X89" s="4">
        <v>5</v>
      </c>
      <c r="Y89" s="4">
        <v>3</v>
      </c>
      <c r="Z89" s="4">
        <v>5</v>
      </c>
      <c r="AA89" s="4">
        <v>4</v>
      </c>
      <c r="AB89" s="4">
        <v>3</v>
      </c>
      <c r="AC89" s="4">
        <v>5</v>
      </c>
      <c r="AD89" s="4">
        <v>4</v>
      </c>
      <c r="AE89" s="4">
        <v>4</v>
      </c>
      <c r="AF89" s="4">
        <v>3</v>
      </c>
      <c r="AG89" s="4">
        <v>4</v>
      </c>
      <c r="AH89" s="4">
        <v>2</v>
      </c>
      <c r="AI89" s="4">
        <v>3</v>
      </c>
      <c r="AJ89" s="4">
        <v>2</v>
      </c>
      <c r="AK89" s="4">
        <v>2</v>
      </c>
      <c r="AL89" s="4" t="s">
        <v>258</v>
      </c>
      <c r="AM89" s="4" t="s">
        <v>259</v>
      </c>
    </row>
    <row r="90" spans="1:39" ht="39.6" x14ac:dyDescent="0.3">
      <c r="A90" s="3">
        <f t="shared" si="2"/>
        <v>89</v>
      </c>
      <c r="B90" s="4" t="s">
        <v>121</v>
      </c>
      <c r="C90" s="4" t="s">
        <v>133</v>
      </c>
      <c r="D90" s="4" t="s">
        <v>95</v>
      </c>
      <c r="E90" s="4" t="s">
        <v>143</v>
      </c>
      <c r="F90" s="4" t="s">
        <v>98</v>
      </c>
      <c r="G90" s="15" t="s">
        <v>83</v>
      </c>
      <c r="H90" s="4" t="s">
        <v>98</v>
      </c>
      <c r="I90" s="4" t="s">
        <v>114</v>
      </c>
      <c r="J90" s="4" t="s">
        <v>100</v>
      </c>
      <c r="K90" s="4" t="s">
        <v>177</v>
      </c>
      <c r="L90" s="4" t="s">
        <v>102</v>
      </c>
      <c r="M90" s="4" t="s">
        <v>270</v>
      </c>
      <c r="N90" s="7" t="s">
        <v>136</v>
      </c>
      <c r="O90" s="4" t="s">
        <v>105</v>
      </c>
      <c r="P90" s="4" t="s">
        <v>125</v>
      </c>
      <c r="Q90" s="4" t="s">
        <v>102</v>
      </c>
      <c r="R90" s="6"/>
      <c r="S90" s="4">
        <v>4</v>
      </c>
      <c r="T90" s="4">
        <v>3</v>
      </c>
      <c r="U90" s="4">
        <v>3</v>
      </c>
      <c r="V90" s="4">
        <v>4</v>
      </c>
      <c r="W90" s="4">
        <v>4</v>
      </c>
      <c r="X90" s="4">
        <v>4</v>
      </c>
      <c r="Y90" s="4">
        <v>4</v>
      </c>
      <c r="Z90" s="4">
        <v>4</v>
      </c>
      <c r="AA90" s="4">
        <v>3</v>
      </c>
      <c r="AB90" s="4">
        <v>3</v>
      </c>
      <c r="AC90" s="4">
        <v>5</v>
      </c>
      <c r="AD90" s="4">
        <v>3</v>
      </c>
      <c r="AE90" s="4">
        <v>3</v>
      </c>
      <c r="AF90" s="4">
        <v>3</v>
      </c>
      <c r="AG90" s="4">
        <v>3</v>
      </c>
      <c r="AH90" s="4">
        <v>1</v>
      </c>
      <c r="AI90" s="4">
        <v>2</v>
      </c>
      <c r="AJ90" s="4">
        <v>1</v>
      </c>
      <c r="AK90" s="4">
        <v>1</v>
      </c>
      <c r="AL90" s="4" t="s">
        <v>214</v>
      </c>
      <c r="AM90" s="4" t="s">
        <v>186</v>
      </c>
    </row>
    <row r="91" spans="1:39" ht="39.6" x14ac:dyDescent="0.3">
      <c r="A91" s="3">
        <f t="shared" si="2"/>
        <v>90</v>
      </c>
      <c r="B91" s="4" t="s">
        <v>129</v>
      </c>
      <c r="C91" s="4" t="s">
        <v>94</v>
      </c>
      <c r="D91" s="4" t="s">
        <v>111</v>
      </c>
      <c r="E91" s="4" t="s">
        <v>143</v>
      </c>
      <c r="F91" s="4" t="s">
        <v>98</v>
      </c>
      <c r="G91" s="15" t="s">
        <v>83</v>
      </c>
      <c r="H91" s="4" t="s">
        <v>98</v>
      </c>
      <c r="I91" s="4" t="s">
        <v>114</v>
      </c>
      <c r="J91" s="4" t="s">
        <v>100</v>
      </c>
      <c r="K91" s="4" t="s">
        <v>177</v>
      </c>
      <c r="L91" s="4" t="s">
        <v>102</v>
      </c>
      <c r="M91" s="4" t="s">
        <v>270</v>
      </c>
      <c r="N91" s="7" t="s">
        <v>136</v>
      </c>
      <c r="O91" s="4" t="s">
        <v>105</v>
      </c>
      <c r="P91" s="4" t="s">
        <v>125</v>
      </c>
      <c r="Q91" s="4" t="s">
        <v>102</v>
      </c>
      <c r="R91" s="6"/>
      <c r="S91" s="4">
        <v>5</v>
      </c>
      <c r="T91" s="4">
        <v>4</v>
      </c>
      <c r="U91" s="4">
        <v>4</v>
      </c>
      <c r="V91" s="4">
        <v>3</v>
      </c>
      <c r="W91" s="4">
        <v>3</v>
      </c>
      <c r="X91" s="4">
        <v>4</v>
      </c>
      <c r="Y91" s="4">
        <v>4</v>
      </c>
      <c r="Z91" s="4">
        <v>3</v>
      </c>
      <c r="AA91" s="4">
        <v>4</v>
      </c>
      <c r="AB91" s="4">
        <v>4</v>
      </c>
      <c r="AC91" s="4">
        <v>3</v>
      </c>
      <c r="AD91" s="4">
        <v>3</v>
      </c>
      <c r="AE91" s="4">
        <v>3</v>
      </c>
      <c r="AF91" s="4">
        <v>3</v>
      </c>
      <c r="AG91" s="4">
        <v>3</v>
      </c>
      <c r="AH91" s="4">
        <v>2</v>
      </c>
      <c r="AI91" s="4">
        <v>4</v>
      </c>
      <c r="AJ91" s="4">
        <v>2</v>
      </c>
      <c r="AK91" s="4">
        <v>2</v>
      </c>
      <c r="AL91" s="4" t="s">
        <v>214</v>
      </c>
      <c r="AM91" s="4" t="s">
        <v>186</v>
      </c>
    </row>
    <row r="92" spans="1:39" ht="39.6" x14ac:dyDescent="0.3">
      <c r="A92" s="3">
        <f t="shared" si="2"/>
        <v>91</v>
      </c>
      <c r="B92" s="4" t="s">
        <v>121</v>
      </c>
      <c r="C92" s="4" t="s">
        <v>94</v>
      </c>
      <c r="D92" s="4" t="s">
        <v>111</v>
      </c>
      <c r="E92" s="4" t="s">
        <v>153</v>
      </c>
      <c r="F92" s="4" t="s">
        <v>97</v>
      </c>
      <c r="G92" s="15" t="s">
        <v>84</v>
      </c>
      <c r="H92" s="4" t="s">
        <v>97</v>
      </c>
      <c r="I92" s="4" t="s">
        <v>114</v>
      </c>
      <c r="J92" s="4" t="s">
        <v>100</v>
      </c>
      <c r="K92" s="4" t="s">
        <v>177</v>
      </c>
      <c r="L92" s="4" t="s">
        <v>102</v>
      </c>
      <c r="M92" s="4" t="s">
        <v>168</v>
      </c>
      <c r="N92" s="7" t="s">
        <v>136</v>
      </c>
      <c r="O92" s="4" t="s">
        <v>105</v>
      </c>
      <c r="P92" s="4" t="s">
        <v>166</v>
      </c>
      <c r="Q92" s="4" t="s">
        <v>102</v>
      </c>
      <c r="R92" s="6"/>
      <c r="S92" s="4">
        <v>5</v>
      </c>
      <c r="T92" s="4">
        <v>4</v>
      </c>
      <c r="U92" s="4">
        <v>4</v>
      </c>
      <c r="V92" s="4">
        <v>3</v>
      </c>
      <c r="W92" s="4">
        <v>3</v>
      </c>
      <c r="X92" s="4">
        <v>4</v>
      </c>
      <c r="Y92" s="4">
        <v>5</v>
      </c>
      <c r="Z92" s="4">
        <v>5</v>
      </c>
      <c r="AA92" s="4">
        <v>4</v>
      </c>
      <c r="AB92" s="4">
        <v>5</v>
      </c>
      <c r="AC92" s="4">
        <v>5</v>
      </c>
      <c r="AD92" s="4">
        <v>5</v>
      </c>
      <c r="AE92" s="4">
        <v>4</v>
      </c>
      <c r="AF92" s="4">
        <v>3</v>
      </c>
      <c r="AG92" s="4">
        <v>4</v>
      </c>
      <c r="AH92" s="4">
        <v>2</v>
      </c>
      <c r="AI92" s="4">
        <v>3</v>
      </c>
      <c r="AJ92" s="4">
        <v>2</v>
      </c>
      <c r="AK92" s="4">
        <v>2</v>
      </c>
      <c r="AL92" s="4" t="s">
        <v>193</v>
      </c>
      <c r="AM92" s="4" t="s">
        <v>211</v>
      </c>
    </row>
    <row r="93" spans="1:39" ht="39.6" x14ac:dyDescent="0.3">
      <c r="A93" s="3">
        <f t="shared" si="2"/>
        <v>92</v>
      </c>
      <c r="B93" s="4" t="s">
        <v>169</v>
      </c>
      <c r="C93" s="4" t="s">
        <v>94</v>
      </c>
      <c r="D93" s="4" t="s">
        <v>95</v>
      </c>
      <c r="E93" s="4" t="s">
        <v>143</v>
      </c>
      <c r="F93" s="4" t="s">
        <v>97</v>
      </c>
      <c r="G93" s="15" t="s">
        <v>84</v>
      </c>
      <c r="H93" s="4" t="s">
        <v>97</v>
      </c>
      <c r="I93" s="4" t="s">
        <v>114</v>
      </c>
      <c r="J93" s="4" t="s">
        <v>100</v>
      </c>
      <c r="K93" s="4" t="s">
        <v>177</v>
      </c>
      <c r="L93" s="4" t="s">
        <v>102</v>
      </c>
      <c r="M93" s="4" t="s">
        <v>168</v>
      </c>
      <c r="N93" s="7" t="s">
        <v>136</v>
      </c>
      <c r="O93" s="4" t="s">
        <v>105</v>
      </c>
      <c r="P93" s="4" t="s">
        <v>166</v>
      </c>
      <c r="Q93" s="4" t="s">
        <v>102</v>
      </c>
      <c r="R93" s="6"/>
      <c r="S93" s="4">
        <v>5</v>
      </c>
      <c r="T93" s="4">
        <v>4</v>
      </c>
      <c r="U93" s="4">
        <v>4</v>
      </c>
      <c r="V93" s="4">
        <v>4</v>
      </c>
      <c r="W93" s="4">
        <v>3</v>
      </c>
      <c r="X93" s="4">
        <v>4</v>
      </c>
      <c r="Y93" s="4">
        <v>5</v>
      </c>
      <c r="Z93" s="4">
        <v>5</v>
      </c>
      <c r="AA93" s="4">
        <v>5</v>
      </c>
      <c r="AB93" s="4">
        <v>5</v>
      </c>
      <c r="AC93" s="4">
        <v>5</v>
      </c>
      <c r="AD93" s="4">
        <v>5</v>
      </c>
      <c r="AE93" s="4">
        <v>3</v>
      </c>
      <c r="AF93" s="4">
        <v>4</v>
      </c>
      <c r="AG93" s="4">
        <v>4</v>
      </c>
      <c r="AH93" s="4">
        <v>1</v>
      </c>
      <c r="AI93" s="4">
        <v>2</v>
      </c>
      <c r="AJ93" s="4">
        <v>2</v>
      </c>
      <c r="AK93" s="4">
        <v>1</v>
      </c>
      <c r="AL93" s="4" t="s">
        <v>193</v>
      </c>
      <c r="AM93" s="4" t="s">
        <v>211</v>
      </c>
    </row>
    <row r="94" spans="1:39" ht="52.8" x14ac:dyDescent="0.3">
      <c r="A94" s="3">
        <f>A93+1</f>
        <v>93</v>
      </c>
      <c r="B94" s="4" t="s">
        <v>121</v>
      </c>
      <c r="C94" s="4" t="s">
        <v>94</v>
      </c>
      <c r="D94" s="4" t="s">
        <v>111</v>
      </c>
      <c r="E94" s="4" t="s">
        <v>212</v>
      </c>
      <c r="F94" s="4" t="s">
        <v>97</v>
      </c>
      <c r="G94" s="14" t="s">
        <v>85</v>
      </c>
      <c r="H94" s="4" t="s">
        <v>97</v>
      </c>
      <c r="I94" s="4" t="s">
        <v>114</v>
      </c>
      <c r="J94" s="9" t="s">
        <v>123</v>
      </c>
      <c r="K94" s="4" t="s">
        <v>124</v>
      </c>
      <c r="L94" s="4" t="s">
        <v>102</v>
      </c>
      <c r="M94" s="4" t="s">
        <v>181</v>
      </c>
      <c r="N94" s="7" t="s">
        <v>136</v>
      </c>
      <c r="O94" s="4" t="s">
        <v>105</v>
      </c>
      <c r="P94" s="4" t="s">
        <v>125</v>
      </c>
      <c r="Q94" s="4" t="s">
        <v>102</v>
      </c>
      <c r="R94" s="6"/>
      <c r="S94" s="4">
        <v>4</v>
      </c>
      <c r="T94" s="4">
        <v>4</v>
      </c>
      <c r="U94" s="4">
        <v>4</v>
      </c>
      <c r="V94" s="4">
        <v>4</v>
      </c>
      <c r="W94" s="4">
        <v>4</v>
      </c>
      <c r="X94" s="4">
        <v>4</v>
      </c>
      <c r="Y94" s="4">
        <v>4</v>
      </c>
      <c r="Z94" s="4">
        <v>5</v>
      </c>
      <c r="AA94" s="4">
        <v>4</v>
      </c>
      <c r="AB94" s="4">
        <v>4</v>
      </c>
      <c r="AC94" s="4">
        <v>4</v>
      </c>
      <c r="AD94" s="4">
        <v>3</v>
      </c>
      <c r="AE94" s="4">
        <v>4</v>
      </c>
      <c r="AF94" s="4">
        <v>4</v>
      </c>
      <c r="AG94" s="4">
        <v>4</v>
      </c>
      <c r="AH94" s="4">
        <v>1</v>
      </c>
      <c r="AI94" s="4">
        <v>3</v>
      </c>
      <c r="AJ94" s="4">
        <v>2</v>
      </c>
      <c r="AK94" s="4">
        <v>1</v>
      </c>
      <c r="AL94" s="4" t="s">
        <v>214</v>
      </c>
      <c r="AM94" s="4" t="s">
        <v>215</v>
      </c>
    </row>
    <row r="95" spans="1:39" ht="52.8" x14ac:dyDescent="0.3">
      <c r="A95" s="3">
        <f t="shared" si="2"/>
        <v>94</v>
      </c>
      <c r="B95" s="4" t="s">
        <v>129</v>
      </c>
      <c r="C95" s="4" t="s">
        <v>110</v>
      </c>
      <c r="D95" s="4" t="s">
        <v>111</v>
      </c>
      <c r="E95" s="4" t="s">
        <v>143</v>
      </c>
      <c r="F95" s="4" t="s">
        <v>97</v>
      </c>
      <c r="G95" s="14" t="s">
        <v>85</v>
      </c>
      <c r="H95" s="4" t="s">
        <v>97</v>
      </c>
      <c r="I95" s="4" t="s">
        <v>114</v>
      </c>
      <c r="J95" s="4" t="s">
        <v>123</v>
      </c>
      <c r="K95" s="4" t="s">
        <v>124</v>
      </c>
      <c r="L95" s="4" t="s">
        <v>102</v>
      </c>
      <c r="M95" s="4" t="s">
        <v>161</v>
      </c>
      <c r="N95" s="7" t="s">
        <v>136</v>
      </c>
      <c r="O95" s="4" t="s">
        <v>105</v>
      </c>
      <c r="P95" s="4" t="s">
        <v>125</v>
      </c>
      <c r="Q95" s="4" t="s">
        <v>102</v>
      </c>
      <c r="R95" s="6"/>
      <c r="S95" s="4">
        <v>4</v>
      </c>
      <c r="T95" s="4">
        <v>3</v>
      </c>
      <c r="U95" s="4">
        <v>3</v>
      </c>
      <c r="V95" s="4">
        <v>3</v>
      </c>
      <c r="W95" s="4">
        <v>3</v>
      </c>
      <c r="X95" s="4">
        <v>3</v>
      </c>
      <c r="Y95" s="4">
        <v>5</v>
      </c>
      <c r="Z95" s="4">
        <v>4</v>
      </c>
      <c r="AA95" s="4">
        <v>3</v>
      </c>
      <c r="AB95" s="4">
        <v>4</v>
      </c>
      <c r="AC95" s="4">
        <v>4</v>
      </c>
      <c r="AD95" s="4">
        <v>4</v>
      </c>
      <c r="AE95" s="4">
        <v>4</v>
      </c>
      <c r="AF95" s="4">
        <v>4</v>
      </c>
      <c r="AG95" s="4">
        <v>4</v>
      </c>
      <c r="AH95" s="4">
        <v>3</v>
      </c>
      <c r="AI95" s="4">
        <v>3</v>
      </c>
      <c r="AJ95" s="4">
        <v>2</v>
      </c>
      <c r="AK95" s="4">
        <v>3</v>
      </c>
      <c r="AL95" s="4" t="s">
        <v>214</v>
      </c>
      <c r="AM95" s="4" t="s">
        <v>186</v>
      </c>
    </row>
    <row r="96" spans="1:39" ht="51" x14ac:dyDescent="0.3">
      <c r="A96" s="3">
        <f t="shared" si="2"/>
        <v>95</v>
      </c>
      <c r="B96" s="4" t="s">
        <v>121</v>
      </c>
      <c r="C96" s="4" t="s">
        <v>164</v>
      </c>
      <c r="D96" s="4" t="s">
        <v>95</v>
      </c>
      <c r="E96" s="4" t="s">
        <v>122</v>
      </c>
      <c r="F96" s="4" t="s">
        <v>97</v>
      </c>
      <c r="G96" s="14" t="s">
        <v>86</v>
      </c>
      <c r="H96" s="4" t="s">
        <v>97</v>
      </c>
      <c r="I96" s="4" t="s">
        <v>114</v>
      </c>
      <c r="J96" s="4" t="s">
        <v>100</v>
      </c>
      <c r="K96" s="4" t="s">
        <v>177</v>
      </c>
      <c r="L96" s="4" t="s">
        <v>102</v>
      </c>
      <c r="M96" s="4" t="s">
        <v>149</v>
      </c>
      <c r="N96" s="7" t="s">
        <v>136</v>
      </c>
      <c r="O96" s="4" t="s">
        <v>105</v>
      </c>
      <c r="P96" s="4" t="s">
        <v>125</v>
      </c>
      <c r="Q96" s="4" t="s">
        <v>105</v>
      </c>
      <c r="R96" s="4" t="s">
        <v>137</v>
      </c>
      <c r="S96" s="4">
        <v>3</v>
      </c>
      <c r="T96" s="4">
        <v>3</v>
      </c>
      <c r="U96" s="4">
        <v>3</v>
      </c>
      <c r="V96" s="4">
        <v>2</v>
      </c>
      <c r="W96" s="4">
        <v>2</v>
      </c>
      <c r="X96" s="4">
        <v>3</v>
      </c>
      <c r="Y96" s="4">
        <v>2</v>
      </c>
      <c r="Z96" s="4">
        <v>2</v>
      </c>
      <c r="AA96" s="4">
        <v>3</v>
      </c>
      <c r="AB96" s="4">
        <v>2</v>
      </c>
      <c r="AC96" s="4">
        <v>2</v>
      </c>
      <c r="AD96" s="4">
        <v>2</v>
      </c>
      <c r="AE96" s="4">
        <v>1</v>
      </c>
      <c r="AF96" s="4">
        <v>2</v>
      </c>
      <c r="AG96" s="4">
        <v>2</v>
      </c>
      <c r="AH96" s="4">
        <v>4</v>
      </c>
      <c r="AI96" s="4">
        <v>4</v>
      </c>
      <c r="AJ96" s="4">
        <v>4</v>
      </c>
      <c r="AK96" s="4">
        <v>4</v>
      </c>
      <c r="AL96" s="4" t="s">
        <v>217</v>
      </c>
      <c r="AM96" s="4" t="s">
        <v>216</v>
      </c>
    </row>
    <row r="97" spans="1:39" ht="61.2" x14ac:dyDescent="0.3">
      <c r="A97" s="3">
        <f t="shared" si="2"/>
        <v>96</v>
      </c>
      <c r="B97" s="4" t="s">
        <v>112</v>
      </c>
      <c r="C97" s="4" t="s">
        <v>164</v>
      </c>
      <c r="D97" s="4" t="s">
        <v>95</v>
      </c>
      <c r="E97" s="4" t="s">
        <v>122</v>
      </c>
      <c r="F97" s="4" t="s">
        <v>97</v>
      </c>
      <c r="G97" s="14" t="s">
        <v>86</v>
      </c>
      <c r="H97" s="4" t="s">
        <v>97</v>
      </c>
      <c r="I97" s="4" t="s">
        <v>114</v>
      </c>
      <c r="J97" s="4" t="s">
        <v>100</v>
      </c>
      <c r="K97" s="4" t="s">
        <v>177</v>
      </c>
      <c r="L97" s="4" t="s">
        <v>102</v>
      </c>
      <c r="M97" s="4" t="s">
        <v>149</v>
      </c>
      <c r="N97" s="7" t="s">
        <v>136</v>
      </c>
      <c r="O97" s="4" t="s">
        <v>105</v>
      </c>
      <c r="P97" s="4" t="s">
        <v>166</v>
      </c>
      <c r="Q97" s="4" t="s">
        <v>105</v>
      </c>
      <c r="R97" s="4" t="s">
        <v>137</v>
      </c>
      <c r="S97" s="4">
        <v>4</v>
      </c>
      <c r="T97" s="4">
        <v>3</v>
      </c>
      <c r="U97" s="4">
        <v>3</v>
      </c>
      <c r="V97" s="4">
        <v>3</v>
      </c>
      <c r="W97" s="4">
        <v>2</v>
      </c>
      <c r="X97" s="4">
        <v>3</v>
      </c>
      <c r="Y97" s="4">
        <v>2</v>
      </c>
      <c r="Z97" s="4">
        <v>2</v>
      </c>
      <c r="AA97" s="4">
        <v>3</v>
      </c>
      <c r="AB97" s="4">
        <v>2</v>
      </c>
      <c r="AC97" s="4">
        <v>2</v>
      </c>
      <c r="AD97" s="4">
        <v>2</v>
      </c>
      <c r="AE97" s="4">
        <v>2</v>
      </c>
      <c r="AF97" s="4">
        <v>2</v>
      </c>
      <c r="AG97" s="4">
        <v>2</v>
      </c>
      <c r="AH97" s="4">
        <v>4</v>
      </c>
      <c r="AI97" s="4">
        <v>4</v>
      </c>
      <c r="AJ97" s="4">
        <v>4</v>
      </c>
      <c r="AK97" s="4">
        <v>4</v>
      </c>
      <c r="AL97" s="4" t="s">
        <v>218</v>
      </c>
      <c r="AM97" s="4" t="s">
        <v>219</v>
      </c>
    </row>
    <row r="98" spans="1:39" ht="30.6" x14ac:dyDescent="0.3">
      <c r="A98" s="3">
        <f t="shared" si="2"/>
        <v>97</v>
      </c>
      <c r="B98" s="4" t="s">
        <v>121</v>
      </c>
      <c r="C98" s="4" t="s">
        <v>94</v>
      </c>
      <c r="D98" s="4" t="s">
        <v>111</v>
      </c>
      <c r="E98" s="4" t="s">
        <v>143</v>
      </c>
      <c r="F98" s="4" t="s">
        <v>98</v>
      </c>
      <c r="G98" s="15" t="s">
        <v>87</v>
      </c>
      <c r="H98" s="4" t="s">
        <v>98</v>
      </c>
      <c r="I98" s="4" t="s">
        <v>99</v>
      </c>
      <c r="J98" s="4" t="s">
        <v>123</v>
      </c>
      <c r="K98" s="4" t="s">
        <v>101</v>
      </c>
      <c r="L98" s="4" t="s">
        <v>102</v>
      </c>
      <c r="M98" s="4" t="s">
        <v>168</v>
      </c>
      <c r="N98" s="7" t="s">
        <v>150</v>
      </c>
      <c r="O98" s="4" t="s">
        <v>105</v>
      </c>
      <c r="P98" s="4" t="s">
        <v>125</v>
      </c>
      <c r="Q98" s="4" t="s">
        <v>102</v>
      </c>
      <c r="R98" s="6"/>
      <c r="S98" s="4">
        <v>4</v>
      </c>
      <c r="T98" s="4">
        <v>3</v>
      </c>
      <c r="U98" s="4">
        <v>3</v>
      </c>
      <c r="V98" s="4">
        <v>3</v>
      </c>
      <c r="W98" s="4">
        <v>3</v>
      </c>
      <c r="X98" s="4">
        <v>5</v>
      </c>
      <c r="Y98" s="4">
        <v>3</v>
      </c>
      <c r="Z98" s="4">
        <v>5</v>
      </c>
      <c r="AA98" s="4">
        <v>4</v>
      </c>
      <c r="AB98" s="4">
        <v>3</v>
      </c>
      <c r="AC98" s="4">
        <v>5</v>
      </c>
      <c r="AD98" s="4">
        <v>4</v>
      </c>
      <c r="AE98" s="4">
        <v>4</v>
      </c>
      <c r="AF98" s="4">
        <v>3</v>
      </c>
      <c r="AG98" s="4">
        <v>4</v>
      </c>
      <c r="AH98" s="4">
        <v>2</v>
      </c>
      <c r="AI98" s="4">
        <v>3</v>
      </c>
      <c r="AJ98" s="4">
        <v>2</v>
      </c>
      <c r="AK98" s="4">
        <v>2</v>
      </c>
      <c r="AL98" s="4" t="s">
        <v>226</v>
      </c>
      <c r="AM98" s="4" t="s">
        <v>228</v>
      </c>
    </row>
    <row r="99" spans="1:39" ht="30.6" x14ac:dyDescent="0.3">
      <c r="A99" s="3">
        <f t="shared" si="2"/>
        <v>98</v>
      </c>
      <c r="B99" s="4" t="s">
        <v>112</v>
      </c>
      <c r="C99" s="4" t="s">
        <v>110</v>
      </c>
      <c r="D99" s="4" t="s">
        <v>111</v>
      </c>
      <c r="E99" s="4" t="s">
        <v>143</v>
      </c>
      <c r="F99" s="4" t="s">
        <v>98</v>
      </c>
      <c r="G99" s="15" t="s">
        <v>87</v>
      </c>
      <c r="H99" s="4" t="s">
        <v>98</v>
      </c>
      <c r="I99" s="4" t="s">
        <v>99</v>
      </c>
      <c r="J99" s="4" t="s">
        <v>123</v>
      </c>
      <c r="K99" s="4" t="s">
        <v>101</v>
      </c>
      <c r="L99" s="4" t="s">
        <v>102</v>
      </c>
      <c r="M99" s="4" t="s">
        <v>168</v>
      </c>
      <c r="N99" s="7" t="s">
        <v>150</v>
      </c>
      <c r="O99" s="4" t="s">
        <v>105</v>
      </c>
      <c r="P99" s="4" t="s">
        <v>125</v>
      </c>
      <c r="Q99" s="4" t="s">
        <v>102</v>
      </c>
      <c r="R99" s="6"/>
      <c r="S99" s="4">
        <v>4</v>
      </c>
      <c r="T99" s="4">
        <v>3</v>
      </c>
      <c r="U99" s="4">
        <v>3</v>
      </c>
      <c r="V99" s="4">
        <v>4</v>
      </c>
      <c r="W99" s="4">
        <v>4</v>
      </c>
      <c r="X99" s="4">
        <v>4</v>
      </c>
      <c r="Y99" s="4">
        <v>4</v>
      </c>
      <c r="Z99" s="4">
        <v>4</v>
      </c>
      <c r="AA99" s="4">
        <v>3</v>
      </c>
      <c r="AB99" s="4">
        <v>3</v>
      </c>
      <c r="AC99" s="4">
        <v>5</v>
      </c>
      <c r="AD99" s="4">
        <v>3</v>
      </c>
      <c r="AE99" s="4">
        <v>3</v>
      </c>
      <c r="AF99" s="4">
        <v>3</v>
      </c>
      <c r="AG99" s="4">
        <v>3</v>
      </c>
      <c r="AH99" s="4">
        <v>1</v>
      </c>
      <c r="AI99" s="4">
        <v>2</v>
      </c>
      <c r="AJ99" s="4">
        <v>1</v>
      </c>
      <c r="AK99" s="4">
        <v>1</v>
      </c>
      <c r="AL99" s="4" t="s">
        <v>226</v>
      </c>
      <c r="AM99" s="4" t="s">
        <v>228</v>
      </c>
    </row>
    <row r="100" spans="1:39" ht="30.6" x14ac:dyDescent="0.3">
      <c r="A100" s="3">
        <f t="shared" si="2"/>
        <v>99</v>
      </c>
      <c r="B100" s="4" t="s">
        <v>121</v>
      </c>
      <c r="C100" s="4" t="s">
        <v>133</v>
      </c>
      <c r="D100" s="4" t="s">
        <v>95</v>
      </c>
      <c r="E100" s="4" t="s">
        <v>271</v>
      </c>
      <c r="F100" s="4" t="s">
        <v>98</v>
      </c>
      <c r="G100" s="15" t="s">
        <v>88</v>
      </c>
      <c r="H100" s="4" t="s">
        <v>98</v>
      </c>
      <c r="I100" s="4" t="s">
        <v>99</v>
      </c>
      <c r="J100" s="4" t="s">
        <v>123</v>
      </c>
      <c r="K100" s="4" t="s">
        <v>124</v>
      </c>
      <c r="L100" s="4" t="s">
        <v>102</v>
      </c>
      <c r="M100" s="4" t="s">
        <v>168</v>
      </c>
      <c r="N100" s="7" t="s">
        <v>136</v>
      </c>
      <c r="O100" s="4" t="s">
        <v>105</v>
      </c>
      <c r="P100" s="4" t="s">
        <v>166</v>
      </c>
      <c r="Q100" s="4" t="s">
        <v>102</v>
      </c>
      <c r="R100" s="6"/>
      <c r="S100" s="4">
        <v>5</v>
      </c>
      <c r="T100" s="4">
        <v>4</v>
      </c>
      <c r="U100" s="4">
        <v>4</v>
      </c>
      <c r="V100" s="4">
        <v>3</v>
      </c>
      <c r="W100" s="4">
        <v>3</v>
      </c>
      <c r="X100" s="4">
        <v>4</v>
      </c>
      <c r="Y100" s="4">
        <v>4</v>
      </c>
      <c r="Z100" s="4">
        <v>3</v>
      </c>
      <c r="AA100" s="4">
        <v>4</v>
      </c>
      <c r="AB100" s="4">
        <v>4</v>
      </c>
      <c r="AC100" s="4">
        <v>3</v>
      </c>
      <c r="AD100" s="4">
        <v>3</v>
      </c>
      <c r="AE100" s="4">
        <v>3</v>
      </c>
      <c r="AF100" s="4">
        <v>3</v>
      </c>
      <c r="AG100" s="4">
        <v>3</v>
      </c>
      <c r="AH100" s="4">
        <v>2</v>
      </c>
      <c r="AI100" s="4">
        <v>4</v>
      </c>
      <c r="AJ100" s="4">
        <v>2</v>
      </c>
      <c r="AK100" s="4">
        <v>2</v>
      </c>
      <c r="AL100" s="4" t="s">
        <v>246</v>
      </c>
      <c r="AM100" s="4" t="s">
        <v>252</v>
      </c>
    </row>
    <row r="101" spans="1:39" ht="30.6" x14ac:dyDescent="0.3">
      <c r="A101" s="3">
        <f t="shared" si="2"/>
        <v>100</v>
      </c>
      <c r="B101" s="4" t="s">
        <v>109</v>
      </c>
      <c r="C101" s="4" t="s">
        <v>266</v>
      </c>
      <c r="D101" s="4" t="s">
        <v>111</v>
      </c>
      <c r="E101" s="4" t="s">
        <v>212</v>
      </c>
      <c r="F101" s="4" t="s">
        <v>98</v>
      </c>
      <c r="G101" s="15" t="s">
        <v>88</v>
      </c>
      <c r="H101" s="4" t="s">
        <v>98</v>
      </c>
      <c r="I101" s="4" t="s">
        <v>99</v>
      </c>
      <c r="J101" s="4" t="s">
        <v>123</v>
      </c>
      <c r="K101" s="4" t="s">
        <v>124</v>
      </c>
      <c r="L101" s="4" t="s">
        <v>102</v>
      </c>
      <c r="M101" s="4" t="s">
        <v>168</v>
      </c>
      <c r="N101" s="7" t="s">
        <v>136</v>
      </c>
      <c r="O101" s="4" t="s">
        <v>105</v>
      </c>
      <c r="P101" s="4" t="s">
        <v>125</v>
      </c>
      <c r="Q101" s="4" t="s">
        <v>102</v>
      </c>
      <c r="R101" s="6"/>
      <c r="S101" s="4">
        <v>3</v>
      </c>
      <c r="T101" s="4">
        <v>3</v>
      </c>
      <c r="U101" s="4">
        <v>3</v>
      </c>
      <c r="V101" s="4">
        <v>3</v>
      </c>
      <c r="W101" s="4">
        <v>3</v>
      </c>
      <c r="X101" s="4">
        <v>4</v>
      </c>
      <c r="Y101" s="4">
        <v>4</v>
      </c>
      <c r="Z101" s="4">
        <v>4</v>
      </c>
      <c r="AA101" s="4">
        <v>4</v>
      </c>
      <c r="AB101" s="4">
        <v>3</v>
      </c>
      <c r="AC101" s="4">
        <v>3</v>
      </c>
      <c r="AD101" s="4">
        <v>3</v>
      </c>
      <c r="AE101" s="4">
        <v>4</v>
      </c>
      <c r="AF101" s="4">
        <v>4</v>
      </c>
      <c r="AG101" s="4">
        <v>4</v>
      </c>
      <c r="AH101" s="4">
        <v>2</v>
      </c>
      <c r="AI101" s="4">
        <v>4</v>
      </c>
      <c r="AJ101" s="4">
        <v>3</v>
      </c>
      <c r="AK101" s="4">
        <v>2</v>
      </c>
      <c r="AL101" s="4" t="s">
        <v>246</v>
      </c>
      <c r="AM101" s="4" t="s">
        <v>252</v>
      </c>
    </row>
    <row r="102" spans="1:39" ht="30.6" x14ac:dyDescent="0.3">
      <c r="A102" s="3">
        <f t="shared" si="2"/>
        <v>101</v>
      </c>
      <c r="B102" s="4" t="s">
        <v>109</v>
      </c>
      <c r="C102" s="4" t="s">
        <v>266</v>
      </c>
      <c r="D102" s="4" t="s">
        <v>111</v>
      </c>
      <c r="E102" s="4" t="s">
        <v>212</v>
      </c>
      <c r="F102" s="4" t="s">
        <v>98</v>
      </c>
      <c r="G102" s="15" t="s">
        <v>89</v>
      </c>
      <c r="H102" s="4" t="s">
        <v>98</v>
      </c>
      <c r="I102" s="4" t="s">
        <v>114</v>
      </c>
      <c r="J102" s="4" t="s">
        <v>100</v>
      </c>
      <c r="K102" s="4" t="s">
        <v>124</v>
      </c>
      <c r="L102" s="4" t="s">
        <v>102</v>
      </c>
      <c r="M102" s="4" t="s">
        <v>149</v>
      </c>
      <c r="N102" s="7" t="s">
        <v>136</v>
      </c>
      <c r="O102" s="4" t="s">
        <v>105</v>
      </c>
      <c r="P102" s="4" t="s">
        <v>106</v>
      </c>
      <c r="Q102" s="4" t="s">
        <v>102</v>
      </c>
      <c r="R102" s="6"/>
      <c r="S102" s="4">
        <v>5</v>
      </c>
      <c r="T102" s="4">
        <v>5</v>
      </c>
      <c r="U102" s="4">
        <v>5</v>
      </c>
      <c r="V102" s="4">
        <v>4</v>
      </c>
      <c r="W102" s="4">
        <v>3</v>
      </c>
      <c r="X102" s="4">
        <v>4</v>
      </c>
      <c r="Y102" s="4">
        <v>4</v>
      </c>
      <c r="Z102" s="4">
        <v>4</v>
      </c>
      <c r="AA102" s="4">
        <v>4</v>
      </c>
      <c r="AB102" s="4">
        <v>4</v>
      </c>
      <c r="AC102" s="4">
        <v>3</v>
      </c>
      <c r="AD102" s="4">
        <v>3</v>
      </c>
      <c r="AE102" s="4">
        <v>4</v>
      </c>
      <c r="AF102" s="4">
        <v>3</v>
      </c>
      <c r="AG102" s="4">
        <v>4</v>
      </c>
      <c r="AH102" s="4">
        <v>3</v>
      </c>
      <c r="AI102" s="4">
        <v>2</v>
      </c>
      <c r="AJ102" s="4">
        <v>2</v>
      </c>
      <c r="AK102" s="4">
        <v>2</v>
      </c>
      <c r="AL102" s="4" t="s">
        <v>199</v>
      </c>
      <c r="AM102" s="4" t="s">
        <v>275</v>
      </c>
    </row>
    <row r="103" spans="1:39" ht="30.6" x14ac:dyDescent="0.3">
      <c r="A103" s="3">
        <f>A102+1</f>
        <v>102</v>
      </c>
      <c r="B103" s="4" t="s">
        <v>129</v>
      </c>
      <c r="C103" s="4" t="s">
        <v>266</v>
      </c>
      <c r="D103" s="4" t="s">
        <v>111</v>
      </c>
      <c r="E103" s="4" t="s">
        <v>212</v>
      </c>
      <c r="F103" s="4" t="s">
        <v>98</v>
      </c>
      <c r="G103" s="15" t="s">
        <v>89</v>
      </c>
      <c r="H103" s="4" t="s">
        <v>98</v>
      </c>
      <c r="I103" s="4" t="s">
        <v>114</v>
      </c>
      <c r="J103" s="4" t="s">
        <v>100</v>
      </c>
      <c r="K103" s="4" t="s">
        <v>124</v>
      </c>
      <c r="L103" s="4" t="s">
        <v>102</v>
      </c>
      <c r="M103" s="4" t="s">
        <v>149</v>
      </c>
      <c r="N103" s="7" t="s">
        <v>136</v>
      </c>
      <c r="O103" s="4" t="s">
        <v>105</v>
      </c>
      <c r="P103" s="4" t="s">
        <v>106</v>
      </c>
      <c r="Q103" s="4" t="s">
        <v>102</v>
      </c>
      <c r="R103" s="6"/>
      <c r="S103" s="4">
        <v>4</v>
      </c>
      <c r="T103" s="4">
        <v>4</v>
      </c>
      <c r="U103" s="4">
        <v>4</v>
      </c>
      <c r="V103" s="4">
        <v>3</v>
      </c>
      <c r="W103" s="4">
        <v>3</v>
      </c>
      <c r="X103" s="4">
        <v>4</v>
      </c>
      <c r="Y103" s="4">
        <v>4</v>
      </c>
      <c r="Z103" s="4">
        <v>4</v>
      </c>
      <c r="AA103" s="4">
        <v>4</v>
      </c>
      <c r="AB103" s="4">
        <v>3</v>
      </c>
      <c r="AC103" s="4">
        <v>3</v>
      </c>
      <c r="AD103" s="4">
        <v>3</v>
      </c>
      <c r="AE103" s="4">
        <v>5</v>
      </c>
      <c r="AF103" s="4">
        <v>3</v>
      </c>
      <c r="AG103" s="4">
        <v>3</v>
      </c>
      <c r="AH103" s="4">
        <v>3</v>
      </c>
      <c r="AI103" s="4">
        <v>3</v>
      </c>
      <c r="AJ103" s="4">
        <v>3</v>
      </c>
      <c r="AK103" s="4">
        <v>3</v>
      </c>
      <c r="AL103" s="4" t="s">
        <v>199</v>
      </c>
      <c r="AM103" s="4" t="s">
        <v>275</v>
      </c>
    </row>
    <row r="104" spans="1:39" ht="39.6" x14ac:dyDescent="0.3">
      <c r="A104" s="3">
        <f t="shared" si="2"/>
        <v>103</v>
      </c>
      <c r="B104" s="4" t="s">
        <v>121</v>
      </c>
      <c r="C104" s="4" t="s">
        <v>133</v>
      </c>
      <c r="D104" s="4" t="s">
        <v>95</v>
      </c>
      <c r="E104" s="4" t="s">
        <v>212</v>
      </c>
      <c r="F104" s="9" t="s">
        <v>97</v>
      </c>
      <c r="G104" s="15" t="s">
        <v>90</v>
      </c>
      <c r="H104" s="9" t="s">
        <v>97</v>
      </c>
      <c r="I104" s="4" t="s">
        <v>114</v>
      </c>
      <c r="J104" s="4" t="s">
        <v>100</v>
      </c>
      <c r="K104" s="4" t="s">
        <v>274</v>
      </c>
      <c r="L104" s="4" t="s">
        <v>273</v>
      </c>
      <c r="M104" s="4" t="s">
        <v>149</v>
      </c>
      <c r="N104" s="7" t="s">
        <v>136</v>
      </c>
      <c r="O104" s="4" t="s">
        <v>105</v>
      </c>
      <c r="P104" s="4" t="s">
        <v>106</v>
      </c>
      <c r="Q104" s="4" t="s">
        <v>102</v>
      </c>
      <c r="R104" s="6"/>
      <c r="S104" s="4">
        <v>3</v>
      </c>
      <c r="T104" s="4">
        <v>3</v>
      </c>
      <c r="U104" s="4">
        <v>3</v>
      </c>
      <c r="V104" s="4">
        <v>3</v>
      </c>
      <c r="W104" s="4">
        <v>3</v>
      </c>
      <c r="X104" s="4">
        <v>3</v>
      </c>
      <c r="Y104" s="4">
        <v>4</v>
      </c>
      <c r="Z104" s="4">
        <v>4</v>
      </c>
      <c r="AA104" s="4">
        <v>4</v>
      </c>
      <c r="AB104" s="4">
        <v>3</v>
      </c>
      <c r="AC104" s="4">
        <v>3</v>
      </c>
      <c r="AD104" s="4">
        <v>3</v>
      </c>
      <c r="AE104" s="4">
        <v>5</v>
      </c>
      <c r="AF104" s="4">
        <v>3</v>
      </c>
      <c r="AG104" s="4">
        <v>3</v>
      </c>
      <c r="AH104" s="4">
        <v>3</v>
      </c>
      <c r="AI104" s="4">
        <v>4</v>
      </c>
      <c r="AJ104" s="4">
        <v>3</v>
      </c>
      <c r="AK104" s="4">
        <v>3</v>
      </c>
      <c r="AL104" s="4" t="s">
        <v>246</v>
      </c>
      <c r="AM104" s="4" t="s">
        <v>252</v>
      </c>
    </row>
    <row r="105" spans="1:39" ht="39.6" x14ac:dyDescent="0.3">
      <c r="A105" s="3">
        <f t="shared" si="2"/>
        <v>104</v>
      </c>
      <c r="B105" s="4" t="s">
        <v>109</v>
      </c>
      <c r="C105" s="4" t="s">
        <v>94</v>
      </c>
      <c r="D105" s="4" t="s">
        <v>111</v>
      </c>
      <c r="E105" s="4" t="s">
        <v>272</v>
      </c>
      <c r="F105" s="4" t="s">
        <v>97</v>
      </c>
      <c r="G105" s="15" t="s">
        <v>90</v>
      </c>
      <c r="H105" s="9" t="s">
        <v>97</v>
      </c>
      <c r="I105" s="4" t="s">
        <v>114</v>
      </c>
      <c r="J105" s="4" t="s">
        <v>100</v>
      </c>
      <c r="K105" s="4" t="s">
        <v>274</v>
      </c>
      <c r="L105" s="4" t="s">
        <v>273</v>
      </c>
      <c r="M105" s="4" t="s">
        <v>149</v>
      </c>
      <c r="N105" s="7" t="s">
        <v>136</v>
      </c>
      <c r="O105" s="4" t="s">
        <v>105</v>
      </c>
      <c r="P105" s="4" t="s">
        <v>106</v>
      </c>
      <c r="Q105" s="4" t="s">
        <v>102</v>
      </c>
      <c r="R105" s="6"/>
      <c r="S105" s="4">
        <v>4</v>
      </c>
      <c r="T105" s="4">
        <v>3</v>
      </c>
      <c r="U105" s="4">
        <v>3</v>
      </c>
      <c r="V105" s="4">
        <v>3</v>
      </c>
      <c r="W105" s="4">
        <v>3</v>
      </c>
      <c r="X105" s="4">
        <v>5</v>
      </c>
      <c r="Y105" s="4">
        <v>3</v>
      </c>
      <c r="Z105" s="4">
        <v>5</v>
      </c>
      <c r="AA105" s="4">
        <v>4</v>
      </c>
      <c r="AB105" s="4">
        <v>3</v>
      </c>
      <c r="AC105" s="4">
        <v>5</v>
      </c>
      <c r="AD105" s="4">
        <v>4</v>
      </c>
      <c r="AE105" s="4">
        <v>4</v>
      </c>
      <c r="AF105" s="4">
        <v>3</v>
      </c>
      <c r="AG105" s="4">
        <v>4</v>
      </c>
      <c r="AH105" s="4">
        <v>2</v>
      </c>
      <c r="AI105" s="4">
        <v>3</v>
      </c>
      <c r="AJ105" s="4">
        <v>2</v>
      </c>
      <c r="AK105" s="4">
        <v>2</v>
      </c>
      <c r="AL105" s="4" t="s">
        <v>246</v>
      </c>
      <c r="AM105" s="4" t="s">
        <v>252</v>
      </c>
    </row>
    <row r="106" spans="1:39" ht="30.6" x14ac:dyDescent="0.3">
      <c r="A106" s="3">
        <f t="shared" si="2"/>
        <v>105</v>
      </c>
      <c r="B106" s="4" t="s">
        <v>121</v>
      </c>
      <c r="C106" s="4" t="s">
        <v>110</v>
      </c>
      <c r="D106" s="4" t="s">
        <v>111</v>
      </c>
      <c r="E106" s="4" t="s">
        <v>148</v>
      </c>
      <c r="F106" s="4" t="s">
        <v>98</v>
      </c>
      <c r="G106" s="15" t="s">
        <v>91</v>
      </c>
      <c r="H106" s="4" t="s">
        <v>98</v>
      </c>
      <c r="I106" s="4" t="s">
        <v>99</v>
      </c>
      <c r="J106" s="4" t="s">
        <v>100</v>
      </c>
      <c r="K106" s="4" t="s">
        <v>201</v>
      </c>
      <c r="L106" s="4" t="s">
        <v>102</v>
      </c>
      <c r="M106" s="4" t="s">
        <v>168</v>
      </c>
      <c r="N106" s="7" t="s">
        <v>136</v>
      </c>
      <c r="O106" s="4" t="s">
        <v>105</v>
      </c>
      <c r="P106" s="4" t="s">
        <v>106</v>
      </c>
      <c r="Q106" s="4" t="s">
        <v>102</v>
      </c>
      <c r="R106" s="6"/>
      <c r="S106" s="4">
        <v>4</v>
      </c>
      <c r="T106" s="4">
        <v>3</v>
      </c>
      <c r="U106" s="4">
        <v>3</v>
      </c>
      <c r="V106" s="4">
        <v>4</v>
      </c>
      <c r="W106" s="4">
        <v>4</v>
      </c>
      <c r="X106" s="4">
        <v>4</v>
      </c>
      <c r="Y106" s="4">
        <v>4</v>
      </c>
      <c r="Z106" s="4">
        <v>4</v>
      </c>
      <c r="AA106" s="4">
        <v>3</v>
      </c>
      <c r="AB106" s="4">
        <v>3</v>
      </c>
      <c r="AC106" s="4">
        <v>5</v>
      </c>
      <c r="AD106" s="4">
        <v>3</v>
      </c>
      <c r="AE106" s="4">
        <v>3</v>
      </c>
      <c r="AF106" s="4">
        <v>3</v>
      </c>
      <c r="AG106" s="4">
        <v>3</v>
      </c>
      <c r="AH106" s="4">
        <v>1</v>
      </c>
      <c r="AI106" s="4">
        <v>2</v>
      </c>
      <c r="AJ106" s="4">
        <v>1</v>
      </c>
      <c r="AK106" s="4">
        <v>1</v>
      </c>
      <c r="AL106" s="4" t="s">
        <v>226</v>
      </c>
      <c r="AM106" s="4" t="s">
        <v>228</v>
      </c>
    </row>
    <row r="107" spans="1:39" ht="30.6" x14ac:dyDescent="0.3">
      <c r="A107" s="3">
        <f t="shared" si="2"/>
        <v>106</v>
      </c>
      <c r="B107" s="4" t="s">
        <v>109</v>
      </c>
      <c r="C107" s="4" t="s">
        <v>110</v>
      </c>
      <c r="D107" s="4" t="s">
        <v>111</v>
      </c>
      <c r="E107" s="4" t="s">
        <v>212</v>
      </c>
      <c r="F107" s="4" t="s">
        <v>98</v>
      </c>
      <c r="G107" s="15" t="s">
        <v>91</v>
      </c>
      <c r="H107" s="4" t="s">
        <v>98</v>
      </c>
      <c r="I107" s="4" t="s">
        <v>99</v>
      </c>
      <c r="J107" s="4" t="s">
        <v>100</v>
      </c>
      <c r="K107" s="4" t="s">
        <v>201</v>
      </c>
      <c r="L107" s="4" t="s">
        <v>102</v>
      </c>
      <c r="M107" s="4" t="s">
        <v>168</v>
      </c>
      <c r="N107" s="7" t="s">
        <v>136</v>
      </c>
      <c r="O107" s="4" t="s">
        <v>105</v>
      </c>
      <c r="P107" s="4" t="s">
        <v>106</v>
      </c>
      <c r="Q107" s="4" t="s">
        <v>102</v>
      </c>
      <c r="R107" s="6"/>
      <c r="S107" s="4">
        <v>5</v>
      </c>
      <c r="T107" s="4">
        <v>4</v>
      </c>
      <c r="U107" s="4">
        <v>4</v>
      </c>
      <c r="V107" s="4">
        <v>3</v>
      </c>
      <c r="W107" s="4">
        <v>3</v>
      </c>
      <c r="X107" s="4">
        <v>4</v>
      </c>
      <c r="Y107" s="4">
        <v>4</v>
      </c>
      <c r="Z107" s="4">
        <v>3</v>
      </c>
      <c r="AA107" s="4">
        <v>4</v>
      </c>
      <c r="AB107" s="4">
        <v>4</v>
      </c>
      <c r="AC107" s="4">
        <v>3</v>
      </c>
      <c r="AD107" s="4">
        <v>3</v>
      </c>
      <c r="AE107" s="4">
        <v>3</v>
      </c>
      <c r="AF107" s="4">
        <v>3</v>
      </c>
      <c r="AG107" s="4">
        <v>3</v>
      </c>
      <c r="AH107" s="4">
        <v>2</v>
      </c>
      <c r="AI107" s="4">
        <v>4</v>
      </c>
      <c r="AJ107" s="4">
        <v>2</v>
      </c>
      <c r="AK107" s="4">
        <v>2</v>
      </c>
      <c r="AL107" s="4" t="s">
        <v>226</v>
      </c>
      <c r="AM107" s="4" t="s">
        <v>228</v>
      </c>
    </row>
    <row r="108" spans="1:39" ht="40.799999999999997" x14ac:dyDescent="0.3">
      <c r="A108" s="3">
        <f t="shared" si="2"/>
        <v>107</v>
      </c>
      <c r="B108" s="4" t="s">
        <v>121</v>
      </c>
      <c r="C108" s="4" t="s">
        <v>110</v>
      </c>
      <c r="D108" s="4" t="s">
        <v>95</v>
      </c>
      <c r="E108" s="4" t="s">
        <v>148</v>
      </c>
      <c r="F108" s="4" t="s">
        <v>98</v>
      </c>
      <c r="G108" s="15" t="s">
        <v>92</v>
      </c>
      <c r="H108" s="4" t="s">
        <v>98</v>
      </c>
      <c r="I108" s="4" t="s">
        <v>99</v>
      </c>
      <c r="J108" s="4" t="s">
        <v>100</v>
      </c>
      <c r="K108" s="4" t="s">
        <v>177</v>
      </c>
      <c r="L108" s="4" t="s">
        <v>102</v>
      </c>
      <c r="M108" s="4" t="s">
        <v>229</v>
      </c>
      <c r="N108" s="7" t="s">
        <v>136</v>
      </c>
      <c r="O108" s="4" t="s">
        <v>105</v>
      </c>
      <c r="P108" s="4" t="s">
        <v>166</v>
      </c>
      <c r="Q108" s="4" t="s">
        <v>102</v>
      </c>
      <c r="R108" s="6"/>
      <c r="S108" s="4">
        <v>4</v>
      </c>
      <c r="T108" s="4">
        <v>3</v>
      </c>
      <c r="U108" s="4">
        <v>4</v>
      </c>
      <c r="V108" s="4">
        <v>3</v>
      </c>
      <c r="W108" s="4">
        <v>3</v>
      </c>
      <c r="X108" s="4">
        <v>3</v>
      </c>
      <c r="Y108" s="4">
        <v>4</v>
      </c>
      <c r="Z108" s="4">
        <v>4</v>
      </c>
      <c r="AA108" s="4">
        <v>4</v>
      </c>
      <c r="AB108" s="4">
        <v>3</v>
      </c>
      <c r="AC108" s="4">
        <v>4</v>
      </c>
      <c r="AD108" s="4">
        <v>3</v>
      </c>
      <c r="AE108" s="4">
        <v>4</v>
      </c>
      <c r="AF108" s="4">
        <v>4</v>
      </c>
      <c r="AG108" s="4">
        <v>4</v>
      </c>
      <c r="AH108" s="4">
        <v>3</v>
      </c>
      <c r="AI108" s="4">
        <v>2</v>
      </c>
      <c r="AJ108" s="4">
        <v>2</v>
      </c>
      <c r="AK108" s="4">
        <v>2</v>
      </c>
      <c r="AL108" s="4" t="s">
        <v>226</v>
      </c>
      <c r="AM108" s="4" t="s">
        <v>227</v>
      </c>
    </row>
    <row r="109" spans="1:39" ht="30.6" x14ac:dyDescent="0.3">
      <c r="A109" s="3">
        <f>A108+1</f>
        <v>108</v>
      </c>
      <c r="B109" s="4" t="s">
        <v>129</v>
      </c>
      <c r="C109" s="4" t="s">
        <v>110</v>
      </c>
      <c r="D109" s="4" t="s">
        <v>111</v>
      </c>
      <c r="E109" s="4" t="s">
        <v>160</v>
      </c>
      <c r="F109" s="4" t="s">
        <v>98</v>
      </c>
      <c r="G109" s="15" t="s">
        <v>92</v>
      </c>
      <c r="H109" s="4" t="s">
        <v>98</v>
      </c>
      <c r="I109" s="4" t="s">
        <v>99</v>
      </c>
      <c r="J109" s="4" t="s">
        <v>100</v>
      </c>
      <c r="K109" s="4" t="s">
        <v>177</v>
      </c>
      <c r="L109" s="4" t="s">
        <v>102</v>
      </c>
      <c r="M109" s="4" t="s">
        <v>229</v>
      </c>
      <c r="N109" s="7" t="s">
        <v>136</v>
      </c>
      <c r="O109" s="4" t="s">
        <v>105</v>
      </c>
      <c r="P109" s="4" t="s">
        <v>166</v>
      </c>
      <c r="Q109" s="4" t="s">
        <v>102</v>
      </c>
      <c r="R109" s="6"/>
      <c r="S109" s="4">
        <v>4</v>
      </c>
      <c r="T109" s="4">
        <v>4</v>
      </c>
      <c r="U109" s="4">
        <v>4</v>
      </c>
      <c r="V109" s="4">
        <v>4</v>
      </c>
      <c r="W109" s="4">
        <v>4</v>
      </c>
      <c r="X109" s="4">
        <v>4</v>
      </c>
      <c r="Y109" s="4">
        <v>4</v>
      </c>
      <c r="Z109" s="4">
        <v>4</v>
      </c>
      <c r="AA109" s="4">
        <v>4</v>
      </c>
      <c r="AB109" s="4">
        <v>3</v>
      </c>
      <c r="AC109" s="4">
        <v>4</v>
      </c>
      <c r="AD109" s="4">
        <v>4</v>
      </c>
      <c r="AE109" s="4">
        <v>4</v>
      </c>
      <c r="AF109" s="4">
        <v>4</v>
      </c>
      <c r="AG109" s="4">
        <v>4</v>
      </c>
      <c r="AH109" s="4">
        <v>3</v>
      </c>
      <c r="AI109" s="4">
        <v>3</v>
      </c>
      <c r="AJ109" s="4">
        <v>2</v>
      </c>
      <c r="AK109" s="4">
        <v>2</v>
      </c>
      <c r="AL109" s="4" t="s">
        <v>226</v>
      </c>
      <c r="AM109" s="4" t="s">
        <v>228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59DD8-8EE1-4E67-A709-D32CCBD5C8AB}">
  <dimension ref="A1:AN55"/>
  <sheetViews>
    <sheetView topLeftCell="A49" workbookViewId="0">
      <selection activeCell="T62" sqref="T62"/>
    </sheetView>
  </sheetViews>
  <sheetFormatPr defaultRowHeight="10.199999999999999" outlineLevelCol="1" x14ac:dyDescent="0.3"/>
  <cols>
    <col min="1" max="1" width="10.77734375" style="5" customWidth="1"/>
    <col min="2" max="6" width="10.77734375" style="5" hidden="1" customWidth="1" outlineLevel="1"/>
    <col min="7" max="7" width="23.88671875" style="5" customWidth="1" collapsed="1"/>
    <col min="8" max="18" width="10.77734375" style="5" hidden="1" customWidth="1" outlineLevel="1"/>
    <col min="19" max="19" width="5.77734375" style="5" customWidth="1" collapsed="1"/>
    <col min="20" max="37" width="5.77734375" style="5" customWidth="1"/>
    <col min="38" max="39" width="10.77734375" style="5" hidden="1" customWidth="1" outlineLevel="1"/>
    <col min="40" max="40" width="8.88671875" style="5" collapsed="1"/>
    <col min="41" max="16384" width="8.88671875" style="5"/>
  </cols>
  <sheetData>
    <row r="1" spans="1:39" s="2" customFormat="1" ht="40.799999999999997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31</v>
      </c>
      <c r="G1" s="1" t="s">
        <v>30</v>
      </c>
      <c r="H1" s="1" t="s">
        <v>32</v>
      </c>
      <c r="I1" s="1" t="s">
        <v>33</v>
      </c>
      <c r="J1" s="1" t="s">
        <v>5</v>
      </c>
      <c r="K1" s="1" t="s">
        <v>37</v>
      </c>
      <c r="L1" s="1" t="s">
        <v>34</v>
      </c>
      <c r="M1" s="1" t="s">
        <v>38</v>
      </c>
      <c r="N1" s="1" t="s">
        <v>35</v>
      </c>
      <c r="O1" s="1" t="s">
        <v>6</v>
      </c>
      <c r="P1" s="1" t="s">
        <v>29</v>
      </c>
      <c r="Q1" s="1" t="s">
        <v>36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8" t="s">
        <v>23</v>
      </c>
      <c r="AI1" s="8" t="s">
        <v>24</v>
      </c>
      <c r="AJ1" s="8" t="s">
        <v>25</v>
      </c>
      <c r="AK1" s="8" t="s">
        <v>26</v>
      </c>
      <c r="AL1" s="1" t="s">
        <v>28</v>
      </c>
      <c r="AM1" s="1" t="s">
        <v>27</v>
      </c>
    </row>
    <row r="2" spans="1:39" ht="39.6" x14ac:dyDescent="0.3">
      <c r="A2" s="3">
        <v>1</v>
      </c>
      <c r="B2" s="4"/>
      <c r="C2" s="4"/>
      <c r="D2" s="4"/>
      <c r="E2" s="4"/>
      <c r="F2" s="4"/>
      <c r="G2" s="14" t="s">
        <v>39</v>
      </c>
      <c r="H2" s="4"/>
      <c r="I2" s="4"/>
      <c r="J2" s="4"/>
      <c r="K2" s="4"/>
      <c r="L2" s="4"/>
      <c r="M2" s="4"/>
      <c r="N2" s="11"/>
      <c r="O2" s="4"/>
      <c r="P2" s="4"/>
      <c r="Q2" s="4"/>
      <c r="R2" s="4"/>
      <c r="S2" s="4">
        <f>AVERAGE('Raw Data'!S2:S3)</f>
        <v>4.5</v>
      </c>
      <c r="T2" s="4">
        <f>AVERAGE('Raw Data'!T2:T3)</f>
        <v>5</v>
      </c>
      <c r="U2" s="4">
        <f>AVERAGE('Raw Data'!U2:U3)</f>
        <v>4</v>
      </c>
      <c r="V2" s="4">
        <f>AVERAGE('Raw Data'!V2:V3)</f>
        <v>4</v>
      </c>
      <c r="W2" s="4">
        <f>AVERAGE('Raw Data'!W2:W3)</f>
        <v>4</v>
      </c>
      <c r="X2" s="4">
        <f>AVERAGE('Raw Data'!X2:X3)</f>
        <v>4</v>
      </c>
      <c r="Y2" s="4">
        <f>AVERAGE('Raw Data'!Y2:Y3)</f>
        <v>4.5</v>
      </c>
      <c r="Z2" s="4">
        <f>AVERAGE('Raw Data'!Z2:Z3)</f>
        <v>4.5</v>
      </c>
      <c r="AA2" s="4">
        <f>AVERAGE('Raw Data'!AA2:AA3)</f>
        <v>4.5</v>
      </c>
      <c r="AB2" s="4">
        <f>AVERAGE('Raw Data'!AB2:AB3)</f>
        <v>3</v>
      </c>
      <c r="AC2" s="4">
        <f>AVERAGE('Raw Data'!AC2:AC3)</f>
        <v>3.5</v>
      </c>
      <c r="AD2" s="4">
        <f>AVERAGE('Raw Data'!AD2:AD3)</f>
        <v>3.5</v>
      </c>
      <c r="AE2" s="4">
        <f>AVERAGE('Raw Data'!AE2:AE3)</f>
        <v>4</v>
      </c>
      <c r="AF2" s="4">
        <f>AVERAGE('Raw Data'!AF2:AF3)</f>
        <v>3</v>
      </c>
      <c r="AG2" s="4">
        <f>AVERAGE('Raw Data'!AG2:AG3)</f>
        <v>3.5</v>
      </c>
      <c r="AH2" s="4">
        <f>AVERAGE('Raw Data'!AH2:AH3)</f>
        <v>2.5</v>
      </c>
      <c r="AI2" s="4">
        <f>AVERAGE('Raw Data'!AI2:AI3)</f>
        <v>3</v>
      </c>
      <c r="AJ2" s="4">
        <f>AVERAGE('Raw Data'!AJ2:AJ3)</f>
        <v>2</v>
      </c>
      <c r="AK2" s="4">
        <f>AVERAGE('Raw Data'!AK2:AK3)</f>
        <v>2.5</v>
      </c>
      <c r="AL2" s="4"/>
      <c r="AM2" s="4"/>
    </row>
    <row r="3" spans="1:39" ht="26.4" x14ac:dyDescent="0.3">
      <c r="A3" s="3">
        <f>A2+1</f>
        <v>2</v>
      </c>
      <c r="B3" s="4"/>
      <c r="C3" s="4"/>
      <c r="D3" s="4"/>
      <c r="E3" s="4"/>
      <c r="F3" s="4"/>
      <c r="G3" s="14" t="s">
        <v>40</v>
      </c>
      <c r="H3" s="4"/>
      <c r="I3" s="4"/>
      <c r="J3" s="4"/>
      <c r="K3" s="4"/>
      <c r="L3" s="4"/>
      <c r="M3" s="4"/>
      <c r="N3" s="11"/>
      <c r="O3" s="4"/>
      <c r="P3" s="4"/>
      <c r="Q3" s="4"/>
      <c r="R3" s="4"/>
      <c r="S3" s="4">
        <f>AVERAGE('Raw Data'!S4:S5)</f>
        <v>5</v>
      </c>
      <c r="T3" s="4">
        <f>AVERAGE('Raw Data'!T4:T5)</f>
        <v>4.5</v>
      </c>
      <c r="U3" s="4">
        <f>AVERAGE('Raw Data'!U4:U5)</f>
        <v>5</v>
      </c>
      <c r="V3" s="4">
        <f>AVERAGE('Raw Data'!V4:V5)</f>
        <v>3.5</v>
      </c>
      <c r="W3" s="4">
        <f>AVERAGE('Raw Data'!W4:W5)</f>
        <v>3</v>
      </c>
      <c r="X3" s="4">
        <f>AVERAGE('Raw Data'!X4:X5)</f>
        <v>4.5</v>
      </c>
      <c r="Y3" s="4">
        <f>AVERAGE('Raw Data'!Y4:Y5)</f>
        <v>4</v>
      </c>
      <c r="Z3" s="4">
        <f>AVERAGE('Raw Data'!Z4:Z5)</f>
        <v>4.5</v>
      </c>
      <c r="AA3" s="4">
        <f>AVERAGE('Raw Data'!AA4:AA5)</f>
        <v>4</v>
      </c>
      <c r="AB3" s="4">
        <f>AVERAGE('Raw Data'!AB4:AB5)</f>
        <v>3.5</v>
      </c>
      <c r="AC3" s="4">
        <f>AVERAGE('Raw Data'!AC4:AC5)</f>
        <v>3</v>
      </c>
      <c r="AD3" s="4">
        <f>AVERAGE('Raw Data'!AD4:AD5)</f>
        <v>3</v>
      </c>
      <c r="AE3" s="4">
        <f>AVERAGE('Raw Data'!AE4:AE5)</f>
        <v>4</v>
      </c>
      <c r="AF3" s="4">
        <f>AVERAGE('Raw Data'!AF4:AF5)</f>
        <v>3.5</v>
      </c>
      <c r="AG3" s="4">
        <f>AVERAGE('Raw Data'!AG4:AG5)</f>
        <v>4</v>
      </c>
      <c r="AH3" s="4">
        <f>AVERAGE('Raw Data'!AH4:AH5)</f>
        <v>3</v>
      </c>
      <c r="AI3" s="4">
        <f>AVERAGE('Raw Data'!AI4:AI5)</f>
        <v>2.5</v>
      </c>
      <c r="AJ3" s="4">
        <f>AVERAGE('Raw Data'!AJ4:AJ5)</f>
        <v>2</v>
      </c>
      <c r="AK3" s="4">
        <f>AVERAGE('Raw Data'!AK4:AK5)</f>
        <v>2.5</v>
      </c>
      <c r="AL3" s="4"/>
      <c r="AM3" s="4"/>
    </row>
    <row r="4" spans="1:39" ht="26.4" x14ac:dyDescent="0.3">
      <c r="A4" s="3">
        <f>A3+1</f>
        <v>3</v>
      </c>
      <c r="B4" s="4"/>
      <c r="C4" s="4"/>
      <c r="D4" s="4"/>
      <c r="E4" s="4"/>
      <c r="F4" s="4"/>
      <c r="G4" s="14" t="s">
        <v>41</v>
      </c>
      <c r="H4" s="4"/>
      <c r="I4" s="12"/>
      <c r="J4" s="4"/>
      <c r="K4" s="4"/>
      <c r="L4" s="4"/>
      <c r="M4" s="4"/>
      <c r="N4" s="13"/>
      <c r="O4" s="4"/>
      <c r="P4" s="4"/>
      <c r="Q4" s="4"/>
      <c r="R4" s="4"/>
      <c r="S4" s="4">
        <f>AVERAGE('Raw Data'!S6:S7)</f>
        <v>3.5</v>
      </c>
      <c r="T4" s="4">
        <f>AVERAGE('Raw Data'!T6:T7)</f>
        <v>3.5</v>
      </c>
      <c r="U4" s="4">
        <f>AVERAGE('Raw Data'!U6:U7)</f>
        <v>3.5</v>
      </c>
      <c r="V4" s="4">
        <f>AVERAGE('Raw Data'!V6:V7)</f>
        <v>3</v>
      </c>
      <c r="W4" s="4">
        <f>AVERAGE('Raw Data'!W6:W7)</f>
        <v>3</v>
      </c>
      <c r="X4" s="4">
        <f>AVERAGE('Raw Data'!X6:X7)</f>
        <v>3.5</v>
      </c>
      <c r="Y4" s="4">
        <f>AVERAGE('Raw Data'!Y6:Y7)</f>
        <v>4</v>
      </c>
      <c r="Z4" s="4">
        <f>AVERAGE('Raw Data'!Z6:Z7)</f>
        <v>4</v>
      </c>
      <c r="AA4" s="4">
        <f>AVERAGE('Raw Data'!AA6:AA7)</f>
        <v>4</v>
      </c>
      <c r="AB4" s="4">
        <f>AVERAGE('Raw Data'!AB6:AB7)</f>
        <v>3</v>
      </c>
      <c r="AC4" s="4">
        <f>AVERAGE('Raw Data'!AC6:AC7)</f>
        <v>3</v>
      </c>
      <c r="AD4" s="4">
        <f>AVERAGE('Raw Data'!AD6:AD7)</f>
        <v>3</v>
      </c>
      <c r="AE4" s="4">
        <f>AVERAGE('Raw Data'!AE6:AE7)</f>
        <v>5</v>
      </c>
      <c r="AF4" s="4">
        <f>AVERAGE('Raw Data'!AF6:AF7)</f>
        <v>3</v>
      </c>
      <c r="AG4" s="4">
        <f>AVERAGE('Raw Data'!AG6:AG7)</f>
        <v>3</v>
      </c>
      <c r="AH4" s="4">
        <f>AVERAGE('Raw Data'!AH6:AH7)</f>
        <v>3</v>
      </c>
      <c r="AI4" s="4">
        <f>AVERAGE('Raw Data'!AI6:AI7)</f>
        <v>3.5</v>
      </c>
      <c r="AJ4" s="4">
        <f>AVERAGE('Raw Data'!AJ6:AJ7)</f>
        <v>3</v>
      </c>
      <c r="AK4" s="4">
        <f>AVERAGE('Raw Data'!AK6:AK7)</f>
        <v>3</v>
      </c>
      <c r="AL4" s="4"/>
      <c r="AM4" s="4"/>
    </row>
    <row r="5" spans="1:39" ht="26.4" x14ac:dyDescent="0.3">
      <c r="A5" s="3">
        <f t="shared" ref="A5:A30" si="0">A4+1</f>
        <v>4</v>
      </c>
      <c r="B5" s="4"/>
      <c r="C5" s="4"/>
      <c r="D5" s="4"/>
      <c r="E5" s="4"/>
      <c r="F5" s="4"/>
      <c r="G5" s="15" t="s">
        <v>42</v>
      </c>
      <c r="H5" s="4"/>
      <c r="I5" s="4"/>
      <c r="J5" s="4"/>
      <c r="K5" s="4"/>
      <c r="L5" s="4"/>
      <c r="M5" s="4"/>
      <c r="N5" s="13"/>
      <c r="O5" s="4"/>
      <c r="P5" s="4"/>
      <c r="Q5" s="4"/>
      <c r="R5" s="4"/>
      <c r="S5" s="4">
        <f>AVERAGE('Raw Data'!S8:S9)</f>
        <v>5</v>
      </c>
      <c r="T5" s="4">
        <f>AVERAGE('Raw Data'!T8:T9)</f>
        <v>4.5</v>
      </c>
      <c r="U5" s="4">
        <f>AVERAGE('Raw Data'!U8:U9)</f>
        <v>5</v>
      </c>
      <c r="V5" s="4">
        <f>AVERAGE('Raw Data'!V8:V9)</f>
        <v>3.5</v>
      </c>
      <c r="W5" s="4">
        <f>AVERAGE('Raw Data'!W8:W9)</f>
        <v>4.5</v>
      </c>
      <c r="X5" s="4">
        <f>AVERAGE('Raw Data'!X8:X9)</f>
        <v>5</v>
      </c>
      <c r="Y5" s="4">
        <f>AVERAGE('Raw Data'!Y8:Y9)</f>
        <v>5</v>
      </c>
      <c r="Z5" s="4">
        <f>AVERAGE('Raw Data'!Z8:Z9)</f>
        <v>5</v>
      </c>
      <c r="AA5" s="4">
        <f>AVERAGE('Raw Data'!AA8:AA9)</f>
        <v>5</v>
      </c>
      <c r="AB5" s="4">
        <f>AVERAGE('Raw Data'!AB8:AB9)</f>
        <v>4</v>
      </c>
      <c r="AC5" s="4">
        <f>AVERAGE('Raw Data'!AC8:AC9)</f>
        <v>3.5</v>
      </c>
      <c r="AD5" s="4">
        <f>AVERAGE('Raw Data'!AD8:AD9)</f>
        <v>4</v>
      </c>
      <c r="AE5" s="4">
        <f>AVERAGE('Raw Data'!AE8:AE9)</f>
        <v>4</v>
      </c>
      <c r="AF5" s="4">
        <f>AVERAGE('Raw Data'!AF8:AF9)</f>
        <v>4</v>
      </c>
      <c r="AG5" s="4">
        <f>AVERAGE('Raw Data'!AG8:AG9)</f>
        <v>4</v>
      </c>
      <c r="AH5" s="4">
        <f>AVERAGE('Raw Data'!AH8:AH9)</f>
        <v>1</v>
      </c>
      <c r="AI5" s="4">
        <f>AVERAGE('Raw Data'!AI8:AI9)</f>
        <v>2</v>
      </c>
      <c r="AJ5" s="4">
        <f>AVERAGE('Raw Data'!AJ8:AJ9)</f>
        <v>1.5</v>
      </c>
      <c r="AK5" s="4">
        <f>AVERAGE('Raw Data'!AK8:AK9)</f>
        <v>1</v>
      </c>
      <c r="AL5" s="4"/>
      <c r="AM5" s="4"/>
    </row>
    <row r="6" spans="1:39" ht="52.8" x14ac:dyDescent="0.3">
      <c r="A6" s="3">
        <f t="shared" si="0"/>
        <v>5</v>
      </c>
      <c r="B6" s="4"/>
      <c r="C6" s="4"/>
      <c r="D6" s="4"/>
      <c r="E6" s="4"/>
      <c r="F6" s="4"/>
      <c r="G6" s="15" t="s">
        <v>43</v>
      </c>
      <c r="H6" s="4"/>
      <c r="I6" s="12"/>
      <c r="J6" s="4"/>
      <c r="K6" s="4"/>
      <c r="L6" s="4"/>
      <c r="M6" s="4"/>
      <c r="N6" s="13"/>
      <c r="O6" s="4"/>
      <c r="P6" s="4"/>
      <c r="Q6" s="4"/>
      <c r="R6" s="4"/>
      <c r="S6" s="4">
        <f>AVERAGE('Raw Data'!S10:S11)</f>
        <v>4.5</v>
      </c>
      <c r="T6" s="4">
        <f>AVERAGE('Raw Data'!T10:T11)</f>
        <v>4</v>
      </c>
      <c r="U6" s="4">
        <f>AVERAGE('Raw Data'!U10:U11)</f>
        <v>4</v>
      </c>
      <c r="V6" s="4">
        <f>AVERAGE('Raw Data'!V10:V11)</f>
        <v>4</v>
      </c>
      <c r="W6" s="4">
        <f>AVERAGE('Raw Data'!W10:W11)</f>
        <v>4</v>
      </c>
      <c r="X6" s="4">
        <f>AVERAGE('Raw Data'!X10:X11)</f>
        <v>4</v>
      </c>
      <c r="Y6" s="4">
        <f>AVERAGE('Raw Data'!Y10:Y11)</f>
        <v>4.5</v>
      </c>
      <c r="Z6" s="4">
        <f>AVERAGE('Raw Data'!Z10:Z11)</f>
        <v>4.5</v>
      </c>
      <c r="AA6" s="4">
        <f>AVERAGE('Raw Data'!AA10:AA11)</f>
        <v>4.5</v>
      </c>
      <c r="AB6" s="4">
        <f>AVERAGE('Raw Data'!AB10:AB11)</f>
        <v>3.5</v>
      </c>
      <c r="AC6" s="4">
        <f>AVERAGE('Raw Data'!AC10:AC11)</f>
        <v>3.5</v>
      </c>
      <c r="AD6" s="4">
        <f>AVERAGE('Raw Data'!AD10:AD11)</f>
        <v>3.5</v>
      </c>
      <c r="AE6" s="4">
        <f>AVERAGE('Raw Data'!AE10:AE11)</f>
        <v>3.5</v>
      </c>
      <c r="AF6" s="4">
        <f>AVERAGE('Raw Data'!AF10:AF11)</f>
        <v>3</v>
      </c>
      <c r="AG6" s="4">
        <f>AVERAGE('Raw Data'!AG10:AG11)</f>
        <v>3.5</v>
      </c>
      <c r="AH6" s="4">
        <f>AVERAGE('Raw Data'!AH10:AH11)</f>
        <v>1.5</v>
      </c>
      <c r="AI6" s="4">
        <f>AVERAGE('Raw Data'!AI10:AI11)</f>
        <v>2</v>
      </c>
      <c r="AJ6" s="4">
        <f>AVERAGE('Raw Data'!AJ10:AJ11)</f>
        <v>1.5</v>
      </c>
      <c r="AK6" s="4">
        <f>AVERAGE('Raw Data'!AK10:AK11)</f>
        <v>1.5</v>
      </c>
      <c r="AL6" s="4"/>
      <c r="AM6" s="4"/>
    </row>
    <row r="7" spans="1:39" ht="26.4" x14ac:dyDescent="0.3">
      <c r="A7" s="3">
        <f t="shared" si="0"/>
        <v>6</v>
      </c>
      <c r="B7" s="4"/>
      <c r="C7" s="4"/>
      <c r="D7" s="4"/>
      <c r="E7" s="4"/>
      <c r="F7" s="4"/>
      <c r="G7" s="15" t="s">
        <v>44</v>
      </c>
      <c r="H7" s="4"/>
      <c r="I7" s="12"/>
      <c r="J7" s="4"/>
      <c r="K7" s="4"/>
      <c r="L7" s="4"/>
      <c r="M7" s="4"/>
      <c r="N7" s="13"/>
      <c r="O7" s="4"/>
      <c r="P7" s="4"/>
      <c r="Q7" s="4"/>
      <c r="R7" s="4"/>
      <c r="S7" s="4">
        <f>AVERAGE('Raw Data'!S12:S13)</f>
        <v>5</v>
      </c>
      <c r="T7" s="4">
        <f>AVERAGE('Raw Data'!T12:T13)</f>
        <v>4.5</v>
      </c>
      <c r="U7" s="4">
        <f>AVERAGE('Raw Data'!U12:U13)</f>
        <v>4.5</v>
      </c>
      <c r="V7" s="4">
        <f>AVERAGE('Raw Data'!V12:V13)</f>
        <v>3.5</v>
      </c>
      <c r="W7" s="4">
        <f>AVERAGE('Raw Data'!W12:W13)</f>
        <v>4</v>
      </c>
      <c r="X7" s="4">
        <f>AVERAGE('Raw Data'!X12:X13)</f>
        <v>4</v>
      </c>
      <c r="Y7" s="4">
        <f>AVERAGE('Raw Data'!Y12:Y13)</f>
        <v>3.5</v>
      </c>
      <c r="Z7" s="4">
        <f>AVERAGE('Raw Data'!Z12:Z13)</f>
        <v>4.5</v>
      </c>
      <c r="AA7" s="4">
        <f>AVERAGE('Raw Data'!AA12:AA13)</f>
        <v>4.5</v>
      </c>
      <c r="AB7" s="4">
        <f>AVERAGE('Raw Data'!AB12:AB13)</f>
        <v>4</v>
      </c>
      <c r="AC7" s="4">
        <f>AVERAGE('Raw Data'!AC12:AC13)</f>
        <v>3</v>
      </c>
      <c r="AD7" s="4">
        <f>AVERAGE('Raw Data'!AD12:AD13)</f>
        <v>3</v>
      </c>
      <c r="AE7" s="4">
        <f>AVERAGE('Raw Data'!AE12:AE13)</f>
        <v>3.5</v>
      </c>
      <c r="AF7" s="4">
        <f>AVERAGE('Raw Data'!AF12:AF13)</f>
        <v>3.5</v>
      </c>
      <c r="AG7" s="4">
        <f>AVERAGE('Raw Data'!AG12:AG13)</f>
        <v>3.5</v>
      </c>
      <c r="AH7" s="4">
        <f>AVERAGE('Raw Data'!AH12:AH13)</f>
        <v>2</v>
      </c>
      <c r="AI7" s="4">
        <f>AVERAGE('Raw Data'!AI12:AI13)</f>
        <v>3</v>
      </c>
      <c r="AJ7" s="4">
        <f>AVERAGE('Raw Data'!AJ12:AJ13)</f>
        <v>2</v>
      </c>
      <c r="AK7" s="4">
        <f>AVERAGE('Raw Data'!AK12:AK13)</f>
        <v>2</v>
      </c>
      <c r="AL7" s="4"/>
      <c r="AM7" s="4"/>
    </row>
    <row r="8" spans="1:39" ht="26.4" x14ac:dyDescent="0.3">
      <c r="A8" s="3">
        <f t="shared" si="0"/>
        <v>7</v>
      </c>
      <c r="B8" s="4"/>
      <c r="C8" s="4"/>
      <c r="D8" s="4"/>
      <c r="E8" s="4"/>
      <c r="F8" s="4"/>
      <c r="G8" s="15" t="s">
        <v>45</v>
      </c>
      <c r="H8" s="4"/>
      <c r="I8" s="4"/>
      <c r="J8" s="4"/>
      <c r="K8" s="4"/>
      <c r="L8" s="4"/>
      <c r="M8" s="4"/>
      <c r="N8" s="11"/>
      <c r="O8" s="4"/>
      <c r="P8" s="4"/>
      <c r="Q8" s="4"/>
      <c r="R8" s="4"/>
      <c r="S8" s="4">
        <f>AVERAGE('Raw Data'!S14:S15)</f>
        <v>4.5</v>
      </c>
      <c r="T8" s="4">
        <f>AVERAGE('Raw Data'!T14:T15)</f>
        <v>4</v>
      </c>
      <c r="U8" s="4">
        <f>AVERAGE('Raw Data'!U14:U15)</f>
        <v>4</v>
      </c>
      <c r="V8" s="4">
        <f>AVERAGE('Raw Data'!V14:V15)</f>
        <v>3</v>
      </c>
      <c r="W8" s="4">
        <f>AVERAGE('Raw Data'!W14:W15)</f>
        <v>3.5</v>
      </c>
      <c r="X8" s="4">
        <f>AVERAGE('Raw Data'!X14:X15)</f>
        <v>4.5</v>
      </c>
      <c r="Y8" s="4">
        <f>AVERAGE('Raw Data'!Y14:Y15)</f>
        <v>4</v>
      </c>
      <c r="Z8" s="4">
        <f>AVERAGE('Raw Data'!Z14:Z15)</f>
        <v>5</v>
      </c>
      <c r="AA8" s="4">
        <f>AVERAGE('Raw Data'!AA14:AA15)</f>
        <v>4</v>
      </c>
      <c r="AB8" s="4">
        <f>AVERAGE('Raw Data'!AB14:AB15)</f>
        <v>3</v>
      </c>
      <c r="AC8" s="4">
        <f>AVERAGE('Raw Data'!AC14:AC15)</f>
        <v>3.5</v>
      </c>
      <c r="AD8" s="4">
        <f>AVERAGE('Raw Data'!AD14:AD15)</f>
        <v>3</v>
      </c>
      <c r="AE8" s="4">
        <f>AVERAGE('Raw Data'!AE14:AE15)</f>
        <v>3.5</v>
      </c>
      <c r="AF8" s="4">
        <f>AVERAGE('Raw Data'!AF14:AF15)</f>
        <v>3.5</v>
      </c>
      <c r="AG8" s="4">
        <f>AVERAGE('Raw Data'!AG14:AG15)</f>
        <v>4</v>
      </c>
      <c r="AH8" s="4">
        <f>AVERAGE('Raw Data'!AH14:AH15)</f>
        <v>2.5</v>
      </c>
      <c r="AI8" s="4">
        <f>AVERAGE('Raw Data'!AI14:AI15)</f>
        <v>3</v>
      </c>
      <c r="AJ8" s="4">
        <f>AVERAGE('Raw Data'!AJ14:AJ15)</f>
        <v>2.5</v>
      </c>
      <c r="AK8" s="4">
        <f>AVERAGE('Raw Data'!AK14:AK15)</f>
        <v>2.5</v>
      </c>
      <c r="AL8" s="4"/>
      <c r="AM8" s="4"/>
    </row>
    <row r="9" spans="1:39" ht="26.4" x14ac:dyDescent="0.3">
      <c r="A9" s="3">
        <f t="shared" si="0"/>
        <v>8</v>
      </c>
      <c r="B9" s="4"/>
      <c r="C9" s="4"/>
      <c r="D9" s="4"/>
      <c r="E9" s="4"/>
      <c r="F9" s="4"/>
      <c r="G9" s="15" t="s">
        <v>46</v>
      </c>
      <c r="H9" s="4"/>
      <c r="I9" s="4"/>
      <c r="J9" s="4"/>
      <c r="K9" s="4"/>
      <c r="L9" s="4"/>
      <c r="M9" s="4"/>
      <c r="N9" s="11"/>
      <c r="O9" s="4"/>
      <c r="P9" s="4"/>
      <c r="Q9" s="4"/>
      <c r="R9" s="4"/>
      <c r="S9" s="4">
        <f>AVERAGE('Raw Data'!S16:S17)</f>
        <v>5</v>
      </c>
      <c r="T9" s="4">
        <f>AVERAGE('Raw Data'!T16:T17)</f>
        <v>4</v>
      </c>
      <c r="U9" s="4">
        <f>AVERAGE('Raw Data'!U16:U17)</f>
        <v>4.5</v>
      </c>
      <c r="V9" s="4">
        <f>AVERAGE('Raw Data'!V16:V17)</f>
        <v>3.5</v>
      </c>
      <c r="W9" s="4">
        <f>AVERAGE('Raw Data'!W16:W17)</f>
        <v>3.5</v>
      </c>
      <c r="X9" s="4">
        <f>AVERAGE('Raw Data'!X16:X17)</f>
        <v>3.5</v>
      </c>
      <c r="Y9" s="4">
        <f>AVERAGE('Raw Data'!Y16:Y17)</f>
        <v>4</v>
      </c>
      <c r="Z9" s="4">
        <f>AVERAGE('Raw Data'!Z16:Z17)</f>
        <v>4.5</v>
      </c>
      <c r="AA9" s="4">
        <f>AVERAGE('Raw Data'!AA16:AA17)</f>
        <v>4.5</v>
      </c>
      <c r="AB9" s="4">
        <f>AVERAGE('Raw Data'!AB16:AB17)</f>
        <v>3</v>
      </c>
      <c r="AC9" s="4">
        <f>AVERAGE('Raw Data'!AC16:AC17)</f>
        <v>3.5</v>
      </c>
      <c r="AD9" s="4">
        <f>AVERAGE('Raw Data'!AD16:AD17)</f>
        <v>3.5</v>
      </c>
      <c r="AE9" s="4">
        <f>AVERAGE('Raw Data'!AE16:AE17)</f>
        <v>4.5</v>
      </c>
      <c r="AF9" s="4">
        <f>AVERAGE('Raw Data'!AF16:AF17)</f>
        <v>3</v>
      </c>
      <c r="AG9" s="4">
        <f>AVERAGE('Raw Data'!AG16:AG17)</f>
        <v>3.5</v>
      </c>
      <c r="AH9" s="4">
        <f>AVERAGE('Raw Data'!AH16:AH17)</f>
        <v>3</v>
      </c>
      <c r="AI9" s="4">
        <f>AVERAGE('Raw Data'!AI16:AI17)</f>
        <v>3.5</v>
      </c>
      <c r="AJ9" s="4">
        <f>AVERAGE('Raw Data'!AJ16:AJ17)</f>
        <v>3</v>
      </c>
      <c r="AK9" s="4">
        <f>AVERAGE('Raw Data'!AK16:AK17)</f>
        <v>3</v>
      </c>
      <c r="AL9" s="4"/>
      <c r="AM9" s="4"/>
    </row>
    <row r="10" spans="1:39" ht="26.4" x14ac:dyDescent="0.3">
      <c r="A10" s="3">
        <f t="shared" si="0"/>
        <v>9</v>
      </c>
      <c r="B10" s="4"/>
      <c r="C10" s="4"/>
      <c r="D10" s="4"/>
      <c r="E10" s="4"/>
      <c r="F10" s="4"/>
      <c r="G10" s="15" t="s">
        <v>47</v>
      </c>
      <c r="H10" s="4"/>
      <c r="I10" s="4"/>
      <c r="J10" s="4"/>
      <c r="K10" s="4"/>
      <c r="L10" s="4"/>
      <c r="M10" s="4"/>
      <c r="N10" s="11"/>
      <c r="O10" s="4"/>
      <c r="P10" s="4"/>
      <c r="Q10" s="4"/>
      <c r="R10" s="4"/>
      <c r="S10" s="4">
        <f>AVERAGE('Raw Data'!S18:S19)</f>
        <v>5</v>
      </c>
      <c r="T10" s="4">
        <f>AVERAGE('Raw Data'!T18:T19)</f>
        <v>5</v>
      </c>
      <c r="U10" s="4">
        <f>AVERAGE('Raw Data'!U18:U19)</f>
        <v>5</v>
      </c>
      <c r="V10" s="4">
        <f>AVERAGE('Raw Data'!V18:V19)</f>
        <v>4</v>
      </c>
      <c r="W10" s="4">
        <f>AVERAGE('Raw Data'!W18:W19)</f>
        <v>4.5</v>
      </c>
      <c r="X10" s="4">
        <f>AVERAGE('Raw Data'!X18:X19)</f>
        <v>4</v>
      </c>
      <c r="Y10" s="4">
        <f>AVERAGE('Raw Data'!Y18:Y19)</f>
        <v>4.5</v>
      </c>
      <c r="Z10" s="4">
        <f>AVERAGE('Raw Data'!Z18:Z19)</f>
        <v>4.5</v>
      </c>
      <c r="AA10" s="4">
        <f>AVERAGE('Raw Data'!AA18:AA19)</f>
        <v>4.5</v>
      </c>
      <c r="AB10" s="4">
        <f>AVERAGE('Raw Data'!AB18:AB19)</f>
        <v>3</v>
      </c>
      <c r="AC10" s="4">
        <f>AVERAGE('Raw Data'!AC18:AC19)</f>
        <v>3.5</v>
      </c>
      <c r="AD10" s="4">
        <f>AVERAGE('Raw Data'!AD18:AD19)</f>
        <v>3.5</v>
      </c>
      <c r="AE10" s="4">
        <f>AVERAGE('Raw Data'!AE18:AE19)</f>
        <v>3.5</v>
      </c>
      <c r="AF10" s="4">
        <f>AVERAGE('Raw Data'!AF18:AF19)</f>
        <v>4</v>
      </c>
      <c r="AG10" s="4">
        <f>AVERAGE('Raw Data'!AG18:AG19)</f>
        <v>4</v>
      </c>
      <c r="AH10" s="4">
        <f>AVERAGE('Raw Data'!AH18:AH19)</f>
        <v>1</v>
      </c>
      <c r="AI10" s="4">
        <f>AVERAGE('Raw Data'!AI18:AI19)</f>
        <v>2</v>
      </c>
      <c r="AJ10" s="4">
        <f>AVERAGE('Raw Data'!AJ18:AJ19)</f>
        <v>1.5</v>
      </c>
      <c r="AK10" s="4">
        <f>AVERAGE('Raw Data'!AK18:AK19)</f>
        <v>1</v>
      </c>
      <c r="AL10" s="4"/>
      <c r="AM10" s="4"/>
    </row>
    <row r="11" spans="1:39" ht="52.8" x14ac:dyDescent="0.3">
      <c r="A11" s="3">
        <f t="shared" si="0"/>
        <v>10</v>
      </c>
      <c r="B11" s="4"/>
      <c r="C11" s="4"/>
      <c r="D11" s="4"/>
      <c r="E11" s="4"/>
      <c r="F11" s="4"/>
      <c r="G11" s="15" t="s">
        <v>48</v>
      </c>
      <c r="H11" s="4"/>
      <c r="I11" s="4"/>
      <c r="J11" s="4"/>
      <c r="K11" s="4"/>
      <c r="L11" s="4"/>
      <c r="M11" s="4"/>
      <c r="N11" s="11"/>
      <c r="O11" s="4"/>
      <c r="P11" s="4"/>
      <c r="Q11" s="4"/>
      <c r="R11" s="4"/>
      <c r="S11" s="4">
        <f>AVERAGE('Raw Data'!S20:S21)</f>
        <v>4</v>
      </c>
      <c r="T11" s="4">
        <f>AVERAGE('Raw Data'!T20:T21)</f>
        <v>3.5</v>
      </c>
      <c r="U11" s="4">
        <f>AVERAGE('Raw Data'!U20:U21)</f>
        <v>4</v>
      </c>
      <c r="V11" s="4">
        <f>AVERAGE('Raw Data'!V20:V21)</f>
        <v>3.5</v>
      </c>
      <c r="W11" s="4">
        <f>AVERAGE('Raw Data'!W20:W21)</f>
        <v>3.5</v>
      </c>
      <c r="X11" s="4">
        <f>AVERAGE('Raw Data'!X20:X21)</f>
        <v>3.5</v>
      </c>
      <c r="Y11" s="4">
        <f>AVERAGE('Raw Data'!Y20:Y21)</f>
        <v>4</v>
      </c>
      <c r="Z11" s="4">
        <f>AVERAGE('Raw Data'!Z20:Z21)</f>
        <v>3.5</v>
      </c>
      <c r="AA11" s="4">
        <f>AVERAGE('Raw Data'!AA20:AA21)</f>
        <v>3.5</v>
      </c>
      <c r="AB11" s="4">
        <f>AVERAGE('Raw Data'!AB20:AB21)</f>
        <v>3.5</v>
      </c>
      <c r="AC11" s="4">
        <f>AVERAGE('Raw Data'!AC20:AC21)</f>
        <v>3.5</v>
      </c>
      <c r="AD11" s="4">
        <f>AVERAGE('Raw Data'!AD20:AD21)</f>
        <v>3.5</v>
      </c>
      <c r="AE11" s="4">
        <f>AVERAGE('Raw Data'!AE20:AE21)</f>
        <v>5</v>
      </c>
      <c r="AF11" s="4">
        <f>AVERAGE('Raw Data'!AF20:AF21)</f>
        <v>3.5</v>
      </c>
      <c r="AG11" s="4">
        <f>AVERAGE('Raw Data'!AG20:AG21)</f>
        <v>3.5</v>
      </c>
      <c r="AH11" s="4">
        <f>AVERAGE('Raw Data'!AH20:AH21)</f>
        <v>3</v>
      </c>
      <c r="AI11" s="4">
        <f>AVERAGE('Raw Data'!AI20:AI21)</f>
        <v>3</v>
      </c>
      <c r="AJ11" s="4">
        <f>AVERAGE('Raw Data'!AJ20:AJ21)</f>
        <v>2</v>
      </c>
      <c r="AK11" s="4">
        <f>AVERAGE('Raw Data'!AK20:AK21)</f>
        <v>1.5</v>
      </c>
      <c r="AL11" s="4"/>
      <c r="AM11" s="4"/>
    </row>
    <row r="12" spans="1:39" ht="26.4" x14ac:dyDescent="0.3">
      <c r="A12" s="3">
        <f t="shared" si="0"/>
        <v>11</v>
      </c>
      <c r="B12" s="4"/>
      <c r="C12" s="4"/>
      <c r="D12" s="4"/>
      <c r="E12" s="4"/>
      <c r="F12" s="4"/>
      <c r="G12" s="14" t="s">
        <v>49</v>
      </c>
      <c r="H12" s="4"/>
      <c r="I12" s="4"/>
      <c r="J12" s="4"/>
      <c r="K12" s="4"/>
      <c r="L12" s="4"/>
      <c r="M12" s="4"/>
      <c r="N12" s="11"/>
      <c r="O12" s="4"/>
      <c r="P12" s="4"/>
      <c r="Q12" s="4"/>
      <c r="R12" s="4"/>
      <c r="S12" s="4">
        <f>AVERAGE('Raw Data'!S22:S23)</f>
        <v>5</v>
      </c>
      <c r="T12" s="4">
        <f>AVERAGE('Raw Data'!T22:T23)</f>
        <v>4</v>
      </c>
      <c r="U12" s="4">
        <f>AVERAGE('Raw Data'!U22:U23)</f>
        <v>3</v>
      </c>
      <c r="V12" s="4">
        <f>AVERAGE('Raw Data'!V22:V23)</f>
        <v>3.5</v>
      </c>
      <c r="W12" s="4">
        <f>AVERAGE('Raw Data'!W22:W23)</f>
        <v>3.5</v>
      </c>
      <c r="X12" s="4">
        <f>AVERAGE('Raw Data'!X22:X23)</f>
        <v>4</v>
      </c>
      <c r="Y12" s="4">
        <f>AVERAGE('Raw Data'!Y22:Y23)</f>
        <v>4.5</v>
      </c>
      <c r="Z12" s="4">
        <f>AVERAGE('Raw Data'!Z22:Z23)</f>
        <v>4.5</v>
      </c>
      <c r="AA12" s="4">
        <f>AVERAGE('Raw Data'!AA22:AA23)</f>
        <v>4.5</v>
      </c>
      <c r="AB12" s="4">
        <f>AVERAGE('Raw Data'!AB22:AB23)</f>
        <v>3</v>
      </c>
      <c r="AC12" s="4">
        <f>AVERAGE('Raw Data'!AC22:AC23)</f>
        <v>3</v>
      </c>
      <c r="AD12" s="4">
        <f>AVERAGE('Raw Data'!AD22:AD23)</f>
        <v>3.5</v>
      </c>
      <c r="AE12" s="4">
        <f>AVERAGE('Raw Data'!AE22:AE23)</f>
        <v>5</v>
      </c>
      <c r="AF12" s="4">
        <f>AVERAGE('Raw Data'!AF22:AF23)</f>
        <v>4</v>
      </c>
      <c r="AG12" s="4">
        <f>AVERAGE('Raw Data'!AG22:AG23)</f>
        <v>4</v>
      </c>
      <c r="AH12" s="4">
        <f>AVERAGE('Raw Data'!AH22:AH23)</f>
        <v>3</v>
      </c>
      <c r="AI12" s="4">
        <f>AVERAGE('Raw Data'!AI22:AI23)</f>
        <v>3.5</v>
      </c>
      <c r="AJ12" s="4">
        <f>AVERAGE('Raw Data'!AJ22:AJ23)</f>
        <v>3</v>
      </c>
      <c r="AK12" s="4">
        <f>AVERAGE('Raw Data'!AK22:AK23)</f>
        <v>3</v>
      </c>
      <c r="AL12" s="4"/>
      <c r="AM12" s="4"/>
    </row>
    <row r="13" spans="1:39" ht="26.4" x14ac:dyDescent="0.3">
      <c r="A13" s="3">
        <f t="shared" si="0"/>
        <v>12</v>
      </c>
      <c r="B13" s="4"/>
      <c r="C13" s="4"/>
      <c r="D13" s="4"/>
      <c r="E13" s="4"/>
      <c r="F13" s="4"/>
      <c r="G13" s="14" t="s">
        <v>50</v>
      </c>
      <c r="H13" s="4"/>
      <c r="I13" s="4"/>
      <c r="J13" s="4"/>
      <c r="K13" s="4"/>
      <c r="L13" s="4"/>
      <c r="M13" s="4"/>
      <c r="N13" s="7"/>
      <c r="O13" s="4"/>
      <c r="P13" s="4"/>
      <c r="Q13" s="4"/>
      <c r="R13" s="4"/>
      <c r="S13" s="4">
        <f>AVERAGE('Raw Data'!S24:S25)</f>
        <v>3</v>
      </c>
      <c r="T13" s="4">
        <f>AVERAGE('Raw Data'!T24:T25)</f>
        <v>4</v>
      </c>
      <c r="U13" s="4">
        <f>AVERAGE('Raw Data'!U24:U25)</f>
        <v>3.5</v>
      </c>
      <c r="V13" s="4">
        <f>AVERAGE('Raw Data'!V24:V25)</f>
        <v>3</v>
      </c>
      <c r="W13" s="4">
        <f>AVERAGE('Raw Data'!W24:W25)</f>
        <v>3.5</v>
      </c>
      <c r="X13" s="4">
        <f>AVERAGE('Raw Data'!X24:X25)</f>
        <v>4.5</v>
      </c>
      <c r="Y13" s="4">
        <f>AVERAGE('Raw Data'!Y24:Y25)</f>
        <v>4</v>
      </c>
      <c r="Z13" s="4">
        <f>AVERAGE('Raw Data'!Z24:Z25)</f>
        <v>4.5</v>
      </c>
      <c r="AA13" s="4">
        <f>AVERAGE('Raw Data'!AA24:AA25)</f>
        <v>4</v>
      </c>
      <c r="AB13" s="4">
        <f>AVERAGE('Raw Data'!AB24:AB25)</f>
        <v>3.5</v>
      </c>
      <c r="AC13" s="4">
        <f>AVERAGE('Raw Data'!AC24:AC25)</f>
        <v>4</v>
      </c>
      <c r="AD13" s="4">
        <f>AVERAGE('Raw Data'!AD24:AD25)</f>
        <v>4</v>
      </c>
      <c r="AE13" s="4">
        <f>AVERAGE('Raw Data'!AE24:AE25)</f>
        <v>4</v>
      </c>
      <c r="AF13" s="4">
        <f>AVERAGE('Raw Data'!AF24:AF25)</f>
        <v>4</v>
      </c>
      <c r="AG13" s="4">
        <f>AVERAGE('Raw Data'!AG24:AG25)</f>
        <v>4</v>
      </c>
      <c r="AH13" s="4">
        <f>AVERAGE('Raw Data'!AH24:AH25)</f>
        <v>3</v>
      </c>
      <c r="AI13" s="4">
        <f>AVERAGE('Raw Data'!AI24:AI25)</f>
        <v>2.5</v>
      </c>
      <c r="AJ13" s="4">
        <f>AVERAGE('Raw Data'!AJ24:AJ25)</f>
        <v>3</v>
      </c>
      <c r="AK13" s="4">
        <f>AVERAGE('Raw Data'!AK24:AK25)</f>
        <v>2</v>
      </c>
      <c r="AL13" s="4"/>
      <c r="AM13" s="4"/>
    </row>
    <row r="14" spans="1:39" ht="26.4" x14ac:dyDescent="0.3">
      <c r="A14" s="3">
        <f t="shared" si="0"/>
        <v>13</v>
      </c>
      <c r="B14" s="4"/>
      <c r="C14" s="4"/>
      <c r="D14" s="4"/>
      <c r="E14" s="4"/>
      <c r="F14" s="4"/>
      <c r="G14" s="15" t="s">
        <v>51</v>
      </c>
      <c r="H14" s="4"/>
      <c r="I14" s="4"/>
      <c r="J14" s="4"/>
      <c r="K14" s="4"/>
      <c r="L14" s="4"/>
      <c r="M14" s="4"/>
      <c r="N14" s="7"/>
      <c r="O14" s="4"/>
      <c r="P14" s="4"/>
      <c r="Q14" s="4"/>
      <c r="R14" s="4"/>
      <c r="S14" s="4">
        <f>AVERAGE('Raw Data'!S26:S27)</f>
        <v>4</v>
      </c>
      <c r="T14" s="4">
        <f>AVERAGE('Raw Data'!T26:T27)</f>
        <v>3</v>
      </c>
      <c r="U14" s="4">
        <f>AVERAGE('Raw Data'!U26:U27)</f>
        <v>3.5</v>
      </c>
      <c r="V14" s="4">
        <f>AVERAGE('Raw Data'!V26:V27)</f>
        <v>3</v>
      </c>
      <c r="W14" s="4">
        <f>AVERAGE('Raw Data'!W26:W27)</f>
        <v>3.5</v>
      </c>
      <c r="X14" s="4">
        <f>AVERAGE('Raw Data'!X26:X27)</f>
        <v>4</v>
      </c>
      <c r="Y14" s="4">
        <f>AVERAGE('Raw Data'!Y26:Y27)</f>
        <v>3</v>
      </c>
      <c r="Z14" s="4">
        <f>AVERAGE('Raw Data'!Z26:Z27)</f>
        <v>4</v>
      </c>
      <c r="AA14" s="4">
        <f>AVERAGE('Raw Data'!AA26:AA27)</f>
        <v>4</v>
      </c>
      <c r="AB14" s="4">
        <f>AVERAGE('Raw Data'!AB26:AB27)</f>
        <v>3</v>
      </c>
      <c r="AC14" s="4">
        <f>AVERAGE('Raw Data'!AC26:AC27)</f>
        <v>4</v>
      </c>
      <c r="AD14" s="4">
        <f>AVERAGE('Raw Data'!AD26:AD27)</f>
        <v>4</v>
      </c>
      <c r="AE14" s="4">
        <f>AVERAGE('Raw Data'!AE26:AE27)</f>
        <v>3</v>
      </c>
      <c r="AF14" s="4">
        <f>AVERAGE('Raw Data'!AF26:AF27)</f>
        <v>4</v>
      </c>
      <c r="AG14" s="4">
        <f>AVERAGE('Raw Data'!AG26:AG27)</f>
        <v>3.5</v>
      </c>
      <c r="AH14" s="4">
        <f>AVERAGE('Raw Data'!AH26:AH27)</f>
        <v>3</v>
      </c>
      <c r="AI14" s="4">
        <f>AVERAGE('Raw Data'!AI26:AI27)</f>
        <v>3.5</v>
      </c>
      <c r="AJ14" s="4">
        <f>AVERAGE('Raw Data'!AJ26:AJ27)</f>
        <v>3</v>
      </c>
      <c r="AK14" s="4">
        <f>AVERAGE('Raw Data'!AK26:AK27)</f>
        <v>3</v>
      </c>
      <c r="AL14" s="4"/>
      <c r="AM14" s="4"/>
    </row>
    <row r="15" spans="1:39" ht="26.4" x14ac:dyDescent="0.3">
      <c r="A15" s="3">
        <f t="shared" si="0"/>
        <v>14</v>
      </c>
      <c r="B15" s="4"/>
      <c r="C15" s="4"/>
      <c r="D15" s="4"/>
      <c r="E15" s="4"/>
      <c r="F15" s="4"/>
      <c r="G15" s="15" t="s">
        <v>52</v>
      </c>
      <c r="H15" s="4"/>
      <c r="I15" s="4"/>
      <c r="J15" s="4"/>
      <c r="K15" s="4"/>
      <c r="L15" s="4"/>
      <c r="M15" s="4"/>
      <c r="N15" s="11"/>
      <c r="O15" s="4"/>
      <c r="P15" s="4"/>
      <c r="Q15" s="4"/>
      <c r="R15" s="4"/>
      <c r="S15" s="4">
        <f>AVERAGE('Raw Data'!S28:S29)</f>
        <v>4.5</v>
      </c>
      <c r="T15" s="4">
        <f>AVERAGE('Raw Data'!T28:T29)</f>
        <v>3.5</v>
      </c>
      <c r="U15" s="4">
        <f>AVERAGE('Raw Data'!U28:U29)</f>
        <v>4</v>
      </c>
      <c r="V15" s="4">
        <f>AVERAGE('Raw Data'!V28:V29)</f>
        <v>3</v>
      </c>
      <c r="W15" s="4">
        <f>AVERAGE('Raw Data'!W28:W29)</f>
        <v>3.5</v>
      </c>
      <c r="X15" s="4">
        <f>AVERAGE('Raw Data'!X28:X29)</f>
        <v>4</v>
      </c>
      <c r="Y15" s="4">
        <f>AVERAGE('Raw Data'!Y28:Y29)</f>
        <v>4.5</v>
      </c>
      <c r="Z15" s="4">
        <f>AVERAGE('Raw Data'!Z28:Z29)</f>
        <v>4.5</v>
      </c>
      <c r="AA15" s="4">
        <f>AVERAGE('Raw Data'!AA28:AA29)</f>
        <v>4.5</v>
      </c>
      <c r="AB15" s="4">
        <f>AVERAGE('Raw Data'!AB28:AB29)</f>
        <v>3.5</v>
      </c>
      <c r="AC15" s="4">
        <f>AVERAGE('Raw Data'!AC28:AC29)</f>
        <v>4.5</v>
      </c>
      <c r="AD15" s="4">
        <f>AVERAGE('Raw Data'!AD28:AD29)</f>
        <v>4</v>
      </c>
      <c r="AE15" s="4">
        <f>AVERAGE('Raw Data'!AE28:AE29)</f>
        <v>4</v>
      </c>
      <c r="AF15" s="4">
        <f>AVERAGE('Raw Data'!AF28:AF29)</f>
        <v>4</v>
      </c>
      <c r="AG15" s="4">
        <f>AVERAGE('Raw Data'!AG28:AG29)</f>
        <v>3.5</v>
      </c>
      <c r="AH15" s="4">
        <f>AVERAGE('Raw Data'!AH28:AH29)</f>
        <v>1.5</v>
      </c>
      <c r="AI15" s="4">
        <f>AVERAGE('Raw Data'!AI28:AI29)</f>
        <v>2.5</v>
      </c>
      <c r="AJ15" s="4">
        <f>AVERAGE('Raw Data'!AJ28:AJ29)</f>
        <v>2</v>
      </c>
      <c r="AK15" s="4">
        <f>AVERAGE('Raw Data'!AK28:AK29)</f>
        <v>1.5</v>
      </c>
      <c r="AL15" s="4"/>
      <c r="AM15" s="4"/>
    </row>
    <row r="16" spans="1:39" ht="39.6" x14ac:dyDescent="0.3">
      <c r="A16" s="3">
        <f t="shared" si="0"/>
        <v>15</v>
      </c>
      <c r="B16" s="4"/>
      <c r="C16" s="4"/>
      <c r="D16" s="4"/>
      <c r="E16" s="4"/>
      <c r="F16" s="4"/>
      <c r="G16" s="15" t="s">
        <v>53</v>
      </c>
      <c r="H16" s="4"/>
      <c r="I16" s="4"/>
      <c r="J16" s="4"/>
      <c r="K16" s="4"/>
      <c r="L16" s="4"/>
      <c r="M16" s="4"/>
      <c r="N16" s="11"/>
      <c r="O16" s="4"/>
      <c r="P16" s="4"/>
      <c r="Q16" s="4"/>
      <c r="R16" s="4"/>
      <c r="S16" s="4">
        <f>AVERAGE('Raw Data'!S30:S31)</f>
        <v>5</v>
      </c>
      <c r="T16" s="4">
        <f>AVERAGE('Raw Data'!T30:T31)</f>
        <v>5</v>
      </c>
      <c r="U16" s="4">
        <f>AVERAGE('Raw Data'!U30:U31)</f>
        <v>5</v>
      </c>
      <c r="V16" s="4">
        <f>AVERAGE('Raw Data'!V30:V31)</f>
        <v>4.5</v>
      </c>
      <c r="W16" s="4">
        <f>AVERAGE('Raw Data'!W30:W31)</f>
        <v>4.5</v>
      </c>
      <c r="X16" s="4">
        <f>AVERAGE('Raw Data'!X30:X31)</f>
        <v>4.5</v>
      </c>
      <c r="Y16" s="4">
        <f>AVERAGE('Raw Data'!Y30:Y31)</f>
        <v>5</v>
      </c>
      <c r="Z16" s="4">
        <f>AVERAGE('Raw Data'!Z30:Z31)</f>
        <v>5</v>
      </c>
      <c r="AA16" s="4">
        <f>AVERAGE('Raw Data'!AA30:AA31)</f>
        <v>5</v>
      </c>
      <c r="AB16" s="4">
        <f>AVERAGE('Raw Data'!AB30:AB31)</f>
        <v>3.5</v>
      </c>
      <c r="AC16" s="4">
        <f>AVERAGE('Raw Data'!AC30:AC31)</f>
        <v>5</v>
      </c>
      <c r="AD16" s="4">
        <f>AVERAGE('Raw Data'!AD30:AD31)</f>
        <v>4</v>
      </c>
      <c r="AE16" s="4">
        <f>AVERAGE('Raw Data'!AE30:AE31)</f>
        <v>4.5</v>
      </c>
      <c r="AF16" s="4">
        <f>AVERAGE('Raw Data'!AF30:AF31)</f>
        <v>4</v>
      </c>
      <c r="AG16" s="4">
        <f>AVERAGE('Raw Data'!AG30:AG31)</f>
        <v>4</v>
      </c>
      <c r="AH16" s="4">
        <f>AVERAGE('Raw Data'!AH30:AH31)</f>
        <v>1.5</v>
      </c>
      <c r="AI16" s="4">
        <f>AVERAGE('Raw Data'!AI30:AI31)</f>
        <v>2</v>
      </c>
      <c r="AJ16" s="4">
        <f>AVERAGE('Raw Data'!AJ30:AJ31)</f>
        <v>2</v>
      </c>
      <c r="AK16" s="4">
        <f>AVERAGE('Raw Data'!AK30:AK31)</f>
        <v>1.5</v>
      </c>
      <c r="AL16" s="4"/>
      <c r="AM16" s="4"/>
    </row>
    <row r="17" spans="1:39" ht="26.4" x14ac:dyDescent="0.3">
      <c r="A17" s="3">
        <f t="shared" si="0"/>
        <v>16</v>
      </c>
      <c r="B17" s="4"/>
      <c r="C17" s="4"/>
      <c r="D17" s="4"/>
      <c r="E17" s="4"/>
      <c r="F17" s="4"/>
      <c r="G17" s="15" t="s">
        <v>54</v>
      </c>
      <c r="H17" s="9"/>
      <c r="I17" s="4"/>
      <c r="J17" s="4"/>
      <c r="K17" s="4"/>
      <c r="L17" s="4"/>
      <c r="M17" s="4"/>
      <c r="N17" s="7"/>
      <c r="O17" s="4"/>
      <c r="P17" s="4"/>
      <c r="Q17" s="4"/>
      <c r="R17" s="4"/>
      <c r="S17" s="4">
        <f>AVERAGE('Raw Data'!S32:S33)</f>
        <v>3.5</v>
      </c>
      <c r="T17" s="4">
        <f>AVERAGE('Raw Data'!T32:T33)</f>
        <v>3.5</v>
      </c>
      <c r="U17" s="4">
        <f>AVERAGE('Raw Data'!U32:U33)</f>
        <v>3.5</v>
      </c>
      <c r="V17" s="4">
        <f>AVERAGE('Raw Data'!V32:V33)</f>
        <v>3</v>
      </c>
      <c r="W17" s="4">
        <f>AVERAGE('Raw Data'!W32:W33)</f>
        <v>3</v>
      </c>
      <c r="X17" s="4">
        <f>AVERAGE('Raw Data'!X32:X33)</f>
        <v>4</v>
      </c>
      <c r="Y17" s="4">
        <f>AVERAGE('Raw Data'!Y32:Y33)</f>
        <v>4.5</v>
      </c>
      <c r="Z17" s="4">
        <f>AVERAGE('Raw Data'!Z32:Z33)</f>
        <v>4.5</v>
      </c>
      <c r="AA17" s="4">
        <f>AVERAGE('Raw Data'!AA32:AA33)</f>
        <v>4.5</v>
      </c>
      <c r="AB17" s="4">
        <f>AVERAGE('Raw Data'!AB32:AB33)</f>
        <v>3</v>
      </c>
      <c r="AC17" s="4">
        <f>AVERAGE('Raw Data'!AC32:AC33)</f>
        <v>4</v>
      </c>
      <c r="AD17" s="4">
        <f>AVERAGE('Raw Data'!AD32:AD33)</f>
        <v>4.5</v>
      </c>
      <c r="AE17" s="4">
        <f>AVERAGE('Raw Data'!AE32:AE33)</f>
        <v>4.5</v>
      </c>
      <c r="AF17" s="4">
        <f>AVERAGE('Raw Data'!AF32:AF33)</f>
        <v>4.5</v>
      </c>
      <c r="AG17" s="4">
        <f>AVERAGE('Raw Data'!AG32:AG33)</f>
        <v>4.5</v>
      </c>
      <c r="AH17" s="4">
        <f>AVERAGE('Raw Data'!AH32:AH33)</f>
        <v>3</v>
      </c>
      <c r="AI17" s="4">
        <f>AVERAGE('Raw Data'!AI32:AI33)</f>
        <v>3.5</v>
      </c>
      <c r="AJ17" s="4">
        <f>AVERAGE('Raw Data'!AJ32:AJ33)</f>
        <v>2.5</v>
      </c>
      <c r="AK17" s="4">
        <f>AVERAGE('Raw Data'!AK32:AK33)</f>
        <v>2.5</v>
      </c>
      <c r="AL17" s="4"/>
      <c r="AM17" s="4"/>
    </row>
    <row r="18" spans="1:39" ht="39.6" x14ac:dyDescent="0.3">
      <c r="A18" s="3">
        <f t="shared" si="0"/>
        <v>17</v>
      </c>
      <c r="B18" s="4"/>
      <c r="C18" s="4"/>
      <c r="D18" s="4"/>
      <c r="E18" s="4"/>
      <c r="F18" s="4"/>
      <c r="G18" s="15" t="s">
        <v>55</v>
      </c>
      <c r="H18" s="4"/>
      <c r="I18" s="4"/>
      <c r="J18" s="4"/>
      <c r="K18" s="4"/>
      <c r="L18" s="4"/>
      <c r="M18" s="4"/>
      <c r="N18" s="7"/>
      <c r="O18" s="4"/>
      <c r="P18" s="4"/>
      <c r="Q18" s="4"/>
      <c r="R18" s="4"/>
      <c r="S18" s="4">
        <f>AVERAGE('Raw Data'!S34:S35)</f>
        <v>3.5</v>
      </c>
      <c r="T18" s="4">
        <f>AVERAGE('Raw Data'!T34:T35)</f>
        <v>3.5</v>
      </c>
      <c r="U18" s="4">
        <f>AVERAGE('Raw Data'!U34:U35)</f>
        <v>3.5</v>
      </c>
      <c r="V18" s="4">
        <f>AVERAGE('Raw Data'!V34:V35)</f>
        <v>4.5</v>
      </c>
      <c r="W18" s="4">
        <f>AVERAGE('Raw Data'!W34:W35)</f>
        <v>4.5</v>
      </c>
      <c r="X18" s="4">
        <f>AVERAGE('Raw Data'!X34:X35)</f>
        <v>4</v>
      </c>
      <c r="Y18" s="4">
        <f>AVERAGE('Raw Data'!Y34:Y35)</f>
        <v>5</v>
      </c>
      <c r="Z18" s="4">
        <f>AVERAGE('Raw Data'!Z34:Z35)</f>
        <v>5</v>
      </c>
      <c r="AA18" s="4">
        <f>AVERAGE('Raw Data'!AA34:AA35)</f>
        <v>5</v>
      </c>
      <c r="AB18" s="4">
        <f>AVERAGE('Raw Data'!AB34:AB35)</f>
        <v>3</v>
      </c>
      <c r="AC18" s="4">
        <f>AVERAGE('Raw Data'!AC34:AC35)</f>
        <v>3</v>
      </c>
      <c r="AD18" s="4">
        <f>AVERAGE('Raw Data'!AD34:AD35)</f>
        <v>3</v>
      </c>
      <c r="AE18" s="4">
        <f>AVERAGE('Raw Data'!AE34:AE35)</f>
        <v>4</v>
      </c>
      <c r="AF18" s="4">
        <f>AVERAGE('Raw Data'!AF34:AF35)</f>
        <v>4</v>
      </c>
      <c r="AG18" s="4">
        <f>AVERAGE('Raw Data'!AG34:AG35)</f>
        <v>4</v>
      </c>
      <c r="AH18" s="4">
        <f>AVERAGE('Raw Data'!AH34:AH35)</f>
        <v>2.5</v>
      </c>
      <c r="AI18" s="4">
        <f>AVERAGE('Raw Data'!AI34:AI35)</f>
        <v>3</v>
      </c>
      <c r="AJ18" s="4">
        <f>AVERAGE('Raw Data'!AJ34:AJ35)</f>
        <v>3</v>
      </c>
      <c r="AK18" s="4">
        <f>AVERAGE('Raw Data'!AK34:AK35)</f>
        <v>2</v>
      </c>
      <c r="AL18" s="4"/>
      <c r="AM18" s="4"/>
    </row>
    <row r="19" spans="1:39" ht="39.6" x14ac:dyDescent="0.3">
      <c r="A19" s="3">
        <f t="shared" si="0"/>
        <v>18</v>
      </c>
      <c r="B19" s="4"/>
      <c r="C19" s="4"/>
      <c r="D19" s="4"/>
      <c r="E19" s="4"/>
      <c r="F19" s="4"/>
      <c r="G19" s="15" t="s">
        <v>56</v>
      </c>
      <c r="H19" s="4"/>
      <c r="I19" s="9"/>
      <c r="J19" s="4"/>
      <c r="K19" s="4"/>
      <c r="L19" s="4"/>
      <c r="M19" s="4"/>
      <c r="N19" s="7"/>
      <c r="O19" s="4"/>
      <c r="P19" s="4"/>
      <c r="Q19" s="4"/>
      <c r="R19" s="4"/>
      <c r="S19" s="4">
        <f>AVERAGE('Raw Data'!S36:S37)</f>
        <v>4</v>
      </c>
      <c r="T19" s="4">
        <f>AVERAGE('Raw Data'!T36:T37)</f>
        <v>4.5</v>
      </c>
      <c r="U19" s="4">
        <f>AVERAGE('Raw Data'!U36:U37)</f>
        <v>4.5</v>
      </c>
      <c r="V19" s="4">
        <f>AVERAGE('Raw Data'!V36:V37)</f>
        <v>3.5</v>
      </c>
      <c r="W19" s="4">
        <f>AVERAGE('Raw Data'!W36:W37)</f>
        <v>4</v>
      </c>
      <c r="X19" s="4">
        <f>AVERAGE('Raw Data'!X36:X37)</f>
        <v>4.5</v>
      </c>
      <c r="Y19" s="4">
        <f>AVERAGE('Raw Data'!Y36:Y37)</f>
        <v>4</v>
      </c>
      <c r="Z19" s="4">
        <f>AVERAGE('Raw Data'!Z36:Z37)</f>
        <v>4</v>
      </c>
      <c r="AA19" s="4">
        <f>AVERAGE('Raw Data'!AA36:AA37)</f>
        <v>4.5</v>
      </c>
      <c r="AB19" s="4">
        <f>AVERAGE('Raw Data'!AB36:AB37)</f>
        <v>3</v>
      </c>
      <c r="AC19" s="4">
        <f>AVERAGE('Raw Data'!AC36:AC37)</f>
        <v>4</v>
      </c>
      <c r="AD19" s="4">
        <f>AVERAGE('Raw Data'!AD36:AD37)</f>
        <v>4</v>
      </c>
      <c r="AE19" s="4">
        <f>AVERAGE('Raw Data'!AE36:AE37)</f>
        <v>4</v>
      </c>
      <c r="AF19" s="4">
        <f>AVERAGE('Raw Data'!AF36:AF37)</f>
        <v>4</v>
      </c>
      <c r="AG19" s="4">
        <f>AVERAGE('Raw Data'!AG36:AG37)</f>
        <v>4</v>
      </c>
      <c r="AH19" s="4">
        <f>AVERAGE('Raw Data'!AH36:AH37)</f>
        <v>1.5</v>
      </c>
      <c r="AI19" s="4">
        <f>AVERAGE('Raw Data'!AI36:AI37)</f>
        <v>2.5</v>
      </c>
      <c r="AJ19" s="4">
        <f>AVERAGE('Raw Data'!AJ36:AJ37)</f>
        <v>2</v>
      </c>
      <c r="AK19" s="4">
        <f>AVERAGE('Raw Data'!AK36:AK37)</f>
        <v>1</v>
      </c>
      <c r="AL19" s="4"/>
      <c r="AM19" s="4"/>
    </row>
    <row r="20" spans="1:39" ht="26.4" x14ac:dyDescent="0.3">
      <c r="A20" s="3">
        <f t="shared" si="0"/>
        <v>19</v>
      </c>
      <c r="B20" s="4"/>
      <c r="C20" s="4"/>
      <c r="D20" s="4"/>
      <c r="E20" s="4"/>
      <c r="F20" s="4"/>
      <c r="G20" s="15" t="s">
        <v>57</v>
      </c>
      <c r="H20" s="4"/>
      <c r="I20" s="4"/>
      <c r="J20" s="4"/>
      <c r="K20" s="4"/>
      <c r="L20" s="4"/>
      <c r="M20" s="4"/>
      <c r="N20" s="7"/>
      <c r="O20" s="4"/>
      <c r="P20" s="4"/>
      <c r="Q20" s="4"/>
      <c r="R20" s="4"/>
      <c r="S20" s="4">
        <f>AVERAGE('Raw Data'!S38:S39)</f>
        <v>4</v>
      </c>
      <c r="T20" s="4">
        <f>AVERAGE('Raw Data'!T38:T39)</f>
        <v>3.5</v>
      </c>
      <c r="U20" s="4">
        <f>AVERAGE('Raw Data'!U38:U39)</f>
        <v>3.5</v>
      </c>
      <c r="V20" s="4">
        <f>AVERAGE('Raw Data'!V38:V39)</f>
        <v>3</v>
      </c>
      <c r="W20" s="4">
        <f>AVERAGE('Raw Data'!W38:W39)</f>
        <v>3</v>
      </c>
      <c r="X20" s="4">
        <f>AVERAGE('Raw Data'!X38:X39)</f>
        <v>3</v>
      </c>
      <c r="Y20" s="4">
        <f>AVERAGE('Raw Data'!Y38:Y39)</f>
        <v>3.5</v>
      </c>
      <c r="Z20" s="4">
        <f>AVERAGE('Raw Data'!Z38:Z39)</f>
        <v>4</v>
      </c>
      <c r="AA20" s="4">
        <f>AVERAGE('Raw Data'!AA38:AA39)</f>
        <v>4</v>
      </c>
      <c r="AB20" s="4">
        <f>AVERAGE('Raw Data'!AB38:AB39)</f>
        <v>3.5</v>
      </c>
      <c r="AC20" s="4">
        <f>AVERAGE('Raw Data'!AC38:AC39)</f>
        <v>3.5</v>
      </c>
      <c r="AD20" s="4">
        <f>AVERAGE('Raw Data'!AD38:AD39)</f>
        <v>3.5</v>
      </c>
      <c r="AE20" s="4">
        <f>AVERAGE('Raw Data'!AE38:AE39)</f>
        <v>3</v>
      </c>
      <c r="AF20" s="4">
        <f>AVERAGE('Raw Data'!AF38:AF39)</f>
        <v>3.5</v>
      </c>
      <c r="AG20" s="4">
        <f>AVERAGE('Raw Data'!AG38:AG39)</f>
        <v>3.5</v>
      </c>
      <c r="AH20" s="4">
        <f>AVERAGE('Raw Data'!AH38:AH39)</f>
        <v>2</v>
      </c>
      <c r="AI20" s="4">
        <f>AVERAGE('Raw Data'!AI38:AI39)</f>
        <v>3</v>
      </c>
      <c r="AJ20" s="4">
        <f>AVERAGE('Raw Data'!AJ38:AJ39)</f>
        <v>2</v>
      </c>
      <c r="AK20" s="4">
        <f>AVERAGE('Raw Data'!AK38:AK39)</f>
        <v>2</v>
      </c>
      <c r="AL20" s="4"/>
      <c r="AM20" s="4"/>
    </row>
    <row r="21" spans="1:39" ht="26.4" x14ac:dyDescent="0.3">
      <c r="A21" s="3">
        <f t="shared" si="0"/>
        <v>20</v>
      </c>
      <c r="B21" s="4"/>
      <c r="C21" s="4"/>
      <c r="D21" s="4"/>
      <c r="E21" s="4"/>
      <c r="F21" s="4"/>
      <c r="G21" s="14" t="s">
        <v>58</v>
      </c>
      <c r="H21" s="4"/>
      <c r="I21" s="4"/>
      <c r="J21" s="4"/>
      <c r="K21" s="4"/>
      <c r="L21" s="4"/>
      <c r="M21" s="4"/>
      <c r="N21" s="11"/>
      <c r="O21" s="4"/>
      <c r="P21" s="4"/>
      <c r="Q21" s="4"/>
      <c r="R21" s="4"/>
      <c r="S21" s="4">
        <f>AVERAGE('Raw Data'!S40:S41)</f>
        <v>4</v>
      </c>
      <c r="T21" s="4">
        <f>AVERAGE('Raw Data'!T40:T41)</f>
        <v>3</v>
      </c>
      <c r="U21" s="4">
        <f>AVERAGE('Raw Data'!U40:U41)</f>
        <v>3</v>
      </c>
      <c r="V21" s="4">
        <f>AVERAGE('Raw Data'!V40:V41)</f>
        <v>3.5</v>
      </c>
      <c r="W21" s="4">
        <f>AVERAGE('Raw Data'!W40:W41)</f>
        <v>3.5</v>
      </c>
      <c r="X21" s="4">
        <f>AVERAGE('Raw Data'!X40:X41)</f>
        <v>4.5</v>
      </c>
      <c r="Y21" s="4">
        <f>AVERAGE('Raw Data'!Y40:Y41)</f>
        <v>3.5</v>
      </c>
      <c r="Z21" s="4">
        <f>AVERAGE('Raw Data'!Z40:Z41)</f>
        <v>4.5</v>
      </c>
      <c r="AA21" s="4">
        <f>AVERAGE('Raw Data'!AA40:AA41)</f>
        <v>3.5</v>
      </c>
      <c r="AB21" s="4">
        <f>AVERAGE('Raw Data'!AB40:AB41)</f>
        <v>3</v>
      </c>
      <c r="AC21" s="4">
        <f>AVERAGE('Raw Data'!AC40:AC41)</f>
        <v>5</v>
      </c>
      <c r="AD21" s="4">
        <f>AVERAGE('Raw Data'!AD40:AD41)</f>
        <v>3.5</v>
      </c>
      <c r="AE21" s="4">
        <f>AVERAGE('Raw Data'!AE40:AE41)</f>
        <v>3.5</v>
      </c>
      <c r="AF21" s="4">
        <f>AVERAGE('Raw Data'!AF40:AF41)</f>
        <v>3</v>
      </c>
      <c r="AG21" s="4">
        <f>AVERAGE('Raw Data'!AG40:AG41)</f>
        <v>3.5</v>
      </c>
      <c r="AH21" s="4">
        <f>AVERAGE('Raw Data'!AH40:AH41)</f>
        <v>1.5</v>
      </c>
      <c r="AI21" s="4">
        <f>AVERAGE('Raw Data'!AI40:AI41)</f>
        <v>2.5</v>
      </c>
      <c r="AJ21" s="4">
        <f>AVERAGE('Raw Data'!AJ40:AJ41)</f>
        <v>1.5</v>
      </c>
      <c r="AK21" s="4">
        <f>AVERAGE('Raw Data'!AK40:AK41)</f>
        <v>1.5</v>
      </c>
      <c r="AL21" s="4"/>
      <c r="AM21" s="4"/>
    </row>
    <row r="22" spans="1:39" ht="26.4" x14ac:dyDescent="0.3">
      <c r="A22" s="3">
        <f t="shared" si="0"/>
        <v>21</v>
      </c>
      <c r="B22" s="4"/>
      <c r="C22" s="4"/>
      <c r="D22" s="4"/>
      <c r="E22" s="4"/>
      <c r="F22" s="4"/>
      <c r="G22" s="14" t="s">
        <v>59</v>
      </c>
      <c r="H22" s="4"/>
      <c r="I22" s="4"/>
      <c r="J22" s="4"/>
      <c r="K22" s="4"/>
      <c r="L22" s="4"/>
      <c r="M22" s="4"/>
      <c r="N22" s="7"/>
      <c r="O22" s="4"/>
      <c r="P22" s="4"/>
      <c r="Q22" s="4"/>
      <c r="R22" s="4"/>
      <c r="S22" s="4">
        <f>AVERAGE('Raw Data'!S42:S43)</f>
        <v>5</v>
      </c>
      <c r="T22" s="4">
        <f>AVERAGE('Raw Data'!T42:T43)</f>
        <v>4</v>
      </c>
      <c r="U22" s="4">
        <f>AVERAGE('Raw Data'!U42:U43)</f>
        <v>4</v>
      </c>
      <c r="V22" s="4">
        <f>AVERAGE('Raw Data'!V42:V43)</f>
        <v>3</v>
      </c>
      <c r="W22" s="4">
        <f>AVERAGE('Raw Data'!W42:W43)</f>
        <v>3.5</v>
      </c>
      <c r="X22" s="4">
        <f>AVERAGE('Raw Data'!X42:X43)</f>
        <v>4</v>
      </c>
      <c r="Y22" s="4">
        <f>AVERAGE('Raw Data'!Y42:Y43)</f>
        <v>4</v>
      </c>
      <c r="Z22" s="4">
        <f>AVERAGE('Raw Data'!Z42:Z43)</f>
        <v>3.5</v>
      </c>
      <c r="AA22" s="4">
        <f>AVERAGE('Raw Data'!AA42:AA43)</f>
        <v>4</v>
      </c>
      <c r="AB22" s="4">
        <f>AVERAGE('Raw Data'!AB42:AB43)</f>
        <v>3.5</v>
      </c>
      <c r="AC22" s="4">
        <f>AVERAGE('Raw Data'!AC42:AC43)</f>
        <v>3</v>
      </c>
      <c r="AD22" s="4">
        <f>AVERAGE('Raw Data'!AD42:AD43)</f>
        <v>3</v>
      </c>
      <c r="AE22" s="4">
        <f>AVERAGE('Raw Data'!AE42:AE43)</f>
        <v>3</v>
      </c>
      <c r="AF22" s="4">
        <f>AVERAGE('Raw Data'!AF42:AF43)</f>
        <v>3</v>
      </c>
      <c r="AG22" s="4">
        <f>AVERAGE('Raw Data'!AG42:AG43)</f>
        <v>3</v>
      </c>
      <c r="AH22" s="4">
        <f>AVERAGE('Raw Data'!AH42:AH43)</f>
        <v>2.5</v>
      </c>
      <c r="AI22" s="4">
        <f>AVERAGE('Raw Data'!AI42:AI43)</f>
        <v>4</v>
      </c>
      <c r="AJ22" s="4">
        <f>AVERAGE('Raw Data'!AJ42:AJ43)</f>
        <v>2.5</v>
      </c>
      <c r="AK22" s="4">
        <f>AVERAGE('Raw Data'!AK42:AK43)</f>
        <v>2.5</v>
      </c>
      <c r="AL22" s="4"/>
      <c r="AM22" s="4"/>
    </row>
    <row r="23" spans="1:39" ht="39.6" x14ac:dyDescent="0.3">
      <c r="A23" s="3">
        <f t="shared" si="0"/>
        <v>22</v>
      </c>
      <c r="B23" s="4"/>
      <c r="C23" s="4"/>
      <c r="D23" s="4"/>
      <c r="E23" s="4"/>
      <c r="F23" s="4"/>
      <c r="G23" s="15" t="s">
        <v>60</v>
      </c>
      <c r="H23" s="4"/>
      <c r="I23" s="4"/>
      <c r="J23" s="4"/>
      <c r="K23" s="4"/>
      <c r="L23" s="4"/>
      <c r="M23" s="4"/>
      <c r="N23" s="11"/>
      <c r="O23" s="4"/>
      <c r="P23" s="4"/>
      <c r="Q23" s="4"/>
      <c r="R23" s="4"/>
      <c r="S23" s="4">
        <f>AVERAGE('Raw Data'!S44:S45)</f>
        <v>5</v>
      </c>
      <c r="T23" s="4">
        <f>AVERAGE('Raw Data'!T44:T45)</f>
        <v>5</v>
      </c>
      <c r="U23" s="4">
        <f>AVERAGE('Raw Data'!U44:U45)</f>
        <v>4</v>
      </c>
      <c r="V23" s="4">
        <f>AVERAGE('Raw Data'!V44:V45)</f>
        <v>4</v>
      </c>
      <c r="W23" s="4">
        <f>AVERAGE('Raw Data'!W44:W45)</f>
        <v>4</v>
      </c>
      <c r="X23" s="4">
        <f>AVERAGE('Raw Data'!X44:X45)</f>
        <v>4.5</v>
      </c>
      <c r="Y23" s="4">
        <f>AVERAGE('Raw Data'!Y44:Y45)</f>
        <v>5</v>
      </c>
      <c r="Z23" s="4">
        <f>AVERAGE('Raw Data'!Z44:Z45)</f>
        <v>5</v>
      </c>
      <c r="AA23" s="4">
        <f>AVERAGE('Raw Data'!AA44:AA45)</f>
        <v>4.5</v>
      </c>
      <c r="AB23" s="4">
        <f>AVERAGE('Raw Data'!AB44:AB45)</f>
        <v>3.5</v>
      </c>
      <c r="AC23" s="4">
        <f>AVERAGE('Raw Data'!AC44:AC45)</f>
        <v>4</v>
      </c>
      <c r="AD23" s="4">
        <f>AVERAGE('Raw Data'!AD44:AD45)</f>
        <v>4</v>
      </c>
      <c r="AE23" s="4">
        <f>AVERAGE('Raw Data'!AE44:AE45)</f>
        <v>4.5</v>
      </c>
      <c r="AF23" s="4">
        <f>AVERAGE('Raw Data'!AF44:AF45)</f>
        <v>3</v>
      </c>
      <c r="AG23" s="4">
        <f>AVERAGE('Raw Data'!AG44:AG45)</f>
        <v>4</v>
      </c>
      <c r="AH23" s="4">
        <f>AVERAGE('Raw Data'!AH44:AH45)</f>
        <v>1</v>
      </c>
      <c r="AI23" s="4">
        <f>AVERAGE('Raw Data'!AI44:AI45)</f>
        <v>2</v>
      </c>
      <c r="AJ23" s="4">
        <f>AVERAGE('Raw Data'!AJ44:AJ45)</f>
        <v>1</v>
      </c>
      <c r="AK23" s="4">
        <f>AVERAGE('Raw Data'!AK44:AK45)</f>
        <v>1</v>
      </c>
      <c r="AL23" s="4"/>
      <c r="AM23" s="4"/>
    </row>
    <row r="24" spans="1:39" ht="13.2" x14ac:dyDescent="0.3">
      <c r="A24" s="3">
        <f t="shared" si="0"/>
        <v>23</v>
      </c>
      <c r="B24" s="4"/>
      <c r="C24" s="4"/>
      <c r="D24" s="4"/>
      <c r="E24" s="4"/>
      <c r="F24" s="4"/>
      <c r="G24" s="15" t="s">
        <v>61</v>
      </c>
      <c r="H24" s="4"/>
      <c r="I24" s="4"/>
      <c r="J24" s="4"/>
      <c r="K24" s="4"/>
      <c r="L24" s="4"/>
      <c r="M24" s="4"/>
      <c r="N24" s="11"/>
      <c r="O24" s="4"/>
      <c r="P24" s="4"/>
      <c r="Q24" s="4"/>
      <c r="R24" s="4"/>
      <c r="S24" s="4">
        <f>AVERAGE('Raw Data'!S46:S47)</f>
        <v>3.5</v>
      </c>
      <c r="T24" s="4">
        <f>AVERAGE('Raw Data'!T46:T47)</f>
        <v>3</v>
      </c>
      <c r="U24" s="4">
        <f>AVERAGE('Raw Data'!U46:U47)</f>
        <v>3</v>
      </c>
      <c r="V24" s="4">
        <f>AVERAGE('Raw Data'!V46:V47)</f>
        <v>3</v>
      </c>
      <c r="W24" s="4">
        <f>AVERAGE('Raw Data'!W46:W47)</f>
        <v>3</v>
      </c>
      <c r="X24" s="4">
        <f>AVERAGE('Raw Data'!X46:X47)</f>
        <v>4</v>
      </c>
      <c r="Y24" s="4">
        <f>AVERAGE('Raw Data'!Y46:Y47)</f>
        <v>4</v>
      </c>
      <c r="Z24" s="4">
        <f>AVERAGE('Raw Data'!Z46:Z47)</f>
        <v>4</v>
      </c>
      <c r="AA24" s="4">
        <f>AVERAGE('Raw Data'!AA46:AA47)</f>
        <v>4</v>
      </c>
      <c r="AB24" s="4">
        <f>AVERAGE('Raw Data'!AB46:AB47)</f>
        <v>3</v>
      </c>
      <c r="AC24" s="4">
        <f>AVERAGE('Raw Data'!AC46:AC47)</f>
        <v>3.5</v>
      </c>
      <c r="AD24" s="4">
        <f>AVERAGE('Raw Data'!AD46:AD47)</f>
        <v>3</v>
      </c>
      <c r="AE24" s="4">
        <f>AVERAGE('Raw Data'!AE46:AE47)</f>
        <v>4</v>
      </c>
      <c r="AF24" s="4">
        <f>AVERAGE('Raw Data'!AF46:AF47)</f>
        <v>3.5</v>
      </c>
      <c r="AG24" s="4">
        <f>AVERAGE('Raw Data'!AG46:AG47)</f>
        <v>4</v>
      </c>
      <c r="AH24" s="4">
        <f>AVERAGE('Raw Data'!AH46:AH47)</f>
        <v>1.5</v>
      </c>
      <c r="AI24" s="4">
        <f>AVERAGE('Raw Data'!AI46:AI47)</f>
        <v>3.5</v>
      </c>
      <c r="AJ24" s="4">
        <f>AVERAGE('Raw Data'!AJ46:AJ47)</f>
        <v>2.5</v>
      </c>
      <c r="AK24" s="4">
        <f>AVERAGE('Raw Data'!AK46:AK47)</f>
        <v>1.5</v>
      </c>
      <c r="AL24" s="4"/>
      <c r="AM24" s="4"/>
    </row>
    <row r="25" spans="1:39" ht="26.4" x14ac:dyDescent="0.3">
      <c r="A25" s="3">
        <f t="shared" si="0"/>
        <v>24</v>
      </c>
      <c r="B25" s="4"/>
      <c r="C25" s="4"/>
      <c r="D25" s="4"/>
      <c r="E25" s="4"/>
      <c r="F25" s="4"/>
      <c r="G25" s="15" t="s">
        <v>62</v>
      </c>
      <c r="H25" s="4"/>
      <c r="I25" s="4"/>
      <c r="J25" s="4"/>
      <c r="K25" s="4"/>
      <c r="L25" s="4"/>
      <c r="M25" s="4"/>
      <c r="N25" s="11"/>
      <c r="O25" s="4"/>
      <c r="P25" s="4"/>
      <c r="Q25" s="4"/>
      <c r="R25" s="4"/>
      <c r="S25" s="4">
        <f>AVERAGE('Raw Data'!S48:S49)</f>
        <v>5</v>
      </c>
      <c r="T25" s="4">
        <f>AVERAGE('Raw Data'!T48:T49)</f>
        <v>4.5</v>
      </c>
      <c r="U25" s="4">
        <f>AVERAGE('Raw Data'!U48:U49)</f>
        <v>4.5</v>
      </c>
      <c r="V25" s="4">
        <f>AVERAGE('Raw Data'!V48:V49)</f>
        <v>4</v>
      </c>
      <c r="W25" s="4">
        <f>AVERAGE('Raw Data'!W48:W49)</f>
        <v>4</v>
      </c>
      <c r="X25" s="4">
        <f>AVERAGE('Raw Data'!X48:X49)</f>
        <v>5</v>
      </c>
      <c r="Y25" s="4">
        <f>AVERAGE('Raw Data'!Y48:Y49)</f>
        <v>4</v>
      </c>
      <c r="Z25" s="4">
        <f>AVERAGE('Raw Data'!Z48:Z49)</f>
        <v>5</v>
      </c>
      <c r="AA25" s="4">
        <f>AVERAGE('Raw Data'!AA48:AA49)</f>
        <v>4.5</v>
      </c>
      <c r="AB25" s="4">
        <f>AVERAGE('Raw Data'!AB48:AB49)</f>
        <v>3</v>
      </c>
      <c r="AC25" s="4">
        <f>AVERAGE('Raw Data'!AC48:AC49)</f>
        <v>4</v>
      </c>
      <c r="AD25" s="4">
        <f>AVERAGE('Raw Data'!AD48:AD49)</f>
        <v>3</v>
      </c>
      <c r="AE25" s="4">
        <f>AVERAGE('Raw Data'!AE48:AE49)</f>
        <v>4</v>
      </c>
      <c r="AF25" s="4">
        <f>AVERAGE('Raw Data'!AF48:AF49)</f>
        <v>3</v>
      </c>
      <c r="AG25" s="4">
        <f>AVERAGE('Raw Data'!AG48:AG49)</f>
        <v>3.5</v>
      </c>
      <c r="AH25" s="4">
        <f>AVERAGE('Raw Data'!AH48:AH49)</f>
        <v>1</v>
      </c>
      <c r="AI25" s="4">
        <f>AVERAGE('Raw Data'!AI48:AI49)</f>
        <v>1</v>
      </c>
      <c r="AJ25" s="4">
        <f>AVERAGE('Raw Data'!AJ48:AJ49)</f>
        <v>1</v>
      </c>
      <c r="AK25" s="4">
        <f>AVERAGE('Raw Data'!AK48:AK49)</f>
        <v>1</v>
      </c>
      <c r="AL25" s="4"/>
      <c r="AM25" s="4"/>
    </row>
    <row r="26" spans="1:39" ht="26.4" x14ac:dyDescent="0.3">
      <c r="A26" s="3">
        <f t="shared" si="0"/>
        <v>25</v>
      </c>
      <c r="B26" s="4"/>
      <c r="C26" s="4"/>
      <c r="D26" s="4"/>
      <c r="E26" s="4"/>
      <c r="F26" s="4"/>
      <c r="G26" s="15" t="s">
        <v>63</v>
      </c>
      <c r="H26" s="4"/>
      <c r="I26" s="4"/>
      <c r="J26" s="4"/>
      <c r="K26" s="4"/>
      <c r="L26" s="4"/>
      <c r="M26" s="4"/>
      <c r="N26" s="7"/>
      <c r="O26" s="4"/>
      <c r="P26" s="4"/>
      <c r="Q26" s="4"/>
      <c r="R26" s="4"/>
      <c r="S26" s="4">
        <f>AVERAGE('Raw Data'!S50:S51)</f>
        <v>4.5</v>
      </c>
      <c r="T26" s="4">
        <f>AVERAGE('Raw Data'!T50:T51)</f>
        <v>4</v>
      </c>
      <c r="U26" s="4">
        <f>AVERAGE('Raw Data'!U50:U51)</f>
        <v>3.5</v>
      </c>
      <c r="V26" s="4">
        <f>AVERAGE('Raw Data'!V50:V51)</f>
        <v>3</v>
      </c>
      <c r="W26" s="4">
        <f>AVERAGE('Raw Data'!W50:W51)</f>
        <v>3.5</v>
      </c>
      <c r="X26" s="4">
        <f>AVERAGE('Raw Data'!X50:X51)</f>
        <v>3.5</v>
      </c>
      <c r="Y26" s="4">
        <f>AVERAGE('Raw Data'!Y50:Y51)</f>
        <v>3.5</v>
      </c>
      <c r="Z26" s="4">
        <f>AVERAGE('Raw Data'!Z50:Z51)</f>
        <v>3</v>
      </c>
      <c r="AA26" s="4">
        <f>AVERAGE('Raw Data'!AA50:AA51)</f>
        <v>4.5</v>
      </c>
      <c r="AB26" s="4">
        <f>AVERAGE('Raw Data'!AB50:AB51)</f>
        <v>3.5</v>
      </c>
      <c r="AC26" s="4">
        <f>AVERAGE('Raw Data'!AC50:AC51)</f>
        <v>3</v>
      </c>
      <c r="AD26" s="4">
        <f>AVERAGE('Raw Data'!AD50:AD51)</f>
        <v>3</v>
      </c>
      <c r="AE26" s="4">
        <f>AVERAGE('Raw Data'!AE50:AE51)</f>
        <v>3.5</v>
      </c>
      <c r="AF26" s="4">
        <f>AVERAGE('Raw Data'!AF50:AF51)</f>
        <v>4</v>
      </c>
      <c r="AG26" s="4">
        <f>AVERAGE('Raw Data'!AG50:AG51)</f>
        <v>3.5</v>
      </c>
      <c r="AH26" s="4">
        <f>AVERAGE('Raw Data'!AH50:AH51)</f>
        <v>2.5</v>
      </c>
      <c r="AI26" s="4">
        <f>AVERAGE('Raw Data'!AI50:AI51)</f>
        <v>3</v>
      </c>
      <c r="AJ26" s="4">
        <f>AVERAGE('Raw Data'!AJ50:AJ51)</f>
        <v>2.5</v>
      </c>
      <c r="AK26" s="4">
        <f>AVERAGE('Raw Data'!AK50:AK51)</f>
        <v>2.5</v>
      </c>
      <c r="AL26" s="4"/>
      <c r="AM26" s="4"/>
    </row>
    <row r="27" spans="1:39" ht="26.4" x14ac:dyDescent="0.3">
      <c r="A27" s="3">
        <f t="shared" si="0"/>
        <v>26</v>
      </c>
      <c r="B27" s="4"/>
      <c r="C27" s="4"/>
      <c r="D27" s="4"/>
      <c r="E27" s="4"/>
      <c r="F27" s="4"/>
      <c r="G27" s="15" t="s">
        <v>64</v>
      </c>
      <c r="H27" s="4"/>
      <c r="I27" s="4"/>
      <c r="J27" s="4"/>
      <c r="K27" s="4"/>
      <c r="L27" s="4"/>
      <c r="M27" s="4"/>
      <c r="N27" s="11"/>
      <c r="O27" s="4"/>
      <c r="P27" s="4"/>
      <c r="Q27" s="4"/>
      <c r="R27" s="4"/>
      <c r="S27" s="4">
        <f>AVERAGE('Raw Data'!S52:S53)</f>
        <v>5</v>
      </c>
      <c r="T27" s="4">
        <f>AVERAGE('Raw Data'!T52:T53)</f>
        <v>4</v>
      </c>
      <c r="U27" s="4">
        <f>AVERAGE('Raw Data'!U52:U53)</f>
        <v>4.5</v>
      </c>
      <c r="V27" s="4">
        <f>AVERAGE('Raw Data'!V52:V53)</f>
        <v>4</v>
      </c>
      <c r="W27" s="4">
        <f>AVERAGE('Raw Data'!W52:W53)</f>
        <v>4</v>
      </c>
      <c r="X27" s="4">
        <f>AVERAGE('Raw Data'!X52:X53)</f>
        <v>4</v>
      </c>
      <c r="Y27" s="4">
        <f>AVERAGE('Raw Data'!Y52:Y53)</f>
        <v>4.5</v>
      </c>
      <c r="Z27" s="4">
        <f>AVERAGE('Raw Data'!Z52:Z53)</f>
        <v>4.5</v>
      </c>
      <c r="AA27" s="4">
        <f>AVERAGE('Raw Data'!AA52:AA53)</f>
        <v>4.5</v>
      </c>
      <c r="AB27" s="4">
        <f>AVERAGE('Raw Data'!AB52:AB53)</f>
        <v>4</v>
      </c>
      <c r="AC27" s="4">
        <f>AVERAGE('Raw Data'!AC52:AC53)</f>
        <v>4</v>
      </c>
      <c r="AD27" s="4">
        <f>AVERAGE('Raw Data'!AD52:AD53)</f>
        <v>4</v>
      </c>
      <c r="AE27" s="4">
        <f>AVERAGE('Raw Data'!AE52:AE53)</f>
        <v>3</v>
      </c>
      <c r="AF27" s="4">
        <f>AVERAGE('Raw Data'!AF52:AF53)</f>
        <v>3</v>
      </c>
      <c r="AG27" s="4">
        <f>AVERAGE('Raw Data'!AG52:AG53)</f>
        <v>3</v>
      </c>
      <c r="AH27" s="4">
        <f>AVERAGE('Raw Data'!AH52:AH53)</f>
        <v>2</v>
      </c>
      <c r="AI27" s="4">
        <f>AVERAGE('Raw Data'!AI52:AI53)</f>
        <v>2.5</v>
      </c>
      <c r="AJ27" s="4">
        <f>AVERAGE('Raw Data'!AJ52:AJ53)</f>
        <v>2</v>
      </c>
      <c r="AK27" s="4">
        <f>AVERAGE('Raw Data'!AK52:AK53)</f>
        <v>2</v>
      </c>
      <c r="AL27" s="4"/>
      <c r="AM27" s="4"/>
    </row>
    <row r="28" spans="1:39" ht="66" x14ac:dyDescent="0.3">
      <c r="A28" s="3">
        <f>A27+1</f>
        <v>27</v>
      </c>
      <c r="B28" s="4"/>
      <c r="C28" s="4"/>
      <c r="D28" s="4"/>
      <c r="E28" s="4"/>
      <c r="F28" s="4"/>
      <c r="G28" s="15" t="s">
        <v>65</v>
      </c>
      <c r="H28" s="4"/>
      <c r="I28" s="4"/>
      <c r="J28" s="4"/>
      <c r="K28" s="4"/>
      <c r="L28" s="4"/>
      <c r="M28" s="4"/>
      <c r="N28" s="7"/>
      <c r="O28" s="4"/>
      <c r="P28" s="4"/>
      <c r="Q28" s="4"/>
      <c r="R28" s="4"/>
      <c r="S28" s="4">
        <f>AVERAGE('Raw Data'!S54:S55)</f>
        <v>4.5</v>
      </c>
      <c r="T28" s="4">
        <f>AVERAGE('Raw Data'!T54:T55)</f>
        <v>4</v>
      </c>
      <c r="U28" s="4">
        <f>AVERAGE('Raw Data'!U54:U55)</f>
        <v>4</v>
      </c>
      <c r="V28" s="4">
        <f>AVERAGE('Raw Data'!V54:V55)</f>
        <v>4</v>
      </c>
      <c r="W28" s="4">
        <f>AVERAGE('Raw Data'!W54:W55)</f>
        <v>4</v>
      </c>
      <c r="X28" s="4">
        <f>AVERAGE('Raw Data'!X54:X55)</f>
        <v>4.5</v>
      </c>
      <c r="Y28" s="4">
        <f>AVERAGE('Raw Data'!Y54:Y55)</f>
        <v>4.5</v>
      </c>
      <c r="Z28" s="4">
        <f>AVERAGE('Raw Data'!Z54:Z55)</f>
        <v>5</v>
      </c>
      <c r="AA28" s="4">
        <f>AVERAGE('Raw Data'!AA54:AA55)</f>
        <v>4.5</v>
      </c>
      <c r="AB28" s="4">
        <f>AVERAGE('Raw Data'!AB54:AB55)</f>
        <v>3.5</v>
      </c>
      <c r="AC28" s="4">
        <f>AVERAGE('Raw Data'!AC54:AC55)</f>
        <v>3</v>
      </c>
      <c r="AD28" s="4">
        <f>AVERAGE('Raw Data'!AD54:AD55)</f>
        <v>3</v>
      </c>
      <c r="AE28" s="4">
        <f>AVERAGE('Raw Data'!AE54:AE55)</f>
        <v>4</v>
      </c>
      <c r="AF28" s="4">
        <f>AVERAGE('Raw Data'!AF54:AF55)</f>
        <v>3.5</v>
      </c>
      <c r="AG28" s="4">
        <f>AVERAGE('Raw Data'!AG54:AG55)</f>
        <v>4</v>
      </c>
      <c r="AH28" s="4">
        <f>AVERAGE('Raw Data'!AH54:AH55)</f>
        <v>1.5</v>
      </c>
      <c r="AI28" s="4">
        <f>AVERAGE('Raw Data'!AI54:AI55)</f>
        <v>3.5</v>
      </c>
      <c r="AJ28" s="4">
        <f>AVERAGE('Raw Data'!AJ54:AJ55)</f>
        <v>2</v>
      </c>
      <c r="AK28" s="4">
        <f>AVERAGE('Raw Data'!AK54:AK55)</f>
        <v>1.5</v>
      </c>
      <c r="AL28" s="4"/>
      <c r="AM28" s="4"/>
    </row>
    <row r="29" spans="1:39" ht="26.4" x14ac:dyDescent="0.3">
      <c r="A29" s="3">
        <f t="shared" si="0"/>
        <v>28</v>
      </c>
      <c r="B29" s="4"/>
      <c r="C29" s="4"/>
      <c r="D29" s="4"/>
      <c r="E29" s="4"/>
      <c r="F29" s="4"/>
      <c r="G29" s="15" t="s">
        <v>66</v>
      </c>
      <c r="H29" s="4"/>
      <c r="I29" s="4"/>
      <c r="J29" s="4"/>
      <c r="K29" s="4"/>
      <c r="L29" s="4"/>
      <c r="M29" s="4"/>
      <c r="N29" s="11"/>
      <c r="O29" s="4"/>
      <c r="P29" s="4"/>
      <c r="Q29" s="4"/>
      <c r="R29" s="4"/>
      <c r="S29" s="4">
        <f>AVERAGE('Raw Data'!S56:S57)</f>
        <v>4</v>
      </c>
      <c r="T29" s="4">
        <f>AVERAGE('Raw Data'!T56:T57)</f>
        <v>3.5</v>
      </c>
      <c r="U29" s="4">
        <f>AVERAGE('Raw Data'!U56:U57)</f>
        <v>3.5</v>
      </c>
      <c r="V29" s="4">
        <f>AVERAGE('Raw Data'!V56:V57)</f>
        <v>4</v>
      </c>
      <c r="W29" s="4">
        <f>AVERAGE('Raw Data'!W56:W57)</f>
        <v>4.5</v>
      </c>
      <c r="X29" s="4">
        <f>AVERAGE('Raw Data'!X56:X57)</f>
        <v>4.5</v>
      </c>
      <c r="Y29" s="4">
        <f>AVERAGE('Raw Data'!Y56:Y57)</f>
        <v>4</v>
      </c>
      <c r="Z29" s="4">
        <f>AVERAGE('Raw Data'!Z56:Z57)</f>
        <v>5</v>
      </c>
      <c r="AA29" s="4">
        <f>AVERAGE('Raw Data'!AA56:AA57)</f>
        <v>4.5</v>
      </c>
      <c r="AB29" s="4">
        <f>AVERAGE('Raw Data'!AB56:AB57)</f>
        <v>3</v>
      </c>
      <c r="AC29" s="4">
        <f>AVERAGE('Raw Data'!AC56:AC57)</f>
        <v>3</v>
      </c>
      <c r="AD29" s="4">
        <f>AVERAGE('Raw Data'!AD56:AD57)</f>
        <v>3</v>
      </c>
      <c r="AE29" s="4">
        <f>AVERAGE('Raw Data'!AE56:AE57)</f>
        <v>4</v>
      </c>
      <c r="AF29" s="4">
        <f>AVERAGE('Raw Data'!AF56:AF57)</f>
        <v>3.5</v>
      </c>
      <c r="AG29" s="4">
        <f>AVERAGE('Raw Data'!AG56:AG57)</f>
        <v>4</v>
      </c>
      <c r="AH29" s="4">
        <f>AVERAGE('Raw Data'!AH56:AH57)</f>
        <v>1.5</v>
      </c>
      <c r="AI29" s="4">
        <f>AVERAGE('Raw Data'!AI56:AI57)</f>
        <v>3.5</v>
      </c>
      <c r="AJ29" s="4">
        <f>AVERAGE('Raw Data'!AJ56:AJ57)</f>
        <v>2.5</v>
      </c>
      <c r="AK29" s="4">
        <f>AVERAGE('Raw Data'!AK56:AK57)</f>
        <v>1.5</v>
      </c>
      <c r="AL29" s="4"/>
      <c r="AM29" s="4"/>
    </row>
    <row r="30" spans="1:39" ht="26.4" x14ac:dyDescent="0.3">
      <c r="A30" s="3">
        <f t="shared" si="0"/>
        <v>29</v>
      </c>
      <c r="B30" s="4"/>
      <c r="C30" s="4"/>
      <c r="D30" s="4"/>
      <c r="E30" s="4"/>
      <c r="F30" s="4"/>
      <c r="G30" s="15" t="s">
        <v>67</v>
      </c>
      <c r="H30" s="4"/>
      <c r="I30" s="4"/>
      <c r="J30" s="4"/>
      <c r="K30" s="4"/>
      <c r="L30" s="4"/>
      <c r="M30" s="4"/>
      <c r="N30" s="11"/>
      <c r="O30" s="4"/>
      <c r="P30" s="4"/>
      <c r="Q30" s="4"/>
      <c r="R30" s="4"/>
      <c r="S30" s="4">
        <f>AVERAGE('Raw Data'!S58:S59)</f>
        <v>5</v>
      </c>
      <c r="T30" s="4">
        <f>AVERAGE('Raw Data'!T58:T59)</f>
        <v>4.5</v>
      </c>
      <c r="U30" s="4">
        <f>AVERAGE('Raw Data'!U58:U59)</f>
        <v>5</v>
      </c>
      <c r="V30" s="4">
        <f>AVERAGE('Raw Data'!V58:V59)</f>
        <v>4</v>
      </c>
      <c r="W30" s="4">
        <f>AVERAGE('Raw Data'!W58:W59)</f>
        <v>3.5</v>
      </c>
      <c r="X30" s="4">
        <f>AVERAGE('Raw Data'!X58:X59)</f>
        <v>4.5</v>
      </c>
      <c r="Y30" s="4">
        <f>AVERAGE('Raw Data'!Y58:Y59)</f>
        <v>4.5</v>
      </c>
      <c r="Z30" s="4">
        <f>AVERAGE('Raw Data'!Z58:Z59)</f>
        <v>5</v>
      </c>
      <c r="AA30" s="4">
        <f>AVERAGE('Raw Data'!AA58:AA59)</f>
        <v>4.5</v>
      </c>
      <c r="AB30" s="4">
        <f>AVERAGE('Raw Data'!AB58:AB59)</f>
        <v>3</v>
      </c>
      <c r="AC30" s="4">
        <f>AVERAGE('Raw Data'!AC58:AC59)</f>
        <v>3</v>
      </c>
      <c r="AD30" s="4">
        <f>AVERAGE('Raw Data'!AD58:AD59)</f>
        <v>3</v>
      </c>
      <c r="AE30" s="4">
        <f>AVERAGE('Raw Data'!AE58:AE59)</f>
        <v>3.5</v>
      </c>
      <c r="AF30" s="4">
        <f>AVERAGE('Raw Data'!AF58:AF59)</f>
        <v>3</v>
      </c>
      <c r="AG30" s="4">
        <f>AVERAGE('Raw Data'!AG58:AG59)</f>
        <v>4</v>
      </c>
      <c r="AH30" s="4">
        <f>AVERAGE('Raw Data'!AH58:AH59)</f>
        <v>1.5</v>
      </c>
      <c r="AI30" s="4">
        <f>AVERAGE('Raw Data'!AI58:AI59)</f>
        <v>3.5</v>
      </c>
      <c r="AJ30" s="4">
        <f>AVERAGE('Raw Data'!AJ58:AJ59)</f>
        <v>2</v>
      </c>
      <c r="AK30" s="4">
        <f>AVERAGE('Raw Data'!AK58:AK59)</f>
        <v>1.5</v>
      </c>
      <c r="AL30" s="4"/>
      <c r="AM30" s="4"/>
    </row>
    <row r="31" spans="1:39" ht="26.4" x14ac:dyDescent="0.3">
      <c r="A31" s="3">
        <f>A30+1</f>
        <v>30</v>
      </c>
      <c r="B31" s="4"/>
      <c r="C31" s="4"/>
      <c r="D31" s="4"/>
      <c r="E31" s="4"/>
      <c r="F31" s="4"/>
      <c r="G31" s="14" t="s">
        <v>68</v>
      </c>
      <c r="H31" s="4"/>
      <c r="I31" s="4"/>
      <c r="J31" s="4"/>
      <c r="K31" s="4"/>
      <c r="L31" s="4"/>
      <c r="M31" s="4"/>
      <c r="N31" s="11"/>
      <c r="O31" s="4"/>
      <c r="P31" s="4"/>
      <c r="Q31" s="4"/>
      <c r="R31" s="4"/>
      <c r="S31" s="4">
        <f>AVERAGE('Raw Data'!S60:S61)</f>
        <v>3.5</v>
      </c>
      <c r="T31" s="4">
        <f>AVERAGE('Raw Data'!T60:T61)</f>
        <v>3.5</v>
      </c>
      <c r="U31" s="4">
        <f>AVERAGE('Raw Data'!U60:U61)</f>
        <v>3</v>
      </c>
      <c r="V31" s="4">
        <f>AVERAGE('Raw Data'!V60:V61)</f>
        <v>3</v>
      </c>
      <c r="W31" s="4">
        <f>AVERAGE('Raw Data'!W60:W61)</f>
        <v>3.5</v>
      </c>
      <c r="X31" s="4">
        <f>AVERAGE('Raw Data'!X60:X61)</f>
        <v>4</v>
      </c>
      <c r="Y31" s="4">
        <f>AVERAGE('Raw Data'!Y60:Y61)</f>
        <v>3.5</v>
      </c>
      <c r="Z31" s="4">
        <f>AVERAGE('Raw Data'!Z60:Z61)</f>
        <v>4.5</v>
      </c>
      <c r="AA31" s="4">
        <f>AVERAGE('Raw Data'!AA60:AA61)</f>
        <v>3.5</v>
      </c>
      <c r="AB31" s="4">
        <f>AVERAGE('Raw Data'!AB60:AB61)</f>
        <v>2.5</v>
      </c>
      <c r="AC31" s="4">
        <f>AVERAGE('Raw Data'!AC60:AC61)</f>
        <v>3.5</v>
      </c>
      <c r="AD31" s="4">
        <f>AVERAGE('Raw Data'!AD60:AD61)</f>
        <v>3</v>
      </c>
      <c r="AE31" s="4">
        <f>AVERAGE('Raw Data'!AE60:AE61)</f>
        <v>3.5</v>
      </c>
      <c r="AF31" s="4">
        <f>AVERAGE('Raw Data'!AF60:AF61)</f>
        <v>3</v>
      </c>
      <c r="AG31" s="4">
        <f>AVERAGE('Raw Data'!AG60:AG61)</f>
        <v>4</v>
      </c>
      <c r="AH31" s="4">
        <f>AVERAGE('Raw Data'!AH60:AH61)</f>
        <v>3</v>
      </c>
      <c r="AI31" s="4">
        <f>AVERAGE('Raw Data'!AI60:AI61)</f>
        <v>4</v>
      </c>
      <c r="AJ31" s="4">
        <f>AVERAGE('Raw Data'!AJ60:AJ61)</f>
        <v>3</v>
      </c>
      <c r="AK31" s="4">
        <f>AVERAGE('Raw Data'!AK60:AK61)</f>
        <v>3</v>
      </c>
      <c r="AL31" s="4"/>
      <c r="AM31" s="4"/>
    </row>
    <row r="32" spans="1:39" ht="39.6" x14ac:dyDescent="0.3">
      <c r="A32" s="3">
        <f t="shared" ref="A32:A54" si="1">A31+1</f>
        <v>31</v>
      </c>
      <c r="B32" s="4"/>
      <c r="C32" s="4"/>
      <c r="D32" s="4"/>
      <c r="E32" s="4"/>
      <c r="F32" s="4"/>
      <c r="G32" s="14" t="s">
        <v>69</v>
      </c>
      <c r="H32" s="4"/>
      <c r="I32" s="4"/>
      <c r="J32" s="4"/>
      <c r="K32" s="4"/>
      <c r="L32" s="4"/>
      <c r="M32" s="4"/>
      <c r="N32" s="11"/>
      <c r="O32" s="4"/>
      <c r="P32" s="4"/>
      <c r="Q32" s="4"/>
      <c r="R32" s="4"/>
      <c r="S32" s="4">
        <f>AVERAGE('Raw Data'!S62:S63)</f>
        <v>4.5</v>
      </c>
      <c r="T32" s="4">
        <f>AVERAGE('Raw Data'!T62:T63)</f>
        <v>4.5</v>
      </c>
      <c r="U32" s="4">
        <f>AVERAGE('Raw Data'!U62:U63)</f>
        <v>4</v>
      </c>
      <c r="V32" s="4">
        <f>AVERAGE('Raw Data'!V62:V63)</f>
        <v>4</v>
      </c>
      <c r="W32" s="4">
        <f>AVERAGE('Raw Data'!W62:W63)</f>
        <v>4</v>
      </c>
      <c r="X32" s="4">
        <f>AVERAGE('Raw Data'!X62:X63)</f>
        <v>4.5</v>
      </c>
      <c r="Y32" s="4">
        <f>AVERAGE('Raw Data'!Y62:Y63)</f>
        <v>4</v>
      </c>
      <c r="Z32" s="4">
        <f>AVERAGE('Raw Data'!Z62:Z63)</f>
        <v>5</v>
      </c>
      <c r="AA32" s="4">
        <f>AVERAGE('Raw Data'!AA62:AA63)</f>
        <v>4.5</v>
      </c>
      <c r="AB32" s="4">
        <f>AVERAGE('Raw Data'!AB62:AB63)</f>
        <v>3.5</v>
      </c>
      <c r="AC32" s="4">
        <f>AVERAGE('Raw Data'!AC62:AC63)</f>
        <v>3.5</v>
      </c>
      <c r="AD32" s="4">
        <f>AVERAGE('Raw Data'!AD62:AD63)</f>
        <v>3</v>
      </c>
      <c r="AE32" s="4">
        <f>AVERAGE('Raw Data'!AE62:AE63)</f>
        <v>5</v>
      </c>
      <c r="AF32" s="4">
        <f>AVERAGE('Raw Data'!AF62:AF63)</f>
        <v>4</v>
      </c>
      <c r="AG32" s="4">
        <f>AVERAGE('Raw Data'!AG62:AG63)</f>
        <v>5</v>
      </c>
      <c r="AH32" s="4">
        <f>AVERAGE('Raw Data'!AH62:AH63)</f>
        <v>2</v>
      </c>
      <c r="AI32" s="4">
        <f>AVERAGE('Raw Data'!AI62:AI63)</f>
        <v>3.5</v>
      </c>
      <c r="AJ32" s="4">
        <f>AVERAGE('Raw Data'!AJ62:AJ63)</f>
        <v>2</v>
      </c>
      <c r="AK32" s="4">
        <f>AVERAGE('Raw Data'!AK62:AK63)</f>
        <v>2</v>
      </c>
      <c r="AL32" s="4"/>
      <c r="AM32" s="4"/>
    </row>
    <row r="33" spans="1:39" ht="26.4" x14ac:dyDescent="0.3">
      <c r="A33" s="3">
        <f t="shared" si="1"/>
        <v>32</v>
      </c>
      <c r="B33" s="4"/>
      <c r="C33" s="4"/>
      <c r="D33" s="4"/>
      <c r="E33" s="4"/>
      <c r="F33" s="4"/>
      <c r="G33" s="15" t="s">
        <v>70</v>
      </c>
      <c r="H33" s="4"/>
      <c r="I33" s="4"/>
      <c r="J33" s="4"/>
      <c r="K33" s="4"/>
      <c r="L33" s="4"/>
      <c r="M33" s="4"/>
      <c r="N33" s="11"/>
      <c r="O33" s="4"/>
      <c r="P33" s="4"/>
      <c r="Q33" s="4"/>
      <c r="R33" s="4"/>
      <c r="S33" s="4">
        <f>AVERAGE('Raw Data'!S64:S65)</f>
        <v>4.5</v>
      </c>
      <c r="T33" s="4">
        <f>AVERAGE('Raw Data'!T64:T65)</f>
        <v>4</v>
      </c>
      <c r="U33" s="4">
        <f>AVERAGE('Raw Data'!U64:U65)</f>
        <v>4</v>
      </c>
      <c r="V33" s="4">
        <f>AVERAGE('Raw Data'!V64:V65)</f>
        <v>3.5</v>
      </c>
      <c r="W33" s="4">
        <f>AVERAGE('Raw Data'!W64:W65)</f>
        <v>3.5</v>
      </c>
      <c r="X33" s="4">
        <f>AVERAGE('Raw Data'!X64:X65)</f>
        <v>4.5</v>
      </c>
      <c r="Y33" s="4">
        <f>AVERAGE('Raw Data'!Y64:Y65)</f>
        <v>4.5</v>
      </c>
      <c r="Z33" s="4">
        <f>AVERAGE('Raw Data'!Z64:Z65)</f>
        <v>5</v>
      </c>
      <c r="AA33" s="4">
        <f>AVERAGE('Raw Data'!AA64:AA65)</f>
        <v>5</v>
      </c>
      <c r="AB33" s="4">
        <f>AVERAGE('Raw Data'!AB64:AB65)</f>
        <v>3.5</v>
      </c>
      <c r="AC33" s="4">
        <f>AVERAGE('Raw Data'!AC64:AC65)</f>
        <v>3</v>
      </c>
      <c r="AD33" s="4">
        <f>AVERAGE('Raw Data'!AD64:AD65)</f>
        <v>3.5</v>
      </c>
      <c r="AE33" s="4">
        <f>AVERAGE('Raw Data'!AE64:AE65)</f>
        <v>4</v>
      </c>
      <c r="AF33" s="4">
        <f>AVERAGE('Raw Data'!AF64:AF65)</f>
        <v>3.5</v>
      </c>
      <c r="AG33" s="4">
        <f>AVERAGE('Raw Data'!AG64:AG65)</f>
        <v>4.5</v>
      </c>
      <c r="AH33" s="4">
        <f>AVERAGE('Raw Data'!AH64:AH65)</f>
        <v>3</v>
      </c>
      <c r="AI33" s="4">
        <f>AVERAGE('Raw Data'!AI64:AI65)</f>
        <v>3</v>
      </c>
      <c r="AJ33" s="4">
        <f>AVERAGE('Raw Data'!AJ64:AJ65)</f>
        <v>2</v>
      </c>
      <c r="AK33" s="4">
        <f>AVERAGE('Raw Data'!AK64:AK65)</f>
        <v>2.5</v>
      </c>
      <c r="AL33" s="4"/>
      <c r="AM33" s="4"/>
    </row>
    <row r="34" spans="1:39" ht="26.4" x14ac:dyDescent="0.3">
      <c r="A34" s="3">
        <f t="shared" si="1"/>
        <v>33</v>
      </c>
      <c r="B34" s="4"/>
      <c r="C34" s="4"/>
      <c r="D34" s="4"/>
      <c r="E34" s="4"/>
      <c r="F34" s="4"/>
      <c r="G34" s="15" t="s">
        <v>71</v>
      </c>
      <c r="H34" s="4"/>
      <c r="I34" s="4"/>
      <c r="J34" s="4"/>
      <c r="K34" s="4"/>
      <c r="L34" s="4"/>
      <c r="M34" s="4"/>
      <c r="N34" s="7"/>
      <c r="O34" s="4"/>
      <c r="P34" s="4"/>
      <c r="Q34" s="4"/>
      <c r="R34" s="4"/>
      <c r="S34" s="4">
        <f>AVERAGE('Raw Data'!S66:S67)</f>
        <v>4</v>
      </c>
      <c r="T34" s="4">
        <f>AVERAGE('Raw Data'!T66:T67)</f>
        <v>4</v>
      </c>
      <c r="U34" s="4">
        <f>AVERAGE('Raw Data'!U66:U67)</f>
        <v>4</v>
      </c>
      <c r="V34" s="4">
        <f>AVERAGE('Raw Data'!V66:V67)</f>
        <v>3</v>
      </c>
      <c r="W34" s="4">
        <f>AVERAGE('Raw Data'!W66:W67)</f>
        <v>3.5</v>
      </c>
      <c r="X34" s="4">
        <f>AVERAGE('Raw Data'!X66:X67)</f>
        <v>3</v>
      </c>
      <c r="Y34" s="4">
        <f>AVERAGE('Raw Data'!Y66:Y67)</f>
        <v>4</v>
      </c>
      <c r="Z34" s="4">
        <f>AVERAGE('Raw Data'!Z66:Z67)</f>
        <v>3</v>
      </c>
      <c r="AA34" s="4">
        <f>AVERAGE('Raw Data'!AA66:AA67)</f>
        <v>3.5</v>
      </c>
      <c r="AB34" s="4">
        <f>AVERAGE('Raw Data'!AB66:AB67)</f>
        <v>3</v>
      </c>
      <c r="AC34" s="4">
        <f>AVERAGE('Raw Data'!AC66:AC67)</f>
        <v>3</v>
      </c>
      <c r="AD34" s="4">
        <f>AVERAGE('Raw Data'!AD66:AD67)</f>
        <v>3</v>
      </c>
      <c r="AE34" s="4">
        <f>AVERAGE('Raw Data'!AE66:AE67)</f>
        <v>3.5</v>
      </c>
      <c r="AF34" s="4">
        <f>AVERAGE('Raw Data'!AF66:AF67)</f>
        <v>3.5</v>
      </c>
      <c r="AG34" s="4">
        <f>AVERAGE('Raw Data'!AG66:AG67)</f>
        <v>3</v>
      </c>
      <c r="AH34" s="4">
        <f>AVERAGE('Raw Data'!AH66:AH67)</f>
        <v>1.5</v>
      </c>
      <c r="AI34" s="4">
        <f>AVERAGE('Raw Data'!AI66:AI67)</f>
        <v>3</v>
      </c>
      <c r="AJ34" s="4">
        <f>AVERAGE('Raw Data'!AJ66:AJ67)</f>
        <v>2</v>
      </c>
      <c r="AK34" s="4">
        <f>AVERAGE('Raw Data'!AK66:AK67)</f>
        <v>1.5</v>
      </c>
      <c r="AL34" s="4"/>
      <c r="AM34" s="4"/>
    </row>
    <row r="35" spans="1:39" ht="26.4" x14ac:dyDescent="0.3">
      <c r="A35" s="3">
        <f t="shared" si="1"/>
        <v>34</v>
      </c>
      <c r="B35" s="4"/>
      <c r="C35" s="4"/>
      <c r="D35" s="4"/>
      <c r="E35" s="4"/>
      <c r="F35" s="4"/>
      <c r="G35" s="15" t="s">
        <v>72</v>
      </c>
      <c r="H35" s="4"/>
      <c r="I35" s="4"/>
      <c r="J35" s="4"/>
      <c r="K35" s="4"/>
      <c r="L35" s="4"/>
      <c r="M35" s="4"/>
      <c r="N35" s="11"/>
      <c r="O35" s="4"/>
      <c r="P35" s="4"/>
      <c r="Q35" s="4"/>
      <c r="R35" s="4"/>
      <c r="S35" s="4">
        <f>AVERAGE('Raw Data'!S68:S69)</f>
        <v>4</v>
      </c>
      <c r="T35" s="4">
        <f>AVERAGE('Raw Data'!T68:T69)</f>
        <v>3.5</v>
      </c>
      <c r="U35" s="4">
        <f>AVERAGE('Raw Data'!U68:U69)</f>
        <v>4</v>
      </c>
      <c r="V35" s="4">
        <f>AVERAGE('Raw Data'!V68:V69)</f>
        <v>3.5</v>
      </c>
      <c r="W35" s="4">
        <f>AVERAGE('Raw Data'!W68:W69)</f>
        <v>3</v>
      </c>
      <c r="X35" s="4">
        <f>AVERAGE('Raw Data'!X68:X69)</f>
        <v>4</v>
      </c>
      <c r="Y35" s="4">
        <f>AVERAGE('Raw Data'!Y68:Y69)</f>
        <v>3.5</v>
      </c>
      <c r="Z35" s="4">
        <f>AVERAGE('Raw Data'!Z68:Z69)</f>
        <v>4</v>
      </c>
      <c r="AA35" s="4">
        <f>AVERAGE('Raw Data'!AA68:AA69)</f>
        <v>4</v>
      </c>
      <c r="AB35" s="4">
        <f>AVERAGE('Raw Data'!AB68:AB69)</f>
        <v>2.5</v>
      </c>
      <c r="AC35" s="4">
        <f>AVERAGE('Raw Data'!AC68:AC69)</f>
        <v>3.5</v>
      </c>
      <c r="AD35" s="4">
        <f>AVERAGE('Raw Data'!AD68:AD69)</f>
        <v>3</v>
      </c>
      <c r="AE35" s="4">
        <f>AVERAGE('Raw Data'!AE68:AE69)</f>
        <v>3</v>
      </c>
      <c r="AF35" s="4">
        <f>AVERAGE('Raw Data'!AF68:AF69)</f>
        <v>3.5</v>
      </c>
      <c r="AG35" s="4">
        <f>AVERAGE('Raw Data'!AG68:AG69)</f>
        <v>3</v>
      </c>
      <c r="AH35" s="4">
        <f>AVERAGE('Raw Data'!AH68:AH69)</f>
        <v>2</v>
      </c>
      <c r="AI35" s="4">
        <f>AVERAGE('Raw Data'!AI68:AI69)</f>
        <v>3</v>
      </c>
      <c r="AJ35" s="4">
        <f>AVERAGE('Raw Data'!AJ68:AJ69)</f>
        <v>1.5</v>
      </c>
      <c r="AK35" s="4">
        <f>AVERAGE('Raw Data'!AK68:AK69)</f>
        <v>2</v>
      </c>
      <c r="AL35" s="4"/>
      <c r="AM35" s="4"/>
    </row>
    <row r="36" spans="1:39" ht="26.4" x14ac:dyDescent="0.3">
      <c r="A36" s="3">
        <f t="shared" si="1"/>
        <v>35</v>
      </c>
      <c r="B36" s="4"/>
      <c r="C36" s="4"/>
      <c r="D36" s="4"/>
      <c r="E36" s="4"/>
      <c r="F36" s="4"/>
      <c r="G36" s="15" t="s">
        <v>73</v>
      </c>
      <c r="H36" s="4"/>
      <c r="I36" s="4"/>
      <c r="J36" s="4"/>
      <c r="K36" s="4"/>
      <c r="L36" s="4"/>
      <c r="M36" s="4"/>
      <c r="N36" s="11"/>
      <c r="O36" s="4"/>
      <c r="P36" s="4"/>
      <c r="Q36" s="4"/>
      <c r="R36" s="4"/>
      <c r="S36" s="4">
        <f>AVERAGE('Raw Data'!S70:S71)</f>
        <v>4.5</v>
      </c>
      <c r="T36" s="4">
        <f>AVERAGE('Raw Data'!T70:T71)</f>
        <v>4</v>
      </c>
      <c r="U36" s="4">
        <f>AVERAGE('Raw Data'!U70:U71)</f>
        <v>3.5</v>
      </c>
      <c r="V36" s="4">
        <f>AVERAGE('Raw Data'!V70:V71)</f>
        <v>3.5</v>
      </c>
      <c r="W36" s="4">
        <f>AVERAGE('Raw Data'!W70:W71)</f>
        <v>4</v>
      </c>
      <c r="X36" s="4">
        <f>AVERAGE('Raw Data'!X70:X71)</f>
        <v>4.5</v>
      </c>
      <c r="Y36" s="4">
        <f>AVERAGE('Raw Data'!Y70:Y71)</f>
        <v>4.5</v>
      </c>
      <c r="Z36" s="4">
        <f>AVERAGE('Raw Data'!Z70:Z71)</f>
        <v>5</v>
      </c>
      <c r="AA36" s="4">
        <f>AVERAGE('Raw Data'!AA70:AA71)</f>
        <v>5</v>
      </c>
      <c r="AB36" s="4">
        <f>AVERAGE('Raw Data'!AB70:AB71)</f>
        <v>3</v>
      </c>
      <c r="AC36" s="4">
        <f>AVERAGE('Raw Data'!AC70:AC71)</f>
        <v>3</v>
      </c>
      <c r="AD36" s="4">
        <f>AVERAGE('Raw Data'!AD70:AD71)</f>
        <v>3</v>
      </c>
      <c r="AE36" s="4">
        <f>AVERAGE('Raw Data'!AE70:AE71)</f>
        <v>4</v>
      </c>
      <c r="AF36" s="4">
        <f>AVERAGE('Raw Data'!AF70:AF71)</f>
        <v>4</v>
      </c>
      <c r="AG36" s="4">
        <f>AVERAGE('Raw Data'!AG70:AG71)</f>
        <v>4</v>
      </c>
      <c r="AH36" s="4">
        <f>AVERAGE('Raw Data'!AH70:AH71)</f>
        <v>1</v>
      </c>
      <c r="AI36" s="4">
        <f>AVERAGE('Raw Data'!AI70:AI71)</f>
        <v>2.5</v>
      </c>
      <c r="AJ36" s="4">
        <f>AVERAGE('Raw Data'!AJ70:AJ71)</f>
        <v>1.5</v>
      </c>
      <c r="AK36" s="4">
        <f>AVERAGE('Raw Data'!AK70:AK71)</f>
        <v>1</v>
      </c>
      <c r="AL36" s="4"/>
      <c r="AM36" s="4"/>
    </row>
    <row r="37" spans="1:39" ht="26.4" x14ac:dyDescent="0.3">
      <c r="A37" s="3">
        <f t="shared" si="1"/>
        <v>36</v>
      </c>
      <c r="B37" s="4"/>
      <c r="C37" s="4"/>
      <c r="D37" s="4"/>
      <c r="E37" s="4"/>
      <c r="F37" s="4"/>
      <c r="G37" s="15" t="s">
        <v>74</v>
      </c>
      <c r="H37" s="4"/>
      <c r="I37" s="4"/>
      <c r="J37" s="4"/>
      <c r="K37" s="4"/>
      <c r="L37" s="4"/>
      <c r="M37" s="4"/>
      <c r="N37" s="11"/>
      <c r="O37" s="4"/>
      <c r="P37" s="4"/>
      <c r="Q37" s="4"/>
      <c r="R37" s="4"/>
      <c r="S37" s="4">
        <f>AVERAGE('Raw Data'!S72:S73)</f>
        <v>4</v>
      </c>
      <c r="T37" s="4">
        <f>AVERAGE('Raw Data'!T72:T73)</f>
        <v>3</v>
      </c>
      <c r="U37" s="4">
        <f>AVERAGE('Raw Data'!U72:U73)</f>
        <v>3.5</v>
      </c>
      <c r="V37" s="4">
        <f>AVERAGE('Raw Data'!V72:V73)</f>
        <v>3.5</v>
      </c>
      <c r="W37" s="4">
        <f>AVERAGE('Raw Data'!W72:W73)</f>
        <v>3</v>
      </c>
      <c r="X37" s="4">
        <f>AVERAGE('Raw Data'!X72:X73)</f>
        <v>3.5</v>
      </c>
      <c r="Y37" s="4">
        <f>AVERAGE('Raw Data'!Y72:Y73)</f>
        <v>3.5</v>
      </c>
      <c r="Z37" s="4">
        <f>AVERAGE('Raw Data'!Z72:Z73)</f>
        <v>4.5</v>
      </c>
      <c r="AA37" s="4">
        <f>AVERAGE('Raw Data'!AA72:AA73)</f>
        <v>3.5</v>
      </c>
      <c r="AB37" s="4">
        <f>AVERAGE('Raw Data'!AB72:AB73)</f>
        <v>2.5</v>
      </c>
      <c r="AC37" s="4">
        <f>AVERAGE('Raw Data'!AC72:AC73)</f>
        <v>3</v>
      </c>
      <c r="AD37" s="4">
        <f>AVERAGE('Raw Data'!AD72:AD73)</f>
        <v>2.5</v>
      </c>
      <c r="AE37" s="4">
        <f>AVERAGE('Raw Data'!AE72:AE73)</f>
        <v>3.5</v>
      </c>
      <c r="AF37" s="4">
        <f>AVERAGE('Raw Data'!AF72:AF73)</f>
        <v>3</v>
      </c>
      <c r="AG37" s="4">
        <f>AVERAGE('Raw Data'!AG72:AG73)</f>
        <v>4</v>
      </c>
      <c r="AH37" s="4">
        <f>AVERAGE('Raw Data'!AH72:AH73)</f>
        <v>2</v>
      </c>
      <c r="AI37" s="4">
        <f>AVERAGE('Raw Data'!AI72:AI73)</f>
        <v>3.5</v>
      </c>
      <c r="AJ37" s="4">
        <f>AVERAGE('Raw Data'!AJ72:AJ73)</f>
        <v>1.5</v>
      </c>
      <c r="AK37" s="4">
        <f>AVERAGE('Raw Data'!AK72:AK73)</f>
        <v>1.5</v>
      </c>
      <c r="AL37" s="4"/>
      <c r="AM37" s="4"/>
    </row>
    <row r="38" spans="1:39" ht="26.4" x14ac:dyDescent="0.3">
      <c r="A38" s="3">
        <f t="shared" si="1"/>
        <v>37</v>
      </c>
      <c r="B38" s="4"/>
      <c r="C38" s="4"/>
      <c r="D38" s="4"/>
      <c r="E38" s="4"/>
      <c r="F38" s="4"/>
      <c r="G38" s="15" t="s">
        <v>75</v>
      </c>
      <c r="H38" s="4"/>
      <c r="I38" s="4"/>
      <c r="J38" s="4"/>
      <c r="K38" s="4"/>
      <c r="L38" s="4"/>
      <c r="M38" s="4"/>
      <c r="N38" s="7"/>
      <c r="O38" s="4"/>
      <c r="P38" s="4"/>
      <c r="Q38" s="4"/>
      <c r="R38" s="4"/>
      <c r="S38" s="4">
        <f>AVERAGE('Raw Data'!S74:S75)</f>
        <v>3</v>
      </c>
      <c r="T38" s="4">
        <f>AVERAGE('Raw Data'!T74:T75)</f>
        <v>4</v>
      </c>
      <c r="U38" s="4">
        <f>AVERAGE('Raw Data'!U74:U75)</f>
        <v>3.5</v>
      </c>
      <c r="V38" s="4">
        <f>AVERAGE('Raw Data'!V74:V75)</f>
        <v>3</v>
      </c>
      <c r="W38" s="4">
        <f>AVERAGE('Raw Data'!W74:W75)</f>
        <v>3.5</v>
      </c>
      <c r="X38" s="4">
        <f>AVERAGE('Raw Data'!X74:X75)</f>
        <v>3.5</v>
      </c>
      <c r="Y38" s="4">
        <f>AVERAGE('Raw Data'!Y74:Y75)</f>
        <v>4.5</v>
      </c>
      <c r="Z38" s="4">
        <f>AVERAGE('Raw Data'!Z74:Z75)</f>
        <v>4.5</v>
      </c>
      <c r="AA38" s="4">
        <f>AVERAGE('Raw Data'!AA74:AA75)</f>
        <v>3.5</v>
      </c>
      <c r="AB38" s="4">
        <f>AVERAGE('Raw Data'!AB74:AB75)</f>
        <v>3</v>
      </c>
      <c r="AC38" s="4">
        <f>AVERAGE('Raw Data'!AC74:AC75)</f>
        <v>4</v>
      </c>
      <c r="AD38" s="4">
        <f>AVERAGE('Raw Data'!AD74:AD75)</f>
        <v>4</v>
      </c>
      <c r="AE38" s="4">
        <f>AVERAGE('Raw Data'!AE74:AE75)</f>
        <v>3</v>
      </c>
      <c r="AF38" s="4">
        <f>AVERAGE('Raw Data'!AF74:AF75)</f>
        <v>3</v>
      </c>
      <c r="AG38" s="4">
        <f>AVERAGE('Raw Data'!AG74:AG75)</f>
        <v>3.5</v>
      </c>
      <c r="AH38" s="4">
        <f>AVERAGE('Raw Data'!AH74:AH75)</f>
        <v>1</v>
      </c>
      <c r="AI38" s="4">
        <f>AVERAGE('Raw Data'!AI74:AI75)</f>
        <v>2.5</v>
      </c>
      <c r="AJ38" s="4">
        <f>AVERAGE('Raw Data'!AJ74:AJ75)</f>
        <v>2</v>
      </c>
      <c r="AK38" s="4">
        <f>AVERAGE('Raw Data'!AK74:AK75)</f>
        <v>1</v>
      </c>
      <c r="AL38" s="4"/>
      <c r="AM38" s="4"/>
    </row>
    <row r="39" spans="1:39" ht="26.4" x14ac:dyDescent="0.3">
      <c r="A39" s="3">
        <f t="shared" si="1"/>
        <v>38</v>
      </c>
      <c r="B39" s="4"/>
      <c r="C39" s="4"/>
      <c r="D39" s="4"/>
      <c r="E39" s="4"/>
      <c r="F39" s="4"/>
      <c r="G39" s="15" t="s">
        <v>76</v>
      </c>
      <c r="H39" s="4"/>
      <c r="I39" s="4"/>
      <c r="J39" s="4"/>
      <c r="K39" s="4"/>
      <c r="L39" s="4"/>
      <c r="M39" s="4"/>
      <c r="N39" s="11"/>
      <c r="O39" s="4"/>
      <c r="P39" s="4"/>
      <c r="Q39" s="4"/>
      <c r="R39" s="4"/>
      <c r="S39" s="4">
        <f>AVERAGE('Raw Data'!S76:S77)</f>
        <v>5</v>
      </c>
      <c r="T39" s="4">
        <f>AVERAGE('Raw Data'!T76:T77)</f>
        <v>4.5</v>
      </c>
      <c r="U39" s="4">
        <f>AVERAGE('Raw Data'!U76:U77)</f>
        <v>5</v>
      </c>
      <c r="V39" s="4">
        <f>AVERAGE('Raw Data'!V76:V77)</f>
        <v>3.5</v>
      </c>
      <c r="W39" s="4">
        <f>AVERAGE('Raw Data'!W76:W77)</f>
        <v>3</v>
      </c>
      <c r="X39" s="4">
        <f>AVERAGE('Raw Data'!X76:X77)</f>
        <v>3.5</v>
      </c>
      <c r="Y39" s="4">
        <f>AVERAGE('Raw Data'!Y76:Y77)</f>
        <v>4.5</v>
      </c>
      <c r="Z39" s="4">
        <f>AVERAGE('Raw Data'!Z76:Z77)</f>
        <v>3.5</v>
      </c>
      <c r="AA39" s="4">
        <f>AVERAGE('Raw Data'!AA76:AA77)</f>
        <v>3.5</v>
      </c>
      <c r="AB39" s="4">
        <f>AVERAGE('Raw Data'!AB76:AB77)</f>
        <v>3.5</v>
      </c>
      <c r="AC39" s="4">
        <f>AVERAGE('Raw Data'!AC76:AC77)</f>
        <v>3</v>
      </c>
      <c r="AD39" s="4">
        <f>AVERAGE('Raw Data'!AD76:AD77)</f>
        <v>3</v>
      </c>
      <c r="AE39" s="4">
        <f>AVERAGE('Raw Data'!AE76:AE77)</f>
        <v>3.5</v>
      </c>
      <c r="AF39" s="4">
        <f>AVERAGE('Raw Data'!AF76:AF77)</f>
        <v>3</v>
      </c>
      <c r="AG39" s="4">
        <f>AVERAGE('Raw Data'!AG76:AG77)</f>
        <v>3.5</v>
      </c>
      <c r="AH39" s="4">
        <f>AVERAGE('Raw Data'!AH76:AH77)</f>
        <v>2.5</v>
      </c>
      <c r="AI39" s="4">
        <f>AVERAGE('Raw Data'!AI76:AI77)</f>
        <v>2.5</v>
      </c>
      <c r="AJ39" s="4">
        <f>AVERAGE('Raw Data'!AJ76:AJ77)</f>
        <v>2</v>
      </c>
      <c r="AK39" s="4">
        <f>AVERAGE('Raw Data'!AK76:AK77)</f>
        <v>2</v>
      </c>
      <c r="AL39" s="4"/>
      <c r="AM39" s="4"/>
    </row>
    <row r="40" spans="1:39" ht="26.4" x14ac:dyDescent="0.3">
      <c r="A40" s="3">
        <f t="shared" si="1"/>
        <v>39</v>
      </c>
      <c r="B40" s="4"/>
      <c r="C40" s="4"/>
      <c r="D40" s="4"/>
      <c r="E40" s="4"/>
      <c r="F40" s="4"/>
      <c r="G40" s="15" t="s">
        <v>77</v>
      </c>
      <c r="H40" s="4"/>
      <c r="I40" s="4"/>
      <c r="J40" s="4"/>
      <c r="K40" s="4"/>
      <c r="L40" s="4"/>
      <c r="M40" s="4"/>
      <c r="N40" s="11"/>
      <c r="O40" s="4"/>
      <c r="P40" s="4"/>
      <c r="Q40" s="4"/>
      <c r="R40" s="4"/>
      <c r="S40" s="4">
        <f>AVERAGE('Raw Data'!S78:S79)</f>
        <v>4.5</v>
      </c>
      <c r="T40" s="4">
        <f>AVERAGE('Raw Data'!T78:T79)</f>
        <v>4.5</v>
      </c>
      <c r="U40" s="4">
        <f>AVERAGE('Raw Data'!U78:U79)</f>
        <v>4.5</v>
      </c>
      <c r="V40" s="4">
        <f>AVERAGE('Raw Data'!V78:V79)</f>
        <v>3.5</v>
      </c>
      <c r="W40" s="4">
        <f>AVERAGE('Raw Data'!W78:W79)</f>
        <v>3</v>
      </c>
      <c r="X40" s="4">
        <f>AVERAGE('Raw Data'!X78:X79)</f>
        <v>4</v>
      </c>
      <c r="Y40" s="4">
        <f>AVERAGE('Raw Data'!Y78:Y79)</f>
        <v>4</v>
      </c>
      <c r="Z40" s="4">
        <f>AVERAGE('Raw Data'!Z78:Z79)</f>
        <v>4</v>
      </c>
      <c r="AA40" s="4">
        <f>AVERAGE('Raw Data'!AA78:AA79)</f>
        <v>4</v>
      </c>
      <c r="AB40" s="4">
        <f>AVERAGE('Raw Data'!AB78:AB79)</f>
        <v>3.5</v>
      </c>
      <c r="AC40" s="4">
        <f>AVERAGE('Raw Data'!AC78:AC79)</f>
        <v>3</v>
      </c>
      <c r="AD40" s="4">
        <f>AVERAGE('Raw Data'!AD78:AD79)</f>
        <v>3</v>
      </c>
      <c r="AE40" s="4">
        <f>AVERAGE('Raw Data'!AE78:AE79)</f>
        <v>4.5</v>
      </c>
      <c r="AF40" s="4">
        <f>AVERAGE('Raw Data'!AF78:AF79)</f>
        <v>3</v>
      </c>
      <c r="AG40" s="4">
        <f>AVERAGE('Raw Data'!AG78:AG79)</f>
        <v>3.5</v>
      </c>
      <c r="AH40" s="4">
        <f>AVERAGE('Raw Data'!AH78:AH79)</f>
        <v>3</v>
      </c>
      <c r="AI40" s="4">
        <f>AVERAGE('Raw Data'!AI78:AI79)</f>
        <v>2.5</v>
      </c>
      <c r="AJ40" s="4">
        <f>AVERAGE('Raw Data'!AJ78:AJ79)</f>
        <v>2.5</v>
      </c>
      <c r="AK40" s="4">
        <f>AVERAGE('Raw Data'!AK78:AK79)</f>
        <v>2.5</v>
      </c>
      <c r="AL40" s="4"/>
      <c r="AM40" s="4"/>
    </row>
    <row r="41" spans="1:39" ht="26.4" x14ac:dyDescent="0.3">
      <c r="A41" s="3">
        <f t="shared" si="1"/>
        <v>40</v>
      </c>
      <c r="B41" s="4"/>
      <c r="C41" s="4"/>
      <c r="D41" s="4"/>
      <c r="E41" s="4"/>
      <c r="F41" s="4"/>
      <c r="G41" s="14" t="s">
        <v>78</v>
      </c>
      <c r="H41" s="4"/>
      <c r="I41" s="4"/>
      <c r="J41" s="4"/>
      <c r="K41" s="4"/>
      <c r="L41" s="4"/>
      <c r="M41" s="4"/>
      <c r="N41" s="11"/>
      <c r="O41" s="4"/>
      <c r="P41" s="4"/>
      <c r="Q41" s="4"/>
      <c r="R41" s="4"/>
      <c r="S41" s="4">
        <f>AVERAGE('Raw Data'!S80:S81)</f>
        <v>3</v>
      </c>
      <c r="T41" s="4">
        <f>AVERAGE('Raw Data'!T80:T81)</f>
        <v>3</v>
      </c>
      <c r="U41" s="4">
        <f>AVERAGE('Raw Data'!U80:U81)</f>
        <v>3</v>
      </c>
      <c r="V41" s="4">
        <f>AVERAGE('Raw Data'!V80:V81)</f>
        <v>3</v>
      </c>
      <c r="W41" s="4">
        <f>AVERAGE('Raw Data'!W80:W81)</f>
        <v>3</v>
      </c>
      <c r="X41" s="4">
        <f>AVERAGE('Raw Data'!X80:X81)</f>
        <v>3.5</v>
      </c>
      <c r="Y41" s="4">
        <f>AVERAGE('Raw Data'!Y80:Y81)</f>
        <v>4</v>
      </c>
      <c r="Z41" s="4">
        <f>AVERAGE('Raw Data'!Z80:Z81)</f>
        <v>4</v>
      </c>
      <c r="AA41" s="4">
        <f>AVERAGE('Raw Data'!AA80:AA81)</f>
        <v>4</v>
      </c>
      <c r="AB41" s="4">
        <f>AVERAGE('Raw Data'!AB80:AB81)</f>
        <v>3</v>
      </c>
      <c r="AC41" s="4">
        <f>AVERAGE('Raw Data'!AC80:AC81)</f>
        <v>3</v>
      </c>
      <c r="AD41" s="4">
        <f>AVERAGE('Raw Data'!AD80:AD81)</f>
        <v>3</v>
      </c>
      <c r="AE41" s="4">
        <f>AVERAGE('Raw Data'!AE80:AE81)</f>
        <v>4.5</v>
      </c>
      <c r="AF41" s="4">
        <f>AVERAGE('Raw Data'!AF80:AF81)</f>
        <v>3.5</v>
      </c>
      <c r="AG41" s="4">
        <f>AVERAGE('Raw Data'!AG80:AG81)</f>
        <v>3.5</v>
      </c>
      <c r="AH41" s="4">
        <f>AVERAGE('Raw Data'!AH80:AH81)</f>
        <v>2.5</v>
      </c>
      <c r="AI41" s="4">
        <f>AVERAGE('Raw Data'!AI80:AI81)</f>
        <v>4</v>
      </c>
      <c r="AJ41" s="4">
        <f>AVERAGE('Raw Data'!AJ80:AJ81)</f>
        <v>3</v>
      </c>
      <c r="AK41" s="4">
        <f>AVERAGE('Raw Data'!AK80:AK81)</f>
        <v>2.5</v>
      </c>
      <c r="AL41" s="4"/>
      <c r="AM41" s="4"/>
    </row>
    <row r="42" spans="1:39" ht="26.4" x14ac:dyDescent="0.3">
      <c r="A42" s="3">
        <f t="shared" si="1"/>
        <v>41</v>
      </c>
      <c r="B42" s="4"/>
      <c r="C42" s="4"/>
      <c r="D42" s="4"/>
      <c r="E42" s="4"/>
      <c r="F42" s="4"/>
      <c r="G42" s="14" t="s">
        <v>79</v>
      </c>
      <c r="H42" s="4"/>
      <c r="I42" s="4"/>
      <c r="J42" s="4"/>
      <c r="K42" s="4"/>
      <c r="L42" s="4"/>
      <c r="M42" s="4"/>
      <c r="N42" s="7"/>
      <c r="O42" s="4"/>
      <c r="P42" s="4"/>
      <c r="Q42" s="4"/>
      <c r="R42" s="4"/>
      <c r="S42" s="4">
        <f>AVERAGE('Raw Data'!S82:S83)</f>
        <v>4</v>
      </c>
      <c r="T42" s="4">
        <f>AVERAGE('Raw Data'!T82:T83)</f>
        <v>3</v>
      </c>
      <c r="U42" s="4">
        <f>AVERAGE('Raw Data'!U82:U83)</f>
        <v>3.5</v>
      </c>
      <c r="V42" s="4">
        <f>AVERAGE('Raw Data'!V82:V83)</f>
        <v>3</v>
      </c>
      <c r="W42" s="4">
        <f>AVERAGE('Raw Data'!W82:W83)</f>
        <v>3</v>
      </c>
      <c r="X42" s="4">
        <f>AVERAGE('Raw Data'!X82:X83)</f>
        <v>4</v>
      </c>
      <c r="Y42" s="4">
        <f>AVERAGE('Raw Data'!Y82:Y83)</f>
        <v>4</v>
      </c>
      <c r="Z42" s="4">
        <f>AVERAGE('Raw Data'!Z82:Z83)</f>
        <v>4</v>
      </c>
      <c r="AA42" s="4">
        <f>AVERAGE('Raw Data'!AA82:AA83)</f>
        <v>3.5</v>
      </c>
      <c r="AB42" s="4">
        <f>AVERAGE('Raw Data'!AB82:AB83)</f>
        <v>3.5</v>
      </c>
      <c r="AC42" s="4">
        <f>AVERAGE('Raw Data'!AC82:AC83)</f>
        <v>3.5</v>
      </c>
      <c r="AD42" s="4">
        <f>AVERAGE('Raw Data'!AD82:AD83)</f>
        <v>3</v>
      </c>
      <c r="AE42" s="4">
        <f>AVERAGE('Raw Data'!AE82:AE83)</f>
        <v>4.5</v>
      </c>
      <c r="AF42" s="4">
        <f>AVERAGE('Raw Data'!AF82:AF83)</f>
        <v>4.5</v>
      </c>
      <c r="AG42" s="4">
        <f>AVERAGE('Raw Data'!AG82:AG83)</f>
        <v>5</v>
      </c>
      <c r="AH42" s="4">
        <f>AVERAGE('Raw Data'!AH82:AH83)</f>
        <v>3</v>
      </c>
      <c r="AI42" s="4">
        <f>AVERAGE('Raw Data'!AI82:AI83)</f>
        <v>3.5</v>
      </c>
      <c r="AJ42" s="4">
        <f>AVERAGE('Raw Data'!AJ82:AJ83)</f>
        <v>3</v>
      </c>
      <c r="AK42" s="4">
        <f>AVERAGE('Raw Data'!AK82:AK83)</f>
        <v>3</v>
      </c>
      <c r="AL42" s="4"/>
      <c r="AM42" s="4"/>
    </row>
    <row r="43" spans="1:39" ht="26.4" x14ac:dyDescent="0.3">
      <c r="A43" s="3">
        <f t="shared" si="1"/>
        <v>42</v>
      </c>
      <c r="B43" s="4"/>
      <c r="C43" s="4"/>
      <c r="D43" s="4"/>
      <c r="E43" s="4"/>
      <c r="F43" s="4"/>
      <c r="G43" s="15" t="s">
        <v>80</v>
      </c>
      <c r="H43" s="4"/>
      <c r="I43" s="4"/>
      <c r="J43" s="4"/>
      <c r="K43" s="4"/>
      <c r="L43" s="4"/>
      <c r="M43" s="4"/>
      <c r="N43" s="11"/>
      <c r="O43" s="4"/>
      <c r="P43" s="4"/>
      <c r="Q43" s="4"/>
      <c r="R43" s="4"/>
      <c r="S43" s="4">
        <f>AVERAGE('Raw Data'!S84:S85)</f>
        <v>4</v>
      </c>
      <c r="T43" s="4">
        <f>AVERAGE('Raw Data'!T84:T85)</f>
        <v>3.5</v>
      </c>
      <c r="U43" s="4">
        <f>AVERAGE('Raw Data'!U84:U85)</f>
        <v>4</v>
      </c>
      <c r="V43" s="4">
        <f>AVERAGE('Raw Data'!V84:V85)</f>
        <v>3</v>
      </c>
      <c r="W43" s="4">
        <f>AVERAGE('Raw Data'!W84:W85)</f>
        <v>3</v>
      </c>
      <c r="X43" s="4">
        <f>AVERAGE('Raw Data'!X84:X85)</f>
        <v>3.5</v>
      </c>
      <c r="Y43" s="4">
        <f>AVERAGE('Raw Data'!Y84:Y85)</f>
        <v>4.5</v>
      </c>
      <c r="Z43" s="4">
        <f>AVERAGE('Raw Data'!Z84:Z85)</f>
        <v>3.5</v>
      </c>
      <c r="AA43" s="4">
        <f>AVERAGE('Raw Data'!AA84:AA85)</f>
        <v>3.5</v>
      </c>
      <c r="AB43" s="4">
        <f>AVERAGE('Raw Data'!AB84:AB85)</f>
        <v>3</v>
      </c>
      <c r="AC43" s="4">
        <f>AVERAGE('Raw Data'!AC84:AC85)</f>
        <v>3</v>
      </c>
      <c r="AD43" s="4">
        <f>AVERAGE('Raw Data'!AD84:AD85)</f>
        <v>3</v>
      </c>
      <c r="AE43" s="4">
        <f>AVERAGE('Raw Data'!AE84:AE85)</f>
        <v>3.5</v>
      </c>
      <c r="AF43" s="4">
        <f>AVERAGE('Raw Data'!AF84:AF85)</f>
        <v>3.5</v>
      </c>
      <c r="AG43" s="4">
        <f>AVERAGE('Raw Data'!AG84:AG85)</f>
        <v>3.5</v>
      </c>
      <c r="AH43" s="4">
        <f>AVERAGE('Raw Data'!AH84:AH85)</f>
        <v>2</v>
      </c>
      <c r="AI43" s="4">
        <f>AVERAGE('Raw Data'!AI84:AI85)</f>
        <v>3.5</v>
      </c>
      <c r="AJ43" s="4">
        <f>AVERAGE('Raw Data'!AJ84:AJ85)</f>
        <v>2.5</v>
      </c>
      <c r="AK43" s="4">
        <f>AVERAGE('Raw Data'!AK84:AK85)</f>
        <v>2</v>
      </c>
      <c r="AL43" s="4"/>
      <c r="AM43" s="4"/>
    </row>
    <row r="44" spans="1:39" ht="26.4" x14ac:dyDescent="0.3">
      <c r="A44" s="3">
        <f t="shared" si="1"/>
        <v>43</v>
      </c>
      <c r="B44" s="4"/>
      <c r="C44" s="4"/>
      <c r="D44" s="4"/>
      <c r="E44" s="4"/>
      <c r="F44" s="4"/>
      <c r="G44" s="15" t="s">
        <v>81</v>
      </c>
      <c r="H44" s="4"/>
      <c r="I44" s="4"/>
      <c r="J44" s="4"/>
      <c r="K44" s="4"/>
      <c r="L44" s="4"/>
      <c r="M44" s="4"/>
      <c r="N44" s="11"/>
      <c r="O44" s="4"/>
      <c r="P44" s="4"/>
      <c r="Q44" s="4"/>
      <c r="R44" s="4"/>
      <c r="S44" s="4">
        <f>AVERAGE('Raw Data'!S86:S87)</f>
        <v>4.5</v>
      </c>
      <c r="T44" s="4">
        <f>AVERAGE('Raw Data'!T86:T87)</f>
        <v>4.5</v>
      </c>
      <c r="U44" s="4">
        <f>AVERAGE('Raw Data'!U86:U87)</f>
        <v>4.5</v>
      </c>
      <c r="V44" s="4">
        <f>AVERAGE('Raw Data'!V86:V87)</f>
        <v>3.5</v>
      </c>
      <c r="W44" s="4">
        <f>AVERAGE('Raw Data'!W86:W87)</f>
        <v>3</v>
      </c>
      <c r="X44" s="4">
        <f>AVERAGE('Raw Data'!X86:X87)</f>
        <v>4</v>
      </c>
      <c r="Y44" s="4">
        <f>AVERAGE('Raw Data'!Y86:Y87)</f>
        <v>4</v>
      </c>
      <c r="Z44" s="4">
        <f>AVERAGE('Raw Data'!Z86:Z87)</f>
        <v>4</v>
      </c>
      <c r="AA44" s="4">
        <f>AVERAGE('Raw Data'!AA86:AA87)</f>
        <v>4</v>
      </c>
      <c r="AB44" s="4">
        <f>AVERAGE('Raw Data'!AB86:AB87)</f>
        <v>3.5</v>
      </c>
      <c r="AC44" s="4">
        <f>AVERAGE('Raw Data'!AC86:AC87)</f>
        <v>3</v>
      </c>
      <c r="AD44" s="4">
        <f>AVERAGE('Raw Data'!AD86:AD87)</f>
        <v>3</v>
      </c>
      <c r="AE44" s="4">
        <f>AVERAGE('Raw Data'!AE86:AE87)</f>
        <v>4.5</v>
      </c>
      <c r="AF44" s="4">
        <f>AVERAGE('Raw Data'!AF86:AF87)</f>
        <v>3</v>
      </c>
      <c r="AG44" s="4">
        <f>AVERAGE('Raw Data'!AG86:AG87)</f>
        <v>3.5</v>
      </c>
      <c r="AH44" s="4">
        <f>AVERAGE('Raw Data'!AH86:AH87)</f>
        <v>3</v>
      </c>
      <c r="AI44" s="4">
        <f>AVERAGE('Raw Data'!AI86:AI87)</f>
        <v>2.5</v>
      </c>
      <c r="AJ44" s="4">
        <f>AVERAGE('Raw Data'!AJ86:AJ87)</f>
        <v>2.5</v>
      </c>
      <c r="AK44" s="4">
        <f>AVERAGE('Raw Data'!AK86:AK87)</f>
        <v>2.5</v>
      </c>
      <c r="AL44" s="4"/>
      <c r="AM44" s="4"/>
    </row>
    <row r="45" spans="1:39" ht="26.4" x14ac:dyDescent="0.3">
      <c r="A45" s="3">
        <f t="shared" si="1"/>
        <v>44</v>
      </c>
      <c r="B45" s="4"/>
      <c r="C45" s="4"/>
      <c r="D45" s="4"/>
      <c r="E45" s="4"/>
      <c r="F45" s="4"/>
      <c r="G45" s="15" t="s">
        <v>82</v>
      </c>
      <c r="H45" s="4"/>
      <c r="I45" s="4"/>
      <c r="J45" s="4"/>
      <c r="K45" s="4"/>
      <c r="L45" s="4"/>
      <c r="M45" s="4"/>
      <c r="N45" s="11"/>
      <c r="O45" s="4"/>
      <c r="P45" s="4"/>
      <c r="Q45" s="4"/>
      <c r="R45" s="4"/>
      <c r="S45" s="4">
        <f>AVERAGE('Raw Data'!S88:S89)</f>
        <v>3.5</v>
      </c>
      <c r="T45" s="4">
        <f>AVERAGE('Raw Data'!T88:T89)</f>
        <v>3</v>
      </c>
      <c r="U45" s="4">
        <f>AVERAGE('Raw Data'!U88:U89)</f>
        <v>3</v>
      </c>
      <c r="V45" s="4">
        <f>AVERAGE('Raw Data'!V88:V89)</f>
        <v>3</v>
      </c>
      <c r="W45" s="4">
        <f>AVERAGE('Raw Data'!W88:W89)</f>
        <v>3</v>
      </c>
      <c r="X45" s="4">
        <f>AVERAGE('Raw Data'!X88:X89)</f>
        <v>4</v>
      </c>
      <c r="Y45" s="4">
        <f>AVERAGE('Raw Data'!Y88:Y89)</f>
        <v>3.5</v>
      </c>
      <c r="Z45" s="4">
        <f>AVERAGE('Raw Data'!Z88:Z89)</f>
        <v>4.5</v>
      </c>
      <c r="AA45" s="4">
        <f>AVERAGE('Raw Data'!AA88:AA89)</f>
        <v>4</v>
      </c>
      <c r="AB45" s="4">
        <f>AVERAGE('Raw Data'!AB88:AB89)</f>
        <v>3</v>
      </c>
      <c r="AC45" s="4">
        <f>AVERAGE('Raw Data'!AC88:AC89)</f>
        <v>4</v>
      </c>
      <c r="AD45" s="4">
        <f>AVERAGE('Raw Data'!AD88:AD89)</f>
        <v>3.5</v>
      </c>
      <c r="AE45" s="4">
        <f>AVERAGE('Raw Data'!AE88:AE89)</f>
        <v>4.5</v>
      </c>
      <c r="AF45" s="4">
        <f>AVERAGE('Raw Data'!AF88:AF89)</f>
        <v>3</v>
      </c>
      <c r="AG45" s="4">
        <f>AVERAGE('Raw Data'!AG88:AG89)</f>
        <v>3.5</v>
      </c>
      <c r="AH45" s="4">
        <f>AVERAGE('Raw Data'!AH88:AH89)</f>
        <v>2.5</v>
      </c>
      <c r="AI45" s="4">
        <f>AVERAGE('Raw Data'!AI88:AI89)</f>
        <v>3.5</v>
      </c>
      <c r="AJ45" s="4">
        <f>AVERAGE('Raw Data'!AJ88:AJ89)</f>
        <v>2.5</v>
      </c>
      <c r="AK45" s="4">
        <f>AVERAGE('Raw Data'!AK88:AK89)</f>
        <v>2.5</v>
      </c>
      <c r="AL45" s="4"/>
      <c r="AM45" s="4"/>
    </row>
    <row r="46" spans="1:39" ht="39.6" x14ac:dyDescent="0.3">
      <c r="A46" s="3">
        <f t="shared" si="1"/>
        <v>45</v>
      </c>
      <c r="B46" s="4"/>
      <c r="C46" s="4"/>
      <c r="D46" s="4"/>
      <c r="E46" s="4"/>
      <c r="F46" s="4"/>
      <c r="G46" s="15" t="s">
        <v>83</v>
      </c>
      <c r="H46" s="4"/>
      <c r="I46" s="4"/>
      <c r="J46" s="4"/>
      <c r="K46" s="4"/>
      <c r="L46" s="4"/>
      <c r="M46" s="4"/>
      <c r="N46" s="11"/>
      <c r="O46" s="4"/>
      <c r="P46" s="4"/>
      <c r="Q46" s="4"/>
      <c r="R46" s="4"/>
      <c r="S46" s="4">
        <f>AVERAGE('Raw Data'!S90:S91)</f>
        <v>4.5</v>
      </c>
      <c r="T46" s="4">
        <f>AVERAGE('Raw Data'!T90:T91)</f>
        <v>3.5</v>
      </c>
      <c r="U46" s="4">
        <f>AVERAGE('Raw Data'!U90:U91)</f>
        <v>3.5</v>
      </c>
      <c r="V46" s="4">
        <f>AVERAGE('Raw Data'!V90:V91)</f>
        <v>3.5</v>
      </c>
      <c r="W46" s="4">
        <f>AVERAGE('Raw Data'!W90:W91)</f>
        <v>3.5</v>
      </c>
      <c r="X46" s="4">
        <f>AVERAGE('Raw Data'!X90:X91)</f>
        <v>4</v>
      </c>
      <c r="Y46" s="4">
        <f>AVERAGE('Raw Data'!Y90:Y91)</f>
        <v>4</v>
      </c>
      <c r="Z46" s="4">
        <f>AVERAGE('Raw Data'!Z90:Z91)</f>
        <v>3.5</v>
      </c>
      <c r="AA46" s="4">
        <f>AVERAGE('Raw Data'!AA90:AA91)</f>
        <v>3.5</v>
      </c>
      <c r="AB46" s="4">
        <f>AVERAGE('Raw Data'!AB90:AB91)</f>
        <v>3.5</v>
      </c>
      <c r="AC46" s="4">
        <f>AVERAGE('Raw Data'!AC90:AC91)</f>
        <v>4</v>
      </c>
      <c r="AD46" s="4">
        <f>AVERAGE('Raw Data'!AD90:AD91)</f>
        <v>3</v>
      </c>
      <c r="AE46" s="4">
        <f>AVERAGE('Raw Data'!AE90:AE91)</f>
        <v>3</v>
      </c>
      <c r="AF46" s="4">
        <f>AVERAGE('Raw Data'!AF90:AF91)</f>
        <v>3</v>
      </c>
      <c r="AG46" s="4">
        <f>AVERAGE('Raw Data'!AG90:AG91)</f>
        <v>3</v>
      </c>
      <c r="AH46" s="4">
        <f>AVERAGE('Raw Data'!AH90:AH91)</f>
        <v>1.5</v>
      </c>
      <c r="AI46" s="4">
        <f>AVERAGE('Raw Data'!AI90:AI91)</f>
        <v>3</v>
      </c>
      <c r="AJ46" s="4">
        <f>AVERAGE('Raw Data'!AJ90:AJ91)</f>
        <v>1.5</v>
      </c>
      <c r="AK46" s="4">
        <f>AVERAGE('Raw Data'!AK90:AK91)</f>
        <v>1.5</v>
      </c>
      <c r="AL46" s="4"/>
      <c r="AM46" s="4"/>
    </row>
    <row r="47" spans="1:39" ht="39.6" x14ac:dyDescent="0.3">
      <c r="A47" s="3">
        <f t="shared" si="1"/>
        <v>46</v>
      </c>
      <c r="B47" s="4"/>
      <c r="C47" s="4"/>
      <c r="D47" s="4"/>
      <c r="E47" s="4"/>
      <c r="F47" s="4"/>
      <c r="G47" s="15" t="s">
        <v>84</v>
      </c>
      <c r="H47" s="4"/>
      <c r="I47" s="4"/>
      <c r="J47" s="4"/>
      <c r="K47" s="4"/>
      <c r="L47" s="4"/>
      <c r="M47" s="4"/>
      <c r="N47" s="7"/>
      <c r="O47" s="4"/>
      <c r="P47" s="4"/>
      <c r="Q47" s="4"/>
      <c r="R47" s="4"/>
      <c r="S47" s="4">
        <f>AVERAGE('Raw Data'!S92:S93)</f>
        <v>5</v>
      </c>
      <c r="T47" s="4">
        <f>AVERAGE('Raw Data'!T92:T93)</f>
        <v>4</v>
      </c>
      <c r="U47" s="4">
        <f>AVERAGE('Raw Data'!U92:U93)</f>
        <v>4</v>
      </c>
      <c r="V47" s="4">
        <f>AVERAGE('Raw Data'!V92:V93)</f>
        <v>3.5</v>
      </c>
      <c r="W47" s="4">
        <f>AVERAGE('Raw Data'!W92:W93)</f>
        <v>3</v>
      </c>
      <c r="X47" s="4">
        <f>AVERAGE('Raw Data'!X92:X93)</f>
        <v>4</v>
      </c>
      <c r="Y47" s="4">
        <f>AVERAGE('Raw Data'!Y92:Y93)</f>
        <v>5</v>
      </c>
      <c r="Z47" s="4">
        <f>AVERAGE('Raw Data'!Z92:Z93)</f>
        <v>5</v>
      </c>
      <c r="AA47" s="4">
        <f>AVERAGE('Raw Data'!AA92:AA93)</f>
        <v>4.5</v>
      </c>
      <c r="AB47" s="4">
        <f>AVERAGE('Raw Data'!AB92:AB93)</f>
        <v>5</v>
      </c>
      <c r="AC47" s="4">
        <f>AVERAGE('Raw Data'!AC92:AC93)</f>
        <v>5</v>
      </c>
      <c r="AD47" s="4">
        <f>AVERAGE('Raw Data'!AD92:AD93)</f>
        <v>5</v>
      </c>
      <c r="AE47" s="4">
        <f>AVERAGE('Raw Data'!AE92:AE93)</f>
        <v>3.5</v>
      </c>
      <c r="AF47" s="4">
        <f>AVERAGE('Raw Data'!AF92:AF93)</f>
        <v>3.5</v>
      </c>
      <c r="AG47" s="4">
        <f>AVERAGE('Raw Data'!AG92:AG93)</f>
        <v>4</v>
      </c>
      <c r="AH47" s="4">
        <f>AVERAGE('Raw Data'!AH92:AH93)</f>
        <v>1.5</v>
      </c>
      <c r="AI47" s="4">
        <f>AVERAGE('Raw Data'!AI92:AI93)</f>
        <v>2.5</v>
      </c>
      <c r="AJ47" s="4">
        <f>AVERAGE('Raw Data'!AJ92:AJ93)</f>
        <v>2</v>
      </c>
      <c r="AK47" s="4">
        <f>AVERAGE('Raw Data'!AK92:AK93)</f>
        <v>1.5</v>
      </c>
      <c r="AL47" s="4"/>
      <c r="AM47" s="4"/>
    </row>
    <row r="48" spans="1:39" ht="52.8" x14ac:dyDescent="0.3">
      <c r="A48" s="3">
        <f t="shared" si="1"/>
        <v>47</v>
      </c>
      <c r="B48" s="4"/>
      <c r="C48" s="4"/>
      <c r="D48" s="4"/>
      <c r="E48" s="4"/>
      <c r="F48" s="4"/>
      <c r="G48" s="14" t="s">
        <v>85</v>
      </c>
      <c r="H48" s="4"/>
      <c r="I48" s="4"/>
      <c r="J48" s="4"/>
      <c r="K48" s="4"/>
      <c r="L48" s="4"/>
      <c r="M48" s="4"/>
      <c r="N48" s="7"/>
      <c r="O48" s="4"/>
      <c r="P48" s="4"/>
      <c r="Q48" s="4"/>
      <c r="R48" s="4"/>
      <c r="S48" s="4">
        <f>AVERAGE('Raw Data'!S94:S95)</f>
        <v>4</v>
      </c>
      <c r="T48" s="4">
        <f>AVERAGE('Raw Data'!T94:T95)</f>
        <v>3.5</v>
      </c>
      <c r="U48" s="4">
        <f>AVERAGE('Raw Data'!U94:U95)</f>
        <v>3.5</v>
      </c>
      <c r="V48" s="4">
        <f>AVERAGE('Raw Data'!V94:V95)</f>
        <v>3.5</v>
      </c>
      <c r="W48" s="4">
        <f>AVERAGE('Raw Data'!W94:W95)</f>
        <v>3.5</v>
      </c>
      <c r="X48" s="4">
        <f>AVERAGE('Raw Data'!X94:X95)</f>
        <v>3.5</v>
      </c>
      <c r="Y48" s="4">
        <f>AVERAGE('Raw Data'!Y94:Y95)</f>
        <v>4.5</v>
      </c>
      <c r="Z48" s="4">
        <f>AVERAGE('Raw Data'!Z94:Z95)</f>
        <v>4.5</v>
      </c>
      <c r="AA48" s="4">
        <f>AVERAGE('Raw Data'!AA94:AA95)</f>
        <v>3.5</v>
      </c>
      <c r="AB48" s="4">
        <f>AVERAGE('Raw Data'!AB94:AB95)</f>
        <v>4</v>
      </c>
      <c r="AC48" s="4">
        <f>AVERAGE('Raw Data'!AC94:AC95)</f>
        <v>4</v>
      </c>
      <c r="AD48" s="4">
        <f>AVERAGE('Raw Data'!AD94:AD95)</f>
        <v>3.5</v>
      </c>
      <c r="AE48" s="4">
        <f>AVERAGE('Raw Data'!AE94:AE95)</f>
        <v>4</v>
      </c>
      <c r="AF48" s="4">
        <f>AVERAGE('Raw Data'!AF94:AF95)</f>
        <v>4</v>
      </c>
      <c r="AG48" s="4">
        <f>AVERAGE('Raw Data'!AG94:AG95)</f>
        <v>4</v>
      </c>
      <c r="AH48" s="4">
        <f>AVERAGE('Raw Data'!AH94:AH95)</f>
        <v>2</v>
      </c>
      <c r="AI48" s="4">
        <f>AVERAGE('Raw Data'!AI94:AI95)</f>
        <v>3</v>
      </c>
      <c r="AJ48" s="4">
        <f>AVERAGE('Raw Data'!AJ94:AJ95)</f>
        <v>2</v>
      </c>
      <c r="AK48" s="4">
        <f>AVERAGE('Raw Data'!AK94:AK95)</f>
        <v>2</v>
      </c>
      <c r="AL48" s="4"/>
      <c r="AM48" s="4"/>
    </row>
    <row r="49" spans="1:39" ht="26.4" x14ac:dyDescent="0.3">
      <c r="A49" s="3">
        <f t="shared" si="1"/>
        <v>48</v>
      </c>
      <c r="B49" s="4"/>
      <c r="C49" s="4"/>
      <c r="D49" s="4"/>
      <c r="E49" s="4"/>
      <c r="F49" s="4"/>
      <c r="G49" s="14" t="s">
        <v>86</v>
      </c>
      <c r="H49" s="4"/>
      <c r="I49" s="4"/>
      <c r="J49" s="4"/>
      <c r="K49" s="4"/>
      <c r="L49" s="4"/>
      <c r="M49" s="4"/>
      <c r="N49" s="7"/>
      <c r="O49" s="4"/>
      <c r="P49" s="4"/>
      <c r="Q49" s="4"/>
      <c r="R49" s="4"/>
      <c r="S49" s="4">
        <f>AVERAGE('Raw Data'!S96:S97)</f>
        <v>3.5</v>
      </c>
      <c r="T49" s="4">
        <f>AVERAGE('Raw Data'!T96:T97)</f>
        <v>3</v>
      </c>
      <c r="U49" s="4">
        <f>AVERAGE('Raw Data'!U96:U97)</f>
        <v>3</v>
      </c>
      <c r="V49" s="4">
        <f>AVERAGE('Raw Data'!V96:V97)</f>
        <v>2.5</v>
      </c>
      <c r="W49" s="4">
        <f>AVERAGE('Raw Data'!W96:W97)</f>
        <v>2</v>
      </c>
      <c r="X49" s="4">
        <f>AVERAGE('Raw Data'!X96:X97)</f>
        <v>3</v>
      </c>
      <c r="Y49" s="4">
        <f>AVERAGE('Raw Data'!Y96:Y97)</f>
        <v>2</v>
      </c>
      <c r="Z49" s="4">
        <f>AVERAGE('Raw Data'!Z96:Z97)</f>
        <v>2</v>
      </c>
      <c r="AA49" s="4">
        <f>AVERAGE('Raw Data'!AA96:AA97)</f>
        <v>3</v>
      </c>
      <c r="AB49" s="4">
        <f>AVERAGE('Raw Data'!AB96:AB97)</f>
        <v>2</v>
      </c>
      <c r="AC49" s="4">
        <f>AVERAGE('Raw Data'!AC96:AC97)</f>
        <v>2</v>
      </c>
      <c r="AD49" s="4">
        <f>AVERAGE('Raw Data'!AD96:AD97)</f>
        <v>2</v>
      </c>
      <c r="AE49" s="4">
        <f>AVERAGE('Raw Data'!AE96:AE97)</f>
        <v>1.5</v>
      </c>
      <c r="AF49" s="4">
        <f>AVERAGE('Raw Data'!AF96:AF97)</f>
        <v>2</v>
      </c>
      <c r="AG49" s="4">
        <f>AVERAGE('Raw Data'!AG96:AG97)</f>
        <v>2</v>
      </c>
      <c r="AH49" s="4">
        <f>AVERAGE('Raw Data'!AH96:AH97)</f>
        <v>4</v>
      </c>
      <c r="AI49" s="4">
        <f>AVERAGE('Raw Data'!AI96:AI97)</f>
        <v>4</v>
      </c>
      <c r="AJ49" s="4">
        <f>AVERAGE('Raw Data'!AJ96:AJ97)</f>
        <v>4</v>
      </c>
      <c r="AK49" s="4">
        <f>AVERAGE('Raw Data'!AK96:AK97)</f>
        <v>4</v>
      </c>
      <c r="AL49" s="4"/>
      <c r="AM49" s="4"/>
    </row>
    <row r="50" spans="1:39" ht="26.4" x14ac:dyDescent="0.3">
      <c r="A50" s="3">
        <f t="shared" si="1"/>
        <v>49</v>
      </c>
      <c r="B50" s="4"/>
      <c r="C50" s="4"/>
      <c r="D50" s="4"/>
      <c r="E50" s="4"/>
      <c r="F50" s="4"/>
      <c r="G50" s="15" t="s">
        <v>87</v>
      </c>
      <c r="H50" s="4"/>
      <c r="I50" s="4"/>
      <c r="J50" s="4"/>
      <c r="K50" s="4"/>
      <c r="L50" s="4"/>
      <c r="M50" s="4"/>
      <c r="N50" s="1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pans="1:39" ht="26.4" x14ac:dyDescent="0.3">
      <c r="A51" s="3">
        <f>A50+1</f>
        <v>50</v>
      </c>
      <c r="B51" s="4"/>
      <c r="C51" s="4"/>
      <c r="D51" s="4"/>
      <c r="E51" s="4"/>
      <c r="F51" s="4"/>
      <c r="G51" s="15" t="s">
        <v>88</v>
      </c>
      <c r="H51" s="4"/>
      <c r="I51" s="4"/>
      <c r="J51" s="4"/>
      <c r="K51" s="4"/>
      <c r="L51" s="4"/>
      <c r="M51" s="4"/>
      <c r="N51" s="11"/>
      <c r="O51" s="4"/>
      <c r="P51" s="4"/>
      <c r="Q51" s="4"/>
      <c r="R51" s="4"/>
      <c r="S51" s="4">
        <f>AVERAGE('Raw Data'!S100:S101)</f>
        <v>4</v>
      </c>
      <c r="T51" s="4">
        <f>AVERAGE('Raw Data'!T100:T101)</f>
        <v>3.5</v>
      </c>
      <c r="U51" s="4">
        <f>AVERAGE('Raw Data'!U100:U101)</f>
        <v>3.5</v>
      </c>
      <c r="V51" s="4">
        <f>AVERAGE('Raw Data'!V100:V101)</f>
        <v>3</v>
      </c>
      <c r="W51" s="4">
        <f>AVERAGE('Raw Data'!W100:W101)</f>
        <v>3</v>
      </c>
      <c r="X51" s="4">
        <f>AVERAGE('Raw Data'!X100:X101)</f>
        <v>4</v>
      </c>
      <c r="Y51" s="4">
        <f>AVERAGE('Raw Data'!Y100:Y101)</f>
        <v>4</v>
      </c>
      <c r="Z51" s="4">
        <f>AVERAGE('Raw Data'!Z100:Z101)</f>
        <v>3.5</v>
      </c>
      <c r="AA51" s="4">
        <f>AVERAGE('Raw Data'!AA100:AA101)</f>
        <v>4</v>
      </c>
      <c r="AB51" s="4">
        <f>AVERAGE('Raw Data'!AB100:AB101)</f>
        <v>3.5</v>
      </c>
      <c r="AC51" s="4">
        <f>AVERAGE('Raw Data'!AC100:AC101)</f>
        <v>3</v>
      </c>
      <c r="AD51" s="4">
        <f>AVERAGE('Raw Data'!AD100:AD101)</f>
        <v>3</v>
      </c>
      <c r="AE51" s="4">
        <f>AVERAGE('Raw Data'!AE100:AE101)</f>
        <v>3.5</v>
      </c>
      <c r="AF51" s="4">
        <f>AVERAGE('Raw Data'!AF100:AF101)</f>
        <v>3.5</v>
      </c>
      <c r="AG51" s="4">
        <f>AVERAGE('Raw Data'!AG100:AG101)</f>
        <v>3.5</v>
      </c>
      <c r="AH51" s="4">
        <f>AVERAGE('Raw Data'!AH100:AH101)</f>
        <v>2</v>
      </c>
      <c r="AI51" s="4">
        <f>AVERAGE('Raw Data'!AI100:AI101)</f>
        <v>4</v>
      </c>
      <c r="AJ51" s="4">
        <f>AVERAGE('Raw Data'!AJ100:AJ101)</f>
        <v>2.5</v>
      </c>
      <c r="AK51" s="4">
        <f>AVERAGE('Raw Data'!AK100:AK101)</f>
        <v>2</v>
      </c>
      <c r="AL51" s="4"/>
      <c r="AM51" s="4"/>
    </row>
    <row r="52" spans="1:39" ht="26.4" x14ac:dyDescent="0.3">
      <c r="A52" s="3">
        <f t="shared" si="1"/>
        <v>51</v>
      </c>
      <c r="B52" s="4"/>
      <c r="C52" s="4"/>
      <c r="D52" s="4"/>
      <c r="E52" s="4"/>
      <c r="F52" s="4"/>
      <c r="G52" s="15" t="s">
        <v>89</v>
      </c>
      <c r="H52" s="4"/>
      <c r="I52" s="4"/>
      <c r="J52" s="4"/>
      <c r="K52" s="4"/>
      <c r="L52" s="4"/>
      <c r="M52" s="4"/>
      <c r="N52" s="11"/>
      <c r="O52" s="4"/>
      <c r="P52" s="4"/>
      <c r="Q52" s="4"/>
      <c r="R52" s="4"/>
      <c r="S52" s="4">
        <f>AVERAGE('Raw Data'!S102:S103)</f>
        <v>4.5</v>
      </c>
      <c r="T52" s="4">
        <f>AVERAGE('Raw Data'!T102:T103)</f>
        <v>4.5</v>
      </c>
      <c r="U52" s="4">
        <f>AVERAGE('Raw Data'!U102:U103)</f>
        <v>4.5</v>
      </c>
      <c r="V52" s="4">
        <f>AVERAGE('Raw Data'!V102:V103)</f>
        <v>3.5</v>
      </c>
      <c r="W52" s="4">
        <f>AVERAGE('Raw Data'!W102:W103)</f>
        <v>3</v>
      </c>
      <c r="X52" s="4">
        <f>AVERAGE('Raw Data'!X102:X103)</f>
        <v>4</v>
      </c>
      <c r="Y52" s="4">
        <f>AVERAGE('Raw Data'!Y102:Y103)</f>
        <v>4</v>
      </c>
      <c r="Z52" s="4">
        <f>AVERAGE('Raw Data'!Z102:Z103)</f>
        <v>4</v>
      </c>
      <c r="AA52" s="4">
        <f>AVERAGE('Raw Data'!AA102:AA103)</f>
        <v>4</v>
      </c>
      <c r="AB52" s="4">
        <f>AVERAGE('Raw Data'!AB102:AB103)</f>
        <v>3.5</v>
      </c>
      <c r="AC52" s="4">
        <f>AVERAGE('Raw Data'!AC102:AC103)</f>
        <v>3</v>
      </c>
      <c r="AD52" s="4">
        <f>AVERAGE('Raw Data'!AD102:AD103)</f>
        <v>3</v>
      </c>
      <c r="AE52" s="4">
        <f>AVERAGE('Raw Data'!AE102:AE103)</f>
        <v>4.5</v>
      </c>
      <c r="AF52" s="4">
        <f>AVERAGE('Raw Data'!AF102:AF103)</f>
        <v>3</v>
      </c>
      <c r="AG52" s="4">
        <f>AVERAGE('Raw Data'!AG102:AG103)</f>
        <v>3.5</v>
      </c>
      <c r="AH52" s="4">
        <f>AVERAGE('Raw Data'!AH102:AH103)</f>
        <v>3</v>
      </c>
      <c r="AI52" s="4">
        <f>AVERAGE('Raw Data'!AI102:AI103)</f>
        <v>2.5</v>
      </c>
      <c r="AJ52" s="4">
        <f>AVERAGE('Raw Data'!AJ102:AJ103)</f>
        <v>2.5</v>
      </c>
      <c r="AK52" s="4">
        <f>AVERAGE('Raw Data'!AK102:AK103)</f>
        <v>2.5</v>
      </c>
      <c r="AL52" s="4"/>
      <c r="AM52" s="4"/>
    </row>
    <row r="53" spans="1:39" ht="39.6" x14ac:dyDescent="0.3">
      <c r="A53" s="3">
        <f t="shared" si="1"/>
        <v>52</v>
      </c>
      <c r="B53" s="4"/>
      <c r="C53" s="4"/>
      <c r="D53" s="4"/>
      <c r="E53" s="4"/>
      <c r="F53" s="4"/>
      <c r="G53" s="15" t="s">
        <v>90</v>
      </c>
      <c r="H53" s="4"/>
      <c r="I53" s="4"/>
      <c r="J53" s="4"/>
      <c r="K53" s="4"/>
      <c r="L53" s="4"/>
      <c r="M53" s="4"/>
      <c r="N53" s="11"/>
      <c r="O53" s="4"/>
      <c r="P53" s="4"/>
      <c r="Q53" s="4"/>
      <c r="R53" s="4"/>
      <c r="S53" s="4">
        <f>AVERAGE('Raw Data'!S104:S105)</f>
        <v>3.5</v>
      </c>
      <c r="T53" s="4">
        <f>AVERAGE('Raw Data'!T104:T105)</f>
        <v>3</v>
      </c>
      <c r="U53" s="4">
        <f>AVERAGE('Raw Data'!U104:U105)</f>
        <v>3</v>
      </c>
      <c r="V53" s="4">
        <f>AVERAGE('Raw Data'!V104:V105)</f>
        <v>3</v>
      </c>
      <c r="W53" s="4">
        <f>AVERAGE('Raw Data'!W104:W105)</f>
        <v>3</v>
      </c>
      <c r="X53" s="4">
        <f>AVERAGE('Raw Data'!X104:X105)</f>
        <v>4</v>
      </c>
      <c r="Y53" s="4">
        <f>AVERAGE('Raw Data'!Y104:Y105)</f>
        <v>3.5</v>
      </c>
      <c r="Z53" s="4">
        <f>AVERAGE('Raw Data'!Z104:Z105)</f>
        <v>4.5</v>
      </c>
      <c r="AA53" s="4">
        <f>AVERAGE('Raw Data'!AA104:AA105)</f>
        <v>4</v>
      </c>
      <c r="AB53" s="4">
        <f>AVERAGE('Raw Data'!AB104:AB105)</f>
        <v>3</v>
      </c>
      <c r="AC53" s="4">
        <f>AVERAGE('Raw Data'!AC104:AC105)</f>
        <v>4</v>
      </c>
      <c r="AD53" s="4">
        <f>AVERAGE('Raw Data'!AD104:AD105)</f>
        <v>3.5</v>
      </c>
      <c r="AE53" s="4">
        <f>AVERAGE('Raw Data'!AE104:AE105)</f>
        <v>4.5</v>
      </c>
      <c r="AF53" s="4">
        <f>AVERAGE('Raw Data'!AF104:AF105)</f>
        <v>3</v>
      </c>
      <c r="AG53" s="4">
        <f>AVERAGE('Raw Data'!AG104:AG105)</f>
        <v>3.5</v>
      </c>
      <c r="AH53" s="4">
        <f>AVERAGE('Raw Data'!AH104:AH105)</f>
        <v>2.5</v>
      </c>
      <c r="AI53" s="4">
        <f>AVERAGE('Raw Data'!AI104:AI105)</f>
        <v>3.5</v>
      </c>
      <c r="AJ53" s="4">
        <f>AVERAGE('Raw Data'!AJ104:AJ105)</f>
        <v>2.5</v>
      </c>
      <c r="AK53" s="4">
        <f>AVERAGE('Raw Data'!AK104:AK105)</f>
        <v>2.5</v>
      </c>
      <c r="AL53" s="4"/>
      <c r="AM53" s="4"/>
    </row>
    <row r="54" spans="1:39" ht="26.4" x14ac:dyDescent="0.3">
      <c r="A54" s="3">
        <f t="shared" si="1"/>
        <v>53</v>
      </c>
      <c r="B54" s="4"/>
      <c r="C54" s="4"/>
      <c r="D54" s="4"/>
      <c r="E54" s="4"/>
      <c r="F54" s="4"/>
      <c r="G54" s="15" t="s">
        <v>91</v>
      </c>
      <c r="H54" s="4"/>
      <c r="I54" s="4"/>
      <c r="J54" s="4"/>
      <c r="K54" s="4"/>
      <c r="L54" s="4"/>
      <c r="M54" s="4"/>
      <c r="N54" s="11"/>
      <c r="O54" s="4"/>
      <c r="P54" s="4"/>
      <c r="Q54" s="4"/>
      <c r="R54" s="4"/>
      <c r="S54" s="4">
        <f>AVERAGE('Raw Data'!S106:S107)</f>
        <v>4.5</v>
      </c>
      <c r="T54" s="4">
        <f>AVERAGE('Raw Data'!T106:T107)</f>
        <v>3.5</v>
      </c>
      <c r="U54" s="4">
        <f>AVERAGE('Raw Data'!U106:U107)</f>
        <v>3.5</v>
      </c>
      <c r="V54" s="4">
        <f>AVERAGE('Raw Data'!V106:V107)</f>
        <v>3.5</v>
      </c>
      <c r="W54" s="4">
        <f>AVERAGE('Raw Data'!W106:W107)</f>
        <v>3.5</v>
      </c>
      <c r="X54" s="4">
        <f>AVERAGE('Raw Data'!X106:X107)</f>
        <v>4</v>
      </c>
      <c r="Y54" s="4">
        <f>AVERAGE('Raw Data'!Y106:Y107)</f>
        <v>4</v>
      </c>
      <c r="Z54" s="4">
        <f>AVERAGE('Raw Data'!Z106:Z107)</f>
        <v>3.5</v>
      </c>
      <c r="AA54" s="4">
        <f>AVERAGE('Raw Data'!AA106:AA107)</f>
        <v>3.5</v>
      </c>
      <c r="AB54" s="4">
        <f>AVERAGE('Raw Data'!AB106:AB107)</f>
        <v>3.5</v>
      </c>
      <c r="AC54" s="4">
        <f>AVERAGE('Raw Data'!AC106:AC107)</f>
        <v>4</v>
      </c>
      <c r="AD54" s="4">
        <f>AVERAGE('Raw Data'!AD106:AD107)</f>
        <v>3</v>
      </c>
      <c r="AE54" s="4">
        <f>AVERAGE('Raw Data'!AE106:AE107)</f>
        <v>3</v>
      </c>
      <c r="AF54" s="4">
        <f>AVERAGE('Raw Data'!AF106:AF107)</f>
        <v>3</v>
      </c>
      <c r="AG54" s="4">
        <f>AVERAGE('Raw Data'!AG106:AG107)</f>
        <v>3</v>
      </c>
      <c r="AH54" s="4">
        <f>AVERAGE('Raw Data'!AH106:AH107)</f>
        <v>1.5</v>
      </c>
      <c r="AI54" s="4">
        <f>AVERAGE('Raw Data'!AI106:AI107)</f>
        <v>3</v>
      </c>
      <c r="AJ54" s="4">
        <f>AVERAGE('Raw Data'!AJ106:AJ107)</f>
        <v>1.5</v>
      </c>
      <c r="AK54" s="4">
        <f>AVERAGE('Raw Data'!AK106:AK107)</f>
        <v>1.5</v>
      </c>
      <c r="AL54" s="4"/>
      <c r="AM54" s="4"/>
    </row>
    <row r="55" spans="1:39" ht="26.4" x14ac:dyDescent="0.3">
      <c r="A55" s="3">
        <f>A54+1</f>
        <v>54</v>
      </c>
      <c r="B55" s="4"/>
      <c r="C55" s="4"/>
      <c r="D55" s="4"/>
      <c r="E55" s="4"/>
      <c r="F55" s="4"/>
      <c r="G55" s="15" t="s">
        <v>92</v>
      </c>
      <c r="H55" s="4"/>
      <c r="I55" s="4"/>
      <c r="J55" s="4"/>
      <c r="K55" s="4"/>
      <c r="L55" s="4"/>
      <c r="M55" s="4"/>
      <c r="N55" s="11"/>
      <c r="O55" s="4"/>
      <c r="P55" s="4"/>
      <c r="Q55" s="4"/>
      <c r="R55" s="4"/>
      <c r="S55" s="4">
        <f>AVERAGE('Raw Data'!S108:S109)</f>
        <v>4</v>
      </c>
      <c r="T55" s="4">
        <f>AVERAGE('Raw Data'!T108:T109)</f>
        <v>3.5</v>
      </c>
      <c r="U55" s="4">
        <f>AVERAGE('Raw Data'!U108:U109)</f>
        <v>4</v>
      </c>
      <c r="V55" s="4">
        <f>AVERAGE('Raw Data'!V108:V109)</f>
        <v>3.5</v>
      </c>
      <c r="W55" s="4">
        <f>AVERAGE('Raw Data'!W108:W109)</f>
        <v>3.5</v>
      </c>
      <c r="X55" s="4">
        <f>AVERAGE('Raw Data'!X108:X109)</f>
        <v>3.5</v>
      </c>
      <c r="Y55" s="4">
        <f>AVERAGE('Raw Data'!Y108:Y109)</f>
        <v>4</v>
      </c>
      <c r="Z55" s="4">
        <f>AVERAGE('Raw Data'!Z108:Z109)</f>
        <v>4</v>
      </c>
      <c r="AA55" s="4">
        <f>AVERAGE('Raw Data'!AA108:AA109)</f>
        <v>4</v>
      </c>
      <c r="AB55" s="4">
        <f>AVERAGE('Raw Data'!AB108:AB109)</f>
        <v>3</v>
      </c>
      <c r="AC55" s="4">
        <f>AVERAGE('Raw Data'!AC108:AC109)</f>
        <v>4</v>
      </c>
      <c r="AD55" s="4">
        <f>AVERAGE('Raw Data'!AD108:AD109)</f>
        <v>3.5</v>
      </c>
      <c r="AE55" s="4">
        <f>AVERAGE('Raw Data'!AE108:AE109)</f>
        <v>4</v>
      </c>
      <c r="AF55" s="4">
        <f>AVERAGE('Raw Data'!AF108:AF109)</f>
        <v>4</v>
      </c>
      <c r="AG55" s="4">
        <f>AVERAGE('Raw Data'!AG108:AG109)</f>
        <v>4</v>
      </c>
      <c r="AH55" s="4">
        <f>AVERAGE('Raw Data'!AH108:AH109)</f>
        <v>3</v>
      </c>
      <c r="AI55" s="4">
        <f>AVERAGE('Raw Data'!AI108:AI109)</f>
        <v>2.5</v>
      </c>
      <c r="AJ55" s="4">
        <f>AVERAGE('Raw Data'!AJ108:AJ109)</f>
        <v>2</v>
      </c>
      <c r="AK55" s="4">
        <f>AVERAGE('Raw Data'!AK108:AK109)</f>
        <v>2</v>
      </c>
      <c r="AL55" s="4"/>
      <c r="AM55" s="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lkrt-data</vt:lpstr>
      <vt:lpstr>Raw Data</vt:lpstr>
      <vt:lpstr>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almerapening@outlook.com</dc:creator>
  <cp:lastModifiedBy>Christopher Llones</cp:lastModifiedBy>
  <dcterms:created xsi:type="dcterms:W3CDTF">2026-04-09T05:13:46Z</dcterms:created>
  <dcterms:modified xsi:type="dcterms:W3CDTF">2026-05-03T07:17:14Z</dcterms:modified>
</cp:coreProperties>
</file>